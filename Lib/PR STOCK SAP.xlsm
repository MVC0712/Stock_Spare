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showInkAnnotation="0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Production (生産)\Extrusion (押出)\10. STOCK\SAP\2023\5.2023\"/>
    </mc:Choice>
  </mc:AlternateContent>
  <xr:revisionPtr revIDLastSave="0" documentId="13_ncr:1_{79D61FE1-A089-46B5-8E52-3C87C3DD1E02}" xr6:coauthVersionLast="36" xr6:coauthVersionMax="36" xr10:uidLastSave="{00000000-0000-0000-0000-000000000000}"/>
  <bookViews>
    <workbookView xWindow="0" yWindow="0" windowWidth="19200" windowHeight="6930" xr2:uid="{B20F5AA3-134F-4F83-9D82-69C613D59026}"/>
  </bookViews>
  <sheets>
    <sheet name="WH" sheetId="8" r:id="rId1"/>
    <sheet name="EF" sheetId="40" r:id="rId2"/>
    <sheet name="IF" sheetId="37" r:id="rId3"/>
    <sheet name="PF" sheetId="43" r:id="rId4"/>
    <sheet name="IH" sheetId="29" r:id="rId5"/>
    <sheet name="EH" sheetId="9" r:id="rId6"/>
    <sheet name="PH" sheetId="44" r:id="rId7"/>
    <sheet name="NEW" sheetId="45" r:id="rId8"/>
    <sheet name="Unit" sheetId="41" r:id="rId9"/>
  </sheets>
  <functionGroups builtInGroupCount="19"/>
  <definedNames>
    <definedName name="_xlnm._FilterDatabase" localSheetId="5" hidden="1">EH!$A$2:$N$108</definedName>
    <definedName name="_xlnm._FilterDatabase" localSheetId="4" hidden="1">IH!$A$2:$K$34</definedName>
    <definedName name="_xlnm._FilterDatabase" localSheetId="6" hidden="1">PH!$A$2:$J$2</definedName>
    <definedName name="atools_list_filter_1" localSheetId="5" hidden="1">EH!#REF!</definedName>
    <definedName name="atools_list_filter_1" localSheetId="6" hidden="1">PH!#REF!</definedName>
    <definedName name="atools_list_filter_1_onrangeaddr" localSheetId="5" hidden="1">"=EXPORT!$B$3:$B$517"</definedName>
    <definedName name="atools_list_filter_1_onrangeaddr" localSheetId="6" hidden="1">"=EXPORT!$B$3:$B$517"</definedName>
    <definedName name="atools_list_filter_1_proper" localSheetId="5" hidden="1">"1|1|0|0|0|||360|280|108|0|,||0||0"</definedName>
    <definedName name="atools_list_filter_1_proper" localSheetId="6" hidden="1">"1|1|0|0|0|||360|280|108|0|,||0||0"</definedName>
    <definedName name="atools_list_filter_1_source" localSheetId="5" hidden="1">EH!#REF!</definedName>
    <definedName name="atools_list_filter_1_source" localSheetId="6" hidden="1">PH!#REF!</definedName>
    <definedName name="atools_list_filter_1_sourceaddr" localSheetId="5" hidden="1">"=EXPORT!$H$2:$H$55"</definedName>
    <definedName name="atools_list_filter_1_sourceaddr" localSheetId="6" hidden="1">"=EXPORT!$H$2:$H$55"</definedName>
    <definedName name="atools_list_filter_4" localSheetId="5" hidden="1">EH!#REF!</definedName>
    <definedName name="atools_list_filter_4" localSheetId="6" hidden="1">PH!#REF!</definedName>
    <definedName name="atools_list_filter_4_onrangeaddr" localSheetId="5" hidden="1">"=EXPORT!$C$3:$C$510"</definedName>
    <definedName name="atools_list_filter_4_onrangeaddr" localSheetId="6" hidden="1">"=EXPORT!$C$3:$C$510"</definedName>
    <definedName name="atools_list_filter_4_proper" localSheetId="5" hidden="1">"1|1|0|0|0|||360|280|178;283|0|,||0||0"</definedName>
    <definedName name="atools_list_filter_4_proper" localSheetId="6" hidden="1">"1|1|0|0|0|||360|280|178;283|0|,||0||0"</definedName>
    <definedName name="atools_list_filter_4_source" localSheetId="5" hidden="1">WH!$A$1:$A$398</definedName>
    <definedName name="atools_list_filter_4_source" localSheetId="6" hidden="1">WH!$A$1:$A$398</definedName>
    <definedName name="atools_list_filter_4_sourceaddr" localSheetId="5" hidden="1">"=STORAGE!$A$2:$B$859"</definedName>
    <definedName name="atools_list_filter_4_sourceaddr" localSheetId="6" hidden="1">"=STORAGE!$A$2:$B$859"</definedName>
    <definedName name="_xlnm.Print_Area" localSheetId="1">EF!$A$1:$W$23</definedName>
    <definedName name="_xlnm.Print_Area" localSheetId="2">IF!$A$1:$W$25</definedName>
    <definedName name="_xlnm.Print_Area" localSheetId="3">PF!$A$1:$W$25</definedName>
    <definedName name="_xlnm.Print_Area" localSheetId="0">Data[#All]</definedName>
    <definedName name="_xlnm.Print_Titles" localSheetId="0">WH!$1:$1</definedName>
    <definedName name="Unit">Unit!$A$2:$A$100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6" i="8" l="1"/>
  <c r="F277" i="8"/>
  <c r="F398" i="8" l="1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 l="1"/>
  <c r="F381" i="8" l="1"/>
  <c r="F380" i="8"/>
  <c r="F379" i="8"/>
  <c r="F378" i="8" l="1"/>
  <c r="F377" i="8"/>
  <c r="F376" i="8" l="1"/>
  <c r="F375" i="8" l="1"/>
  <c r="F367" i="8" l="1"/>
  <c r="F368" i="8"/>
  <c r="F369" i="8"/>
  <c r="F370" i="8"/>
  <c r="F371" i="8"/>
  <c r="F372" i="8"/>
  <c r="F373" i="8"/>
  <c r="F374" i="8"/>
  <c r="F365" i="8"/>
  <c r="F366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</calcChain>
</file>

<file path=xl/sharedStrings.xml><?xml version="1.0" encoding="utf-8"?>
<sst xmlns="http://schemas.openxmlformats.org/spreadsheetml/2006/main" count="4262" uniqueCount="1476">
  <si>
    <t>Thủ kho</t>
  </si>
  <si>
    <t>Warehouse Keeper</t>
  </si>
  <si>
    <t>Unit</t>
  </si>
  <si>
    <t>Qty.</t>
  </si>
  <si>
    <t>Stt</t>
  </si>
  <si>
    <t>Đ.vị</t>
  </si>
  <si>
    <t>No.</t>
  </si>
  <si>
    <t>Ngày…..tháng…..năm…..</t>
  </si>
  <si>
    <t>Mã sản phẩm</t>
  </si>
  <si>
    <t>Remain</t>
  </si>
  <si>
    <t>IMPORT HISTORY</t>
  </si>
  <si>
    <t>EXPORT HISTORY</t>
  </si>
  <si>
    <t>Import</t>
  </si>
  <si>
    <t>Export</t>
  </si>
  <si>
    <t>Mã kệ</t>
  </si>
  <si>
    <t>PHIẾU NHẬP KHO</t>
  </si>
  <si>
    <t>GOODS RECEIPT SHEET</t>
  </si>
  <si>
    <t>Số lượng</t>
  </si>
  <si>
    <t>Ngày nhập / Receipt Date:</t>
  </si>
  <si>
    <t>PHIẾU XUẤT KHO</t>
  </si>
  <si>
    <t>GOODS DELIVERY SHEET</t>
  </si>
  <si>
    <t>Logistics Area ID</t>
  </si>
  <si>
    <t>Product ID</t>
  </si>
  <si>
    <t>Note</t>
    <phoneticPr fontId="24"/>
  </si>
  <si>
    <t>Confirm ID</t>
  </si>
  <si>
    <t>Ngày xuất / Delivery Date:</t>
  </si>
  <si>
    <t>Ghi chú</t>
  </si>
  <si>
    <t>Date</t>
  </si>
  <si>
    <t>Cost Center</t>
  </si>
  <si>
    <t>Sheet ID</t>
  </si>
  <si>
    <t>Holon ID</t>
  </si>
  <si>
    <t>Logistics ID</t>
  </si>
  <si>
    <t>Note</t>
  </si>
  <si>
    <t>Product Name</t>
  </si>
  <si>
    <t>Logistic ID</t>
  </si>
  <si>
    <t>Inbound Delivery Number:</t>
  </si>
  <si>
    <t>Last month</t>
  </si>
  <si>
    <t>Holon / Storage Location ID:</t>
  </si>
  <si>
    <t>Mã BP / Cost Center ID:</t>
  </si>
  <si>
    <t>Department Manager</t>
  </si>
  <si>
    <t>Trưởng bộ phận</t>
  </si>
  <si>
    <t>Confirmation ID:</t>
  </si>
  <si>
    <t>Chọn 1 mã Sheet ID để mở lại form</t>
  </si>
  <si>
    <t>Nhấn để tìm kiếm đối tượng trong dữ liệu kho</t>
  </si>
  <si>
    <t>Nhấn để xác nhận nhập đối tượng vào dữ liệu kho</t>
  </si>
  <si>
    <t>Xóa nội dung trên form</t>
  </si>
  <si>
    <t>In nội dung trên form</t>
  </si>
  <si>
    <t>Có thể gọi lại nội dung bằng nút Backup trong Sheet EH</t>
  </si>
  <si>
    <t>Nhấn để xác nhận xuât đối tượng từ dữ liệu kho</t>
  </si>
  <si>
    <t>Barcode sẽ tự tạo sau khi xác nhận nhập</t>
  </si>
  <si>
    <t>Barcode sẽ tự tạo sau khi xác nhận xuất</t>
  </si>
  <si>
    <t>Có thể gọi lại nội dung bằng Sheet ID trong Sheet IH</t>
  </si>
  <si>
    <t>Lưu ý: Sheet ID được tạo và điền tự động vào ô W2</t>
  </si>
  <si>
    <t>Định dạng: [XK] [Ngày xuất] [STT]</t>
  </si>
  <si>
    <t>Định dạng: [NK] [Ngày nhập] [STT]</t>
  </si>
  <si>
    <t>Inbound Delivery</t>
  </si>
  <si>
    <t>Cho phép hiển thị / không hiển thị Barcode</t>
  </si>
  <si>
    <t>Người nhận</t>
  </si>
  <si>
    <t>Receiver</t>
  </si>
  <si>
    <t>Tên sản phẩm</t>
  </si>
  <si>
    <t>ĐỀ NGHỊ MUA HÀNG</t>
  </si>
  <si>
    <t>PURCHASE REQUEST</t>
  </si>
  <si>
    <t>Ngày tạo / Create Date:</t>
  </si>
  <si>
    <t>Purchase Request ID:</t>
  </si>
  <si>
    <t>Requester ID</t>
  </si>
  <si>
    <t>Thông tin thêm</t>
  </si>
  <si>
    <t>Other Information</t>
  </si>
  <si>
    <t>Yêu cầu bởi</t>
  </si>
  <si>
    <t>Số Ringi</t>
  </si>
  <si>
    <t>Ringi No.</t>
  </si>
  <si>
    <t>Kỳ hạn</t>
  </si>
  <si>
    <t>PR HISTORY</t>
  </si>
  <si>
    <t>Requestor</t>
  </si>
  <si>
    <t>Ringi</t>
  </si>
  <si>
    <t>Delivery Date</t>
  </si>
  <si>
    <t>Có thể gọi lại nội dung bằng nút Backup trong Sheet PH</t>
  </si>
  <si>
    <t>Định dạng: [PR] [Ngày xuất] [STT]</t>
  </si>
  <si>
    <t>Holon / Ship to Location ID:</t>
  </si>
  <si>
    <t>Mã BP / Purchasing Unit:</t>
  </si>
  <si>
    <t>ea</t>
  </si>
  <si>
    <t>box</t>
  </si>
  <si>
    <t>bag</t>
  </si>
  <si>
    <t>kg</t>
  </si>
  <si>
    <t>PR ID</t>
  </si>
  <si>
    <t>can</t>
  </si>
  <si>
    <t>car</t>
  </si>
  <si>
    <t>case</t>
  </si>
  <si>
    <t>drum</t>
  </si>
  <si>
    <t>bot</t>
  </si>
  <si>
    <t>g</t>
  </si>
  <si>
    <t>m</t>
  </si>
  <si>
    <t>km</t>
  </si>
  <si>
    <t>l</t>
  </si>
  <si>
    <t>pack</t>
  </si>
  <si>
    <t>page</t>
  </si>
  <si>
    <t>pair</t>
  </si>
  <si>
    <t>pallet</t>
  </si>
  <si>
    <t>roll</t>
  </si>
  <si>
    <t>Mã sản phẩm</t>
    <phoneticPr fontId="24"/>
  </si>
  <si>
    <t>Product ID</t>
    <phoneticPr fontId="24"/>
  </si>
  <si>
    <t>AE-1510081</t>
  </si>
  <si>
    <t>V37</t>
  </si>
  <si>
    <t>A00433</t>
  </si>
  <si>
    <t>A00433</t>
    <phoneticPr fontId="24"/>
  </si>
  <si>
    <t>04.03.2020</t>
  </si>
  <si>
    <t>SE-46</t>
  </si>
  <si>
    <t>SUPER-32</t>
  </si>
  <si>
    <t>TS-150</t>
  </si>
  <si>
    <t>NAOH96</t>
  </si>
  <si>
    <t>Super Hyrando( Hydraulic oils )</t>
  </si>
  <si>
    <t>BONNOC TS (Gear Oils)</t>
  </si>
  <si>
    <t>CODE030067</t>
  </si>
  <si>
    <t>Moly Paste AS(Anti-Seizure Pastes)</t>
  </si>
  <si>
    <t>Air Sander</t>
  </si>
  <si>
    <t>Scotch Brite Hand Pad</t>
  </si>
  <si>
    <t>Pad for Air Sander</t>
  </si>
  <si>
    <t>Caustic Soda Flakes</t>
  </si>
  <si>
    <t>18l/ea</t>
  </si>
  <si>
    <t>25kg/bag</t>
  </si>
  <si>
    <t>H-CSDS-240-BLU</t>
  </si>
  <si>
    <t>H-CSDS-400-BLU</t>
  </si>
  <si>
    <t>PN20353-CSDP-RED</t>
  </si>
  <si>
    <t>PR1801</t>
  </si>
  <si>
    <t>PR2801</t>
    <phoneticPr fontId="24"/>
  </si>
  <si>
    <t>PR1201</t>
  </si>
  <si>
    <t>BM-HC</t>
  </si>
  <si>
    <t>Safety Glasses</t>
  </si>
  <si>
    <t>pcs</t>
  </si>
  <si>
    <t>AE-1710070</t>
  </si>
  <si>
    <t>BM-TK</t>
  </si>
  <si>
    <t>TCG600-240P</t>
  </si>
  <si>
    <t>Cotton Gloves</t>
  </si>
  <si>
    <t>Bubber glove</t>
  </si>
  <si>
    <t>GS-33TM</t>
  </si>
  <si>
    <t>TEI-09C</t>
  </si>
  <si>
    <t>Earplugs</t>
  </si>
  <si>
    <t>Pacs</t>
  </si>
  <si>
    <t>TPC-LL-40</t>
  </si>
  <si>
    <t>Disposable Protective Wear</t>
  </si>
  <si>
    <t>Box</t>
  </si>
  <si>
    <t>HB-450</t>
  </si>
  <si>
    <t>Flat Bar</t>
  </si>
  <si>
    <t>HB-900</t>
  </si>
  <si>
    <t>S-HM-HTS-70-15-SET</t>
  </si>
  <si>
    <t>Chain Sling</t>
  </si>
  <si>
    <t>PR1202</t>
  </si>
  <si>
    <t>TB4A030</t>
  </si>
  <si>
    <t>Rotary Bur</t>
  </si>
  <si>
    <t>SPL25-55BL</t>
  </si>
  <si>
    <t>Measuring Tape</t>
  </si>
  <si>
    <t>CO-50G</t>
  </si>
  <si>
    <t>Copper Hammer</t>
  </si>
  <si>
    <t>CO-53H</t>
  </si>
  <si>
    <t>Copper Hammer　Head</t>
  </si>
  <si>
    <t>100HCK10</t>
  </si>
  <si>
    <t>Hexagon Head</t>
  </si>
  <si>
    <t>TT-13</t>
  </si>
  <si>
    <t>Tap Holder</t>
  </si>
  <si>
    <t>TH-19</t>
  </si>
  <si>
    <t>NA100X4X15-AWA36P</t>
  </si>
  <si>
    <t>Grinding Wheel</t>
  </si>
  <si>
    <t>NA100X6X15-AWA36P</t>
  </si>
  <si>
    <t>TMAG10SN</t>
  </si>
  <si>
    <t>Air Micro Grinder</t>
  </si>
  <si>
    <t>PR1203</t>
  </si>
  <si>
    <t>Collet for Air Micro Grinder</t>
  </si>
  <si>
    <t>WA60P-V-A-8X13X3</t>
  </si>
  <si>
    <t>Grinding Stones with shaft</t>
  </si>
  <si>
    <t>WA60P-V-A-13X19X3</t>
  </si>
  <si>
    <t>TB-B064-5S</t>
  </si>
  <si>
    <t>Carbide Bur Set</t>
  </si>
  <si>
    <t>set</t>
  </si>
  <si>
    <t>NG8002</t>
  </si>
  <si>
    <t>Chamfering and Deburring set</t>
  </si>
  <si>
    <t>100A11</t>
  </si>
  <si>
    <t>Feeler Gauge</t>
  </si>
  <si>
    <t>100A25</t>
  </si>
  <si>
    <t>PR1204</t>
  </si>
  <si>
    <t>SC-11FVRA-KP-W</t>
  </si>
  <si>
    <t>Helmets</t>
  </si>
  <si>
    <t>SC-11FVRA-KP-Y</t>
  </si>
  <si>
    <t>FC165</t>
  </si>
  <si>
    <t>Chisel</t>
  </si>
  <si>
    <t>A-SFT-STD-M12X175</t>
  </si>
  <si>
    <t>Taro M12</t>
  </si>
  <si>
    <t>A-SFT-STD-M16X20</t>
  </si>
  <si>
    <t>Taro M16</t>
  </si>
  <si>
    <t>PR1205</t>
  </si>
  <si>
    <t>500-444</t>
  </si>
  <si>
    <t>Solar Caliper 0-150mm</t>
  </si>
  <si>
    <t>500-445</t>
  </si>
  <si>
    <t>Solar Caliper 0-200mm</t>
  </si>
  <si>
    <t>PR1206</t>
  </si>
  <si>
    <t>BM11ML65</t>
  </si>
  <si>
    <t>Hand Pallet Truck</t>
  </si>
  <si>
    <t>T35A-DS1-220</t>
  </si>
  <si>
    <t>Disposable Dust Respirator</t>
  </si>
  <si>
    <t>Bag</t>
  </si>
  <si>
    <t>DPM-EC-L</t>
  </si>
  <si>
    <t>Mask</t>
  </si>
  <si>
    <t>4-TG-SHE-63</t>
  </si>
  <si>
    <t>4-TG-SHE-71</t>
  </si>
  <si>
    <t>50TQ275</t>
  </si>
  <si>
    <t>Submersible pump for alkaline drainage</t>
  </si>
  <si>
    <t>#120</t>
  </si>
  <si>
    <t>Media for Shot Blasting</t>
  </si>
  <si>
    <t>PR1207</t>
  </si>
  <si>
    <t>M12x60L</t>
  </si>
  <si>
    <t>Hexagon socket head bolt</t>
  </si>
  <si>
    <t>M12x70L</t>
  </si>
  <si>
    <t>M12x80L</t>
  </si>
  <si>
    <t>M12x90L</t>
  </si>
  <si>
    <t>M12x100L</t>
  </si>
  <si>
    <t>M16</t>
  </si>
  <si>
    <t>Nut</t>
  </si>
  <si>
    <t>BM25LL</t>
  </si>
  <si>
    <t>HAND PALLET TRUCK</t>
  </si>
  <si>
    <t>BM11M65 CHANGE</t>
  </si>
  <si>
    <t>PR2101</t>
  </si>
  <si>
    <t>Pack</t>
  </si>
  <si>
    <t>DV-SMC-HAEWR-0960F2</t>
  </si>
  <si>
    <t>CABINET-DX1010</t>
  </si>
  <si>
    <t>Cabinet</t>
  </si>
  <si>
    <t>EV25</t>
  </si>
  <si>
    <t>Hand pallet truck scale</t>
  </si>
  <si>
    <t>XTL200DS</t>
  </si>
  <si>
    <t>Platform truck</t>
  </si>
  <si>
    <t>1800L</t>
  </si>
  <si>
    <t>Smooth glove</t>
  </si>
  <si>
    <t>unit</t>
  </si>
  <si>
    <t>12 pairs/pack</t>
  </si>
  <si>
    <t>GWS750-100</t>
  </si>
  <si>
    <t>Disk Grinder</t>
  </si>
  <si>
    <t>GD0600</t>
  </si>
  <si>
    <t>Straight type sander</t>
  </si>
  <si>
    <t>HRFS90</t>
  </si>
  <si>
    <t>Hardness standard block</t>
  </si>
  <si>
    <t>ULD-150</t>
  </si>
  <si>
    <t>Flat square</t>
  </si>
  <si>
    <t>25.03.2020</t>
  </si>
  <si>
    <t>PR0501</t>
  </si>
  <si>
    <t>S61-1867</t>
  </si>
  <si>
    <t>Workbenches</t>
  </si>
  <si>
    <t>3M-764W-F1</t>
  </si>
  <si>
    <t>White tape 3M 4.8fx33m</t>
  </si>
  <si>
    <t>20.03.2020</t>
  </si>
  <si>
    <t>Power transformers 500VA 100-220v</t>
  </si>
  <si>
    <t>Lathe turning machine compact 7 TOYOAS</t>
  </si>
  <si>
    <t>COMPACT7</t>
  </si>
  <si>
    <t>500VA100-220V</t>
  </si>
  <si>
    <t>XDBK-2</t>
  </si>
  <si>
    <t>Hand truck for cylinder</t>
  </si>
  <si>
    <t>31.03.2020</t>
  </si>
  <si>
    <t>PR1601</t>
  </si>
  <si>
    <t>EH-450</t>
  </si>
  <si>
    <t>Laminator</t>
  </si>
  <si>
    <t>IC03-638</t>
  </si>
  <si>
    <t>10.04.2020</t>
  </si>
  <si>
    <t>PR2001</t>
  </si>
  <si>
    <t>JIG13512-01</t>
  </si>
  <si>
    <t>JIG13512-02</t>
  </si>
  <si>
    <t>JIG13512-03</t>
  </si>
  <si>
    <t>JIG13512-04</t>
  </si>
  <si>
    <t>Safety fence</t>
  </si>
  <si>
    <t>IC03-643</t>
  </si>
  <si>
    <t>PR2002</t>
  </si>
  <si>
    <t>Eye bolt M16</t>
  </si>
  <si>
    <t>Battery disk grinder</t>
  </si>
  <si>
    <t>Floor tape 3M 764 (white 48mmx33mm)</t>
  </si>
  <si>
    <t>N11</t>
  </si>
  <si>
    <t>JA8378</t>
  </si>
  <si>
    <t>Spacer trolly</t>
  </si>
  <si>
    <t>IC04-56</t>
  </si>
  <si>
    <t>PR2701</t>
  </si>
  <si>
    <t>20.05.2020</t>
  </si>
  <si>
    <t>RAMSET-M12</t>
  </si>
  <si>
    <t>Chemical Anchor AP12</t>
  </si>
  <si>
    <t>RAMSET-M16</t>
  </si>
  <si>
    <t>Chemical Anchor AP16</t>
  </si>
  <si>
    <t>AP-20</t>
  </si>
  <si>
    <t>Chemical Anchor AP20</t>
  </si>
  <si>
    <t>MU-16</t>
  </si>
  <si>
    <t>Chemical Anchor MU16</t>
  </si>
  <si>
    <t>IC04-54</t>
  </si>
  <si>
    <t>PR2702</t>
  </si>
  <si>
    <t>AL-N11-ZZZ</t>
  </si>
  <si>
    <t>AL-N11-A11</t>
  </si>
  <si>
    <t>AL-N11-A12</t>
  </si>
  <si>
    <t>AL-N11-A13</t>
  </si>
  <si>
    <t>AL-N11-A14</t>
  </si>
  <si>
    <t>AL-N11-A15</t>
  </si>
  <si>
    <t>AL-N11-A16</t>
  </si>
  <si>
    <t>AL-N11-A17</t>
  </si>
  <si>
    <t>AL-N11-A18</t>
  </si>
  <si>
    <t>AL-N11-A19</t>
  </si>
  <si>
    <t>AL-N11-A1A</t>
  </si>
  <si>
    <t>AL-N11-A1B</t>
  </si>
  <si>
    <t>AL-N11-A1C</t>
  </si>
  <si>
    <t>AL-N11-A1D</t>
  </si>
  <si>
    <t>AL-N11-A1E</t>
  </si>
  <si>
    <t>AL-N11-A1F</t>
  </si>
  <si>
    <t>AL-N11-A1G</t>
  </si>
  <si>
    <t>AL-N11-A1H</t>
  </si>
  <si>
    <t>AL-N11-A1I</t>
  </si>
  <si>
    <t>AL-N11-A1J</t>
  </si>
  <si>
    <t>AL-N11-A1K</t>
  </si>
  <si>
    <t>AL-N11-A1L</t>
  </si>
  <si>
    <t>AL-N11-A1M</t>
  </si>
  <si>
    <t>AL-N11-A1N</t>
  </si>
  <si>
    <t>AL-N11-A1P</t>
  </si>
  <si>
    <t>AL-N11-A1Q</t>
  </si>
  <si>
    <t>AL-N11-A1R</t>
  </si>
  <si>
    <t>AL-N11-A1S</t>
  </si>
  <si>
    <t>AL-N11-A1T</t>
  </si>
  <si>
    <t>AL-N11-A1U</t>
  </si>
  <si>
    <t>AL-N11-A1V</t>
  </si>
  <si>
    <t>AL-N11-A1X</t>
  </si>
  <si>
    <t>AL-N11-A1Y</t>
  </si>
  <si>
    <t>AL-N11-A1Z</t>
  </si>
  <si>
    <t>AL-N11-A1W</t>
  </si>
  <si>
    <t>AL-N11-A2A</t>
  </si>
  <si>
    <t>AL-N11-A2B</t>
  </si>
  <si>
    <t>AL-N11-A2C</t>
  </si>
  <si>
    <t>AL-N11-A2D</t>
  </si>
  <si>
    <t>AL-N11-A2E</t>
  </si>
  <si>
    <t>AL-N11-Y11</t>
  </si>
  <si>
    <t>AL-N11-A2F</t>
  </si>
  <si>
    <t>AL-N11-A2G</t>
  </si>
  <si>
    <t>AL-N11-A2H</t>
  </si>
  <si>
    <t>AL-N11-A2I</t>
  </si>
  <si>
    <t>AL-N11-A2J</t>
  </si>
  <si>
    <t>AL-N11-A2K</t>
  </si>
  <si>
    <t>AL-N11-A2L</t>
  </si>
  <si>
    <t>AL-N11-A2M</t>
  </si>
  <si>
    <t>AL-N11-A2N</t>
  </si>
  <si>
    <t>AL-N11-A2P</t>
  </si>
  <si>
    <t>AL-N11-A2Q</t>
  </si>
  <si>
    <t>JIG13609-01</t>
  </si>
  <si>
    <t>Sample Cooling tank</t>
  </si>
  <si>
    <t>JIG13609-02</t>
  </si>
  <si>
    <t>Chip box</t>
  </si>
  <si>
    <t>JIG13609-03</t>
  </si>
  <si>
    <t>Scrap Rack</t>
  </si>
  <si>
    <t>JIG13609-04</t>
  </si>
  <si>
    <t>Mold transfer iron pallet</t>
  </si>
  <si>
    <t>JIG13609-05</t>
  </si>
  <si>
    <t>Discard box</t>
  </si>
  <si>
    <t>IC04-70</t>
  </si>
  <si>
    <t>PR0601</t>
  </si>
  <si>
    <t>SC-11FVRA-KP-BLU</t>
  </si>
  <si>
    <t>AL-N11-A2R</t>
  </si>
  <si>
    <t>AL-N11-A2S</t>
  </si>
  <si>
    <t>AL-N11-Y13</t>
  </si>
  <si>
    <t>AL-N11-A2T</t>
  </si>
  <si>
    <t>AL-N11-A2U</t>
  </si>
  <si>
    <t>AL-N11-A2V</t>
  </si>
  <si>
    <t>AL-N11-A2W</t>
  </si>
  <si>
    <t>AL-N11-A2X</t>
  </si>
  <si>
    <t>7447</t>
  </si>
  <si>
    <t>H-CSD5-240-BLU</t>
  </si>
  <si>
    <t>H-CSD5-400-BLU</t>
  </si>
  <si>
    <t>AL-N11-Y15</t>
  </si>
  <si>
    <t>16.07.2020</t>
  </si>
  <si>
    <t>EYEBOLT-M16</t>
  </si>
  <si>
    <t>EYENUT-M16</t>
  </si>
  <si>
    <t>Eye nut M16</t>
  </si>
  <si>
    <t>AL-N11-A2Y</t>
  </si>
  <si>
    <t>AL-N11-A2Z</t>
  </si>
  <si>
    <t>PR0301</t>
  </si>
  <si>
    <t>27.07.2020</t>
  </si>
  <si>
    <t>BS305M2</t>
  </si>
  <si>
    <t>FELT-840X150X1.6MM</t>
  </si>
  <si>
    <t>Felt sheet</t>
  </si>
  <si>
    <t>ID1647</t>
  </si>
  <si>
    <t>AL-N11-AA1</t>
  </si>
  <si>
    <t>ID1573</t>
  </si>
  <si>
    <t>PO1333</t>
  </si>
  <si>
    <t>AL-N11-A21</t>
  </si>
  <si>
    <t>AL-N11-A22</t>
  </si>
  <si>
    <t>Spacer Trolly</t>
  </si>
  <si>
    <t>AL-N11-AA2</t>
  </si>
  <si>
    <t>Sample cooling water tank</t>
  </si>
  <si>
    <t>Scarp rack</t>
  </si>
  <si>
    <t>AL-N11-AA3</t>
  </si>
  <si>
    <t>AL-N11-AA4</t>
  </si>
  <si>
    <t>AL-N11-AA5</t>
  </si>
  <si>
    <t>AL-N11-AA6</t>
  </si>
  <si>
    <t>PO1375</t>
  </si>
  <si>
    <t>PO1376</t>
  </si>
  <si>
    <t>ZYP-BN</t>
  </si>
  <si>
    <t>Moldable 1150A</t>
  </si>
  <si>
    <t>1150A</t>
  </si>
  <si>
    <t>Lubricoat Blue ZYP BN</t>
  </si>
  <si>
    <t>22.09.2020</t>
  </si>
  <si>
    <t>ID1819</t>
  </si>
  <si>
    <t>PO1054=&gt;PO1610</t>
  </si>
  <si>
    <t>AL-N11-AA7</t>
  </si>
  <si>
    <t>TPB-542</t>
  </si>
  <si>
    <t>Wool brush</t>
  </si>
  <si>
    <t>TSW0000-200</t>
  </si>
  <si>
    <t>Steel Wool</t>
  </si>
  <si>
    <t>Absorbent paper towel</t>
  </si>
  <si>
    <t>SLTC-6039</t>
  </si>
  <si>
    <t>Plastic basin</t>
  </si>
  <si>
    <t>21.09.2020</t>
  </si>
  <si>
    <t>BSF-PAPER-S-2T</t>
  </si>
  <si>
    <t>Cerami Fiber Paper</t>
  </si>
  <si>
    <t>BSF-PAPER-S-3T</t>
  </si>
  <si>
    <t>1260BLANKET100-6T</t>
  </si>
  <si>
    <t>Cerami Fiber felt</t>
  </si>
  <si>
    <t>1260BLANKET100-25T</t>
  </si>
  <si>
    <t>TPB-543</t>
  </si>
  <si>
    <t>CGR-25</t>
  </si>
  <si>
    <t>Lithum Grease</t>
  </si>
  <si>
    <t>5920-70</t>
  </si>
  <si>
    <t>High temperature silica gel</t>
  </si>
  <si>
    <t>PR2102</t>
  </si>
  <si>
    <t>ALCOHOL-95</t>
  </si>
  <si>
    <t>Alcohol 95%</t>
  </si>
  <si>
    <t>28.08.2020</t>
  </si>
  <si>
    <t>PR2103</t>
  </si>
  <si>
    <t>ARCTIC-230</t>
  </si>
  <si>
    <t>Mobil Arctic 230</t>
  </si>
  <si>
    <t>PR2104</t>
  </si>
  <si>
    <t>ID1915</t>
  </si>
  <si>
    <t>ID1913</t>
  </si>
  <si>
    <t>ID1914</t>
  </si>
  <si>
    <t>ID1918</t>
  </si>
  <si>
    <t>cancel</t>
  </si>
  <si>
    <t>SP.Room</t>
  </si>
  <si>
    <t>Kho hóa chất</t>
  </si>
  <si>
    <t>Ngoài xưởng(SMC3_F2)</t>
  </si>
  <si>
    <t>Lubricoat blue</t>
  </si>
  <si>
    <t>Moldable</t>
  </si>
  <si>
    <t>AL-N11-Y16</t>
  </si>
  <si>
    <t>AL-N11-Y17</t>
  </si>
  <si>
    <t>AL-N11-A23</t>
  </si>
  <si>
    <t>AL-N11-A24</t>
  </si>
  <si>
    <t>AL-N11-A25</t>
  </si>
  <si>
    <t>AL-N11-A26</t>
  </si>
  <si>
    <t>Emergency stop switch</t>
  </si>
  <si>
    <t>Emergency stop switch contact part</t>
  </si>
  <si>
    <t>ARE-4KR</t>
  </si>
  <si>
    <t>AR-112</t>
  </si>
  <si>
    <t>30.09.2020</t>
  </si>
  <si>
    <t>ID-2039</t>
  </si>
  <si>
    <t>PR2301</t>
  </si>
  <si>
    <t>AL-N11-A27</t>
  </si>
  <si>
    <t>AL-N11-Y18</t>
  </si>
  <si>
    <t>AL-N11-A28</t>
  </si>
  <si>
    <t>AL-N11-AA8</t>
  </si>
  <si>
    <t>AL-N11-AA9</t>
  </si>
  <si>
    <t>AL-N11-AAA</t>
  </si>
  <si>
    <t>AL-N11-AAB</t>
  </si>
  <si>
    <t>PO1934</t>
  </si>
  <si>
    <t>PO1338</t>
  </si>
  <si>
    <t>IC04-444</t>
  </si>
  <si>
    <t>S62-1920</t>
  </si>
  <si>
    <t>13.11.2020</t>
  </si>
  <si>
    <t>27.11.2020</t>
  </si>
  <si>
    <t>ID2098</t>
  </si>
  <si>
    <t>21-RI0B-920000</t>
  </si>
  <si>
    <t>Plugging Sleeve handle</t>
  </si>
  <si>
    <t>JIG13733-00-001</t>
  </si>
  <si>
    <t>Aluminum slag Removal tool</t>
  </si>
  <si>
    <t>JIG13733-01</t>
  </si>
  <si>
    <t>Aluminum Impurities Scratched out Jig</t>
  </si>
  <si>
    <t>ID2099</t>
  </si>
  <si>
    <t>21-RI0B-910000</t>
  </si>
  <si>
    <t>Plugging Sleeve</t>
  </si>
  <si>
    <t>ID2100</t>
  </si>
  <si>
    <t>TCL</t>
  </si>
  <si>
    <t>Igniter</t>
  </si>
  <si>
    <t>ID2101</t>
  </si>
  <si>
    <t>AL-100N</t>
  </si>
  <si>
    <t>Flashlight</t>
  </si>
  <si>
    <t>Dental Endoscope</t>
  </si>
  <si>
    <t>PB80SB</t>
  </si>
  <si>
    <t>Propane Burner</t>
  </si>
  <si>
    <t>SGP2.0</t>
  </si>
  <si>
    <t>Twist drill</t>
  </si>
  <si>
    <t>Plastic syringe</t>
  </si>
  <si>
    <t>Thermometer with thermocouple</t>
  </si>
  <si>
    <t>PS1000</t>
  </si>
  <si>
    <t>ID2102</t>
  </si>
  <si>
    <t>PO1837</t>
  </si>
  <si>
    <t>DDF484RTE</t>
  </si>
  <si>
    <t>IC04-459</t>
  </si>
  <si>
    <t>Rechargeable driver drill</t>
  </si>
  <si>
    <t>ID2124</t>
  </si>
  <si>
    <t>12.11.2020</t>
  </si>
  <si>
    <t>ID2156</t>
  </si>
  <si>
    <t>Rotary Pump</t>
  </si>
  <si>
    <t>AL-N11-AAC</t>
  </si>
  <si>
    <t>AL-N11-Y19</t>
  </si>
  <si>
    <t>AIBD1726</t>
  </si>
  <si>
    <t>AL-N11-AAD</t>
  </si>
  <si>
    <t>AL-N11-A29</t>
  </si>
  <si>
    <t>HR-2BI</t>
  </si>
  <si>
    <t>AL-N11-A31</t>
  </si>
  <si>
    <t>AL-N11-A32</t>
  </si>
  <si>
    <t>AL-N11-A33</t>
  </si>
  <si>
    <t>AL-N11-A34</t>
  </si>
  <si>
    <t>AL-N11-A35</t>
  </si>
  <si>
    <t>74156</t>
  </si>
  <si>
    <t>200901893</t>
  </si>
  <si>
    <t>AL-N11-A36</t>
  </si>
  <si>
    <t>AL-N11-A37</t>
  </si>
  <si>
    <t>AL-N11-A38</t>
  </si>
  <si>
    <t>AL-N11-A39</t>
  </si>
  <si>
    <t>CARTS-2</t>
  </si>
  <si>
    <t>Oxygen acetylen carts</t>
  </si>
  <si>
    <t>IC04-524</t>
  </si>
  <si>
    <t>12.04.2020</t>
  </si>
  <si>
    <t>PR1901</t>
  </si>
  <si>
    <t>QJ-AC</t>
  </si>
  <si>
    <t>QJ-OXE</t>
  </si>
  <si>
    <t>PR1902</t>
  </si>
  <si>
    <t>SOI-BEC-TQ</t>
  </si>
  <si>
    <t>MOI-LUA</t>
  </si>
  <si>
    <t>PR1903</t>
  </si>
  <si>
    <t>ID2208</t>
  </si>
  <si>
    <t>ID2209</t>
  </si>
  <si>
    <t>ID2210</t>
  </si>
  <si>
    <t>Acetylene regulator</t>
  </si>
  <si>
    <t>Tip cleaner</t>
  </si>
  <si>
    <t>Spark lighter</t>
  </si>
  <si>
    <t>AC00004</t>
  </si>
  <si>
    <t>Gaseous Argon</t>
  </si>
  <si>
    <t>ID2222</t>
  </si>
  <si>
    <t>12.02.2020</t>
  </si>
  <si>
    <t>PR2401</t>
  </si>
  <si>
    <t>GO2</t>
  </si>
  <si>
    <t>GC2H2</t>
  </si>
  <si>
    <t>Gaseous Oxygen</t>
  </si>
  <si>
    <t>Gaseous Acetylen</t>
  </si>
  <si>
    <t>PR2402</t>
  </si>
  <si>
    <t>ID2225</t>
  </si>
  <si>
    <t>SMC3-F1</t>
  </si>
  <si>
    <t>SMC3-F1(200pcs/pack(unit))\</t>
  </si>
  <si>
    <t>High heat paint (spray type)</t>
  </si>
  <si>
    <t>12.08.2020</t>
  </si>
  <si>
    <t>PR0101</t>
  </si>
  <si>
    <t>ID2275</t>
  </si>
  <si>
    <t>BU40A-32A</t>
  </si>
  <si>
    <t>BU32A-25A</t>
  </si>
  <si>
    <t>BU25A-20A</t>
  </si>
  <si>
    <t>BU40A-25A</t>
  </si>
  <si>
    <t>BU20A-15A</t>
  </si>
  <si>
    <t>BU20A-10A</t>
  </si>
  <si>
    <t>BU50A-40A</t>
  </si>
  <si>
    <t>High Pressure Bushing 40A-32A</t>
  </si>
  <si>
    <t>High Pressure Bushing 32A-25A</t>
  </si>
  <si>
    <t>High Pressure Bushing 25A-20A</t>
  </si>
  <si>
    <t>High Pressure Bushing 40A-25A</t>
  </si>
  <si>
    <t>High Pressure Bushing 20A-15A</t>
  </si>
  <si>
    <t>High Pressure Bushing 20A-10A</t>
  </si>
  <si>
    <t>High Pressure Bushing 50A-40A</t>
  </si>
  <si>
    <t>12.10.2020</t>
  </si>
  <si>
    <t>ID2281</t>
  </si>
  <si>
    <t>AL-N11-G13</t>
  </si>
  <si>
    <t>AL-N11-G11</t>
  </si>
  <si>
    <t>AL-N11-G12</t>
  </si>
  <si>
    <t xml:space="preserve"> SMC3_Kho chứa bình khí </t>
  </si>
  <si>
    <t>N000003-F01-01</t>
  </si>
  <si>
    <t>Cotton Glove</t>
  </si>
  <si>
    <t>PR0401</t>
  </si>
  <si>
    <t>ID2288</t>
  </si>
  <si>
    <t>-</t>
  </si>
  <si>
    <t>C-1612</t>
  </si>
  <si>
    <t>Anchor Bolt</t>
  </si>
  <si>
    <t>12.22.2020</t>
  </si>
  <si>
    <t>12.15.2020</t>
  </si>
  <si>
    <t>PR0801</t>
  </si>
  <si>
    <t>ID2307</t>
  </si>
  <si>
    <t>233967</t>
  </si>
  <si>
    <t>AL-N11-A3A</t>
  </si>
  <si>
    <t>AL-N11-A3B</t>
  </si>
  <si>
    <t>AL-N11-A3C</t>
  </si>
  <si>
    <t>AL-N11-A3D</t>
  </si>
  <si>
    <t>AL-N11-A3E</t>
  </si>
  <si>
    <t>AL-N11-A3F</t>
  </si>
  <si>
    <t>AL-N11-A3G</t>
  </si>
  <si>
    <t>AL-N11-A3H</t>
  </si>
  <si>
    <t>AT00026</t>
  </si>
  <si>
    <t>ID2304</t>
  </si>
  <si>
    <t>Inox chain Ø5x5m</t>
  </si>
  <si>
    <t>PR0802</t>
  </si>
  <si>
    <t>AL-N11-A3I</t>
  </si>
  <si>
    <t>USB-SC09-FX</t>
  </si>
  <si>
    <t>Programming cable for Mitsubishi PLC</t>
  </si>
  <si>
    <t>12.23.2020</t>
  </si>
  <si>
    <t>PR1701</t>
  </si>
  <si>
    <t>ID2339</t>
  </si>
  <si>
    <t>PO2099</t>
  </si>
  <si>
    <t>AL-N11-A3J</t>
  </si>
  <si>
    <t>AL-N11-A3K</t>
  </si>
  <si>
    <t>AL-N11-AAF</t>
  </si>
  <si>
    <t>PO2093</t>
  </si>
  <si>
    <t>PO2098</t>
  </si>
  <si>
    <t>AL-N11-A3L</t>
  </si>
  <si>
    <t>AL-N11-A3M</t>
  </si>
  <si>
    <t>Chemical Anchor M16</t>
  </si>
  <si>
    <t>Chemical Anchor M12</t>
  </si>
  <si>
    <t>Oxygen regulator</t>
  </si>
  <si>
    <t>Plastic tie wrap 5x300</t>
  </si>
  <si>
    <t>N000116-F1</t>
  </si>
  <si>
    <t>01.04.2021</t>
  </si>
  <si>
    <t>ID2343</t>
  </si>
  <si>
    <t>CF881.15.02</t>
  </si>
  <si>
    <t>Control cable (Igus)</t>
  </si>
  <si>
    <t>01.22.2021</t>
  </si>
  <si>
    <t>ID2350</t>
  </si>
  <si>
    <t>PR2302</t>
  </si>
  <si>
    <t>AL-N11-A3N</t>
  </si>
  <si>
    <t>01.11.2021</t>
  </si>
  <si>
    <t>Super Hyrando SE (Hydraulic oils)</t>
  </si>
  <si>
    <t>ID2389</t>
  </si>
  <si>
    <t>NH3</t>
  </si>
  <si>
    <t>CO2</t>
  </si>
  <si>
    <t>Liquid carbon dioxide (CO2)</t>
  </si>
  <si>
    <t>Gaseous amonia (NH3)</t>
  </si>
  <si>
    <t>PR0402</t>
  </si>
  <si>
    <t>01.18.2021</t>
  </si>
  <si>
    <t>ID2391</t>
  </si>
  <si>
    <t>AL-N11-A3P</t>
  </si>
  <si>
    <t>AL-N11-AAG</t>
  </si>
  <si>
    <t>N00049</t>
  </si>
  <si>
    <t>Oil absorbent rags</t>
  </si>
  <si>
    <t>01.13.2021</t>
  </si>
  <si>
    <t>S45C-D16-660</t>
  </si>
  <si>
    <t>PR0602</t>
  </si>
  <si>
    <t>ID2398</t>
  </si>
  <si>
    <t>Round solid steel Ø16</t>
  </si>
  <si>
    <t>ID2399</t>
  </si>
  <si>
    <t>SC-0201</t>
  </si>
  <si>
    <t>Steel strap cutter</t>
  </si>
  <si>
    <t>ID2402</t>
  </si>
  <si>
    <t>PR0701</t>
  </si>
  <si>
    <t>AL-N11-A3Q</t>
  </si>
  <si>
    <t>AL-N11-AAH</t>
  </si>
  <si>
    <t>AL-N11-A3R</t>
  </si>
  <si>
    <t>AL-N11-Y1A</t>
  </si>
  <si>
    <t>AL-N11-Y1B</t>
  </si>
  <si>
    <t>Spray paint (Red)</t>
  </si>
  <si>
    <t>Spray paint (Yellow)</t>
  </si>
  <si>
    <t>Spray paint (Blue)</t>
  </si>
  <si>
    <t>A218</t>
  </si>
  <si>
    <t>F7</t>
  </si>
  <si>
    <t>01.02.2021</t>
  </si>
  <si>
    <t>ID2468</t>
  </si>
  <si>
    <t>AL-N11-A3S</t>
  </si>
  <si>
    <t>AL-N11-A3T</t>
  </si>
  <si>
    <t>AL-N11-A3U</t>
  </si>
  <si>
    <t>AL-N11-A3V</t>
  </si>
  <si>
    <t>A211</t>
  </si>
  <si>
    <t>Cut stone 100x2x16mm</t>
  </si>
  <si>
    <t>Iron Grinding (BOS-017-161)</t>
  </si>
  <si>
    <t>15.03.2021</t>
  </si>
  <si>
    <t>ID2596</t>
  </si>
  <si>
    <t>Saw blade</t>
  </si>
  <si>
    <t>24.03.2021</t>
  </si>
  <si>
    <t>ID2607</t>
  </si>
  <si>
    <t>PR1001</t>
  </si>
  <si>
    <t>Pre-filter</t>
  </si>
  <si>
    <t>FAC-2</t>
  </si>
  <si>
    <t>Regenerated ion exchange resin MB20</t>
  </si>
  <si>
    <t>MB20</t>
  </si>
  <si>
    <t>ID2587</t>
  </si>
  <si>
    <t>IC04-713</t>
  </si>
  <si>
    <t>11.03.2021</t>
  </si>
  <si>
    <t>AL-N11-A3W</t>
  </si>
  <si>
    <t>AL-N11-A3X</t>
  </si>
  <si>
    <t>AL-N11-A3Y</t>
  </si>
  <si>
    <t>AL-N11-A3Z</t>
  </si>
  <si>
    <t>2608600267</t>
  </si>
  <si>
    <t>2608600017</t>
  </si>
  <si>
    <t>Anchor C type</t>
  </si>
  <si>
    <t>C-1080</t>
  </si>
  <si>
    <t>IC05-8</t>
  </si>
  <si>
    <t>19.04.2021</t>
  </si>
  <si>
    <t>ID2708</t>
  </si>
  <si>
    <t>AL-N11-A41</t>
  </si>
  <si>
    <t>Sodium Gluconate</t>
  </si>
  <si>
    <t>1940-5250</t>
  </si>
  <si>
    <t>Drill</t>
  </si>
  <si>
    <t>TCD-SDS-80</t>
  </si>
  <si>
    <t>TCD-SDS-200L</t>
  </si>
  <si>
    <t>IC05-61, S62-1920</t>
  </si>
  <si>
    <t>28.05.2021</t>
  </si>
  <si>
    <t>Concrete drill</t>
  </si>
  <si>
    <t>Drill Set</t>
  </si>
  <si>
    <t>KSDSET19</t>
  </si>
  <si>
    <t>ID2848</t>
  </si>
  <si>
    <t>18.05.2021</t>
  </si>
  <si>
    <t>Ceramic Form Filter</t>
  </si>
  <si>
    <t>ACH1740</t>
  </si>
  <si>
    <t>IC05-83, S62-1920</t>
  </si>
  <si>
    <t>ID2852</t>
  </si>
  <si>
    <t>19.07.2021</t>
  </si>
  <si>
    <t>ID2894</t>
  </si>
  <si>
    <t>ID2897</t>
  </si>
  <si>
    <t>ID2899</t>
  </si>
  <si>
    <t>08.06.2021</t>
  </si>
  <si>
    <t>21.05.2021</t>
  </si>
  <si>
    <t>17.06.2021</t>
  </si>
  <si>
    <t>ID3014</t>
  </si>
  <si>
    <t>HRSB</t>
  </si>
  <si>
    <t>Heat resistant grease B</t>
  </si>
  <si>
    <t>20.07.2021</t>
  </si>
  <si>
    <t>AL-N11-A42</t>
  </si>
  <si>
    <t>AL-N11-A43</t>
  </si>
  <si>
    <t>AL-N11-A44</t>
  </si>
  <si>
    <t>ID3016</t>
  </si>
  <si>
    <t>ID3094</t>
  </si>
  <si>
    <t>A-700</t>
  </si>
  <si>
    <t>FLUX</t>
  </si>
  <si>
    <t>03.08.2021</t>
  </si>
  <si>
    <t>ID3128</t>
  </si>
  <si>
    <t>PR2201</t>
  </si>
  <si>
    <t>23.07.2021</t>
  </si>
  <si>
    <t>PR2202</t>
  </si>
  <si>
    <t>24.06.2021</t>
  </si>
  <si>
    <t>ID3150</t>
  </si>
  <si>
    <t>PR2501</t>
  </si>
  <si>
    <t>02.07.2021</t>
  </si>
  <si>
    <t>Die ring Rack</t>
  </si>
  <si>
    <t>Die Bolster Rack</t>
  </si>
  <si>
    <t>JIG13609-06</t>
  </si>
  <si>
    <t>JIG13609-07</t>
  </si>
  <si>
    <t>IC05-249</t>
  </si>
  <si>
    <t>02.08.2021</t>
  </si>
  <si>
    <t>ID3170</t>
  </si>
  <si>
    <t>PR2801</t>
  </si>
  <si>
    <t>Low head hexagon socket head cap screws</t>
  </si>
  <si>
    <t>Hex Wrench Bolt</t>
  </si>
  <si>
    <t>CBS10-20</t>
  </si>
  <si>
    <t>HSHCS-M12-110</t>
  </si>
  <si>
    <t>HSHCS-M12-120</t>
  </si>
  <si>
    <t>120pcs/bag</t>
  </si>
  <si>
    <t>IC05-230</t>
  </si>
  <si>
    <t>ID3181</t>
  </si>
  <si>
    <t>08.07.2021</t>
  </si>
  <si>
    <t>PR2802</t>
  </si>
  <si>
    <t>BU32A-20A</t>
  </si>
  <si>
    <t>High Pressure Bushing BU32A-20A</t>
  </si>
  <si>
    <t>15.07.2021</t>
  </si>
  <si>
    <t>ID3182</t>
  </si>
  <si>
    <t>PR2803</t>
  </si>
  <si>
    <t>ID3130</t>
  </si>
  <si>
    <t>ID3197</t>
  </si>
  <si>
    <t>PR3001</t>
  </si>
  <si>
    <t>PR3002</t>
  </si>
  <si>
    <t>ID3198</t>
  </si>
  <si>
    <t>10.08.2021</t>
  </si>
  <si>
    <t>ID3215</t>
  </si>
  <si>
    <t>12.07.2021</t>
  </si>
  <si>
    <t>ID3218</t>
  </si>
  <si>
    <t>GS-37S</t>
  </si>
  <si>
    <t>22.07.2021</t>
  </si>
  <si>
    <t>PR3236</t>
  </si>
  <si>
    <t>14.07.2021</t>
  </si>
  <si>
    <t>PR3240</t>
  </si>
  <si>
    <t>Axit clohydric</t>
  </si>
  <si>
    <t>Potassium fluoride</t>
  </si>
  <si>
    <t>Phenolphthalein solution</t>
  </si>
  <si>
    <t>HCL</t>
  </si>
  <si>
    <t>KF</t>
  </si>
  <si>
    <t>C20H14O4</t>
  </si>
  <si>
    <t>IC05-270</t>
  </si>
  <si>
    <t>Standard chemical</t>
  </si>
  <si>
    <t>HI-93712-01</t>
  </si>
  <si>
    <t>Ea</t>
  </si>
  <si>
    <t>Paper Mini Flap Wheel 240#</t>
  </si>
  <si>
    <t>Diamond Bur</t>
  </si>
  <si>
    <t>Diamond Internal Bur</t>
  </si>
  <si>
    <t>Precision Needle File</t>
  </si>
  <si>
    <t>Diamond File</t>
  </si>
  <si>
    <t>Abrasibe Cloth Roll #400</t>
  </si>
  <si>
    <t>Parallel Pin</t>
  </si>
  <si>
    <t>Diamond Spray Excellent</t>
  </si>
  <si>
    <t>SK1015-240</t>
  </si>
  <si>
    <t>T3-101M</t>
  </si>
  <si>
    <t>INT-005D</t>
  </si>
  <si>
    <t>HI01056T</t>
  </si>
  <si>
    <t>GS-5-SET-400</t>
  </si>
  <si>
    <t>GS-12-SET-400</t>
  </si>
  <si>
    <t>TBR-400</t>
  </si>
  <si>
    <t>HPB-Q-12X25</t>
  </si>
  <si>
    <t>3530-01</t>
  </si>
  <si>
    <t>IC05-272</t>
  </si>
  <si>
    <t>PR3258</t>
  </si>
  <si>
    <t>PR3261</t>
  </si>
  <si>
    <t>PR3259</t>
  </si>
  <si>
    <t>13.09.2021</t>
  </si>
  <si>
    <t>PR3264</t>
  </si>
  <si>
    <t>200L/drum</t>
  </si>
  <si>
    <t>21.07.2021</t>
  </si>
  <si>
    <t>L-HM68</t>
  </si>
  <si>
    <t>Sinopec L-HM68</t>
  </si>
  <si>
    <t>PR3268</t>
  </si>
  <si>
    <t>PR1301</t>
  </si>
  <si>
    <t>SUPER STONE</t>
  </si>
  <si>
    <t>IC05-281</t>
  </si>
  <si>
    <t>NSW104</t>
  </si>
  <si>
    <t>NSW106</t>
  </si>
  <si>
    <t>NSW110</t>
  </si>
  <si>
    <t>05.08.2021</t>
  </si>
  <si>
    <t>PR3272</t>
  </si>
  <si>
    <t>PR1302</t>
  </si>
  <si>
    <t>PR3280</t>
  </si>
  <si>
    <t>PR1401</t>
  </si>
  <si>
    <t>AL-N11-AAI</t>
  </si>
  <si>
    <t>RT28-32</t>
  </si>
  <si>
    <t>FUSETUBE3A-5X20</t>
  </si>
  <si>
    <t>Fuse</t>
  </si>
  <si>
    <t>Fuse tube 3A</t>
  </si>
  <si>
    <t>100ea/box</t>
  </si>
  <si>
    <t>PR3313</t>
  </si>
  <si>
    <t>Round Die for Metric Screw</t>
  </si>
  <si>
    <t>Die Handle</t>
  </si>
  <si>
    <t>T38D-16X2.0</t>
  </si>
  <si>
    <t>DH-38-NM3</t>
  </si>
  <si>
    <t>PR3314</t>
  </si>
  <si>
    <t>PR3318</t>
  </si>
  <si>
    <t>STL-016003B</t>
  </si>
  <si>
    <t>Straight brush</t>
  </si>
  <si>
    <t>23.08.2021</t>
  </si>
  <si>
    <t>AL-N11-A45</t>
  </si>
  <si>
    <t>AL-N11-A46</t>
  </si>
  <si>
    <t>AL-N11-A47</t>
  </si>
  <si>
    <t>SPHRD68</t>
  </si>
  <si>
    <t>Super Highland-68</t>
  </si>
  <si>
    <t>200L/Drum</t>
  </si>
  <si>
    <t>3.08.2021</t>
  </si>
  <si>
    <t>PR3347</t>
  </si>
  <si>
    <t>G-39</t>
  </si>
  <si>
    <t>G-31</t>
  </si>
  <si>
    <t>G-32</t>
  </si>
  <si>
    <t>R220</t>
  </si>
  <si>
    <t>R329-VG220</t>
  </si>
  <si>
    <t>Lithium Grease G-39</t>
  </si>
  <si>
    <t>Heat-resistant grease</t>
  </si>
  <si>
    <t>Heat-resistant grease G-31</t>
  </si>
  <si>
    <t>Grease G-32</t>
  </si>
  <si>
    <t>Grease R220</t>
  </si>
  <si>
    <t>Lubricant R295-L031</t>
  </si>
  <si>
    <t>Lubricant R295-40</t>
  </si>
  <si>
    <t>231-6200</t>
  </si>
  <si>
    <t>231-6196</t>
  </si>
  <si>
    <t>231-6412</t>
  </si>
  <si>
    <t>761-2435</t>
  </si>
  <si>
    <t>Arm cover</t>
  </si>
  <si>
    <t>Three-finger gloves</t>
  </si>
  <si>
    <t>Foot cover</t>
  </si>
  <si>
    <t>Torch Cover</t>
  </si>
  <si>
    <t>06.09.2021</t>
  </si>
  <si>
    <t>PR3424</t>
  </si>
  <si>
    <t>Insulation body cover</t>
  </si>
  <si>
    <t>SLA-MK</t>
  </si>
  <si>
    <t>PR3425</t>
  </si>
  <si>
    <t>PR0502</t>
  </si>
  <si>
    <t>PR3366</t>
  </si>
  <si>
    <t>MIX GAS 1% H2+ AR BALANCE</t>
  </si>
  <si>
    <t>MIXGAS-H2-1-AR-99</t>
  </si>
  <si>
    <t>06.08.2021</t>
  </si>
  <si>
    <t>PR2901</t>
  </si>
  <si>
    <t>L-AR</t>
  </si>
  <si>
    <t xml:space="preserve">Liquid argon </t>
  </si>
  <si>
    <t>13.08.2021</t>
  </si>
  <si>
    <t>PR3455</t>
  </si>
  <si>
    <t>AL-N11-A48</t>
  </si>
  <si>
    <t>AL-N11-A49</t>
  </si>
  <si>
    <t>UFN425-120</t>
  </si>
  <si>
    <t>Wheel with nylon shaft</t>
  </si>
  <si>
    <t>5ea/box</t>
  </si>
  <si>
    <t>10.09.2021</t>
  </si>
  <si>
    <t>PR3471</t>
  </si>
  <si>
    <t>PR0901</t>
  </si>
  <si>
    <t>AL-N11-A4A</t>
  </si>
  <si>
    <t>AL-N11-A4B</t>
  </si>
  <si>
    <t>AL-N11-A4C</t>
  </si>
  <si>
    <t>AL-N11-A4D</t>
  </si>
  <si>
    <t>AL-N11-A4E</t>
  </si>
  <si>
    <t>AL-N11-A4F</t>
  </si>
  <si>
    <t>AL-N11-A4G</t>
  </si>
  <si>
    <t>AL-N11-A4H</t>
  </si>
  <si>
    <t>AL-N11-A4I</t>
  </si>
  <si>
    <t>AL-N11-A4J</t>
  </si>
  <si>
    <t>AL-N11-A4K</t>
  </si>
  <si>
    <t>AL-N11-A4L</t>
  </si>
  <si>
    <t>AL-N11-A4M</t>
  </si>
  <si>
    <t>AL-N11-A4N</t>
  </si>
  <si>
    <t>C1000</t>
  </si>
  <si>
    <t>Sandpaper roll</t>
  </si>
  <si>
    <t>PR3492</t>
  </si>
  <si>
    <t>20.08.2021</t>
  </si>
  <si>
    <t>AL-N11-Y1D</t>
  </si>
  <si>
    <t>Bot</t>
  </si>
  <si>
    <t>AL-N11-A4P</t>
  </si>
  <si>
    <t>AL-N11-A4Q</t>
  </si>
  <si>
    <t>AL-N11-A4R</t>
  </si>
  <si>
    <t>Hóa chất</t>
  </si>
  <si>
    <t>Kali florua 500g</t>
  </si>
  <si>
    <t>Acid clohydric 500ml</t>
  </si>
  <si>
    <t>PR3498</t>
  </si>
  <si>
    <t>AL-N11-Y1E</t>
  </si>
  <si>
    <t>Super highland-68</t>
  </si>
  <si>
    <t>STRAPS-0.6X19MM</t>
  </si>
  <si>
    <t>Steel traps 0.6X19MM</t>
  </si>
  <si>
    <t>01.09.2021</t>
  </si>
  <si>
    <t>PR3551</t>
  </si>
  <si>
    <t>AL-N11-A4S</t>
  </si>
  <si>
    <t>VN210702XT14</t>
  </si>
  <si>
    <t>Aluminium spool Jig</t>
  </si>
  <si>
    <t>08.09.2021</t>
  </si>
  <si>
    <t>PR3572</t>
  </si>
  <si>
    <t>B2-F01-2</t>
  </si>
  <si>
    <t>Grey bucket(PT12)</t>
  </si>
  <si>
    <t>16.09.2021</t>
  </si>
  <si>
    <t>PR3576</t>
  </si>
  <si>
    <t>PR2601</t>
  </si>
  <si>
    <t>IC05-423</t>
  </si>
  <si>
    <t>PR3605</t>
  </si>
  <si>
    <t>G-17</t>
  </si>
  <si>
    <t>R295-SAE-15W40</t>
  </si>
  <si>
    <t>20.09.2021</t>
  </si>
  <si>
    <t>07.09.2021</t>
  </si>
  <si>
    <t>PR3607</t>
  </si>
  <si>
    <t>PR3101</t>
  </si>
  <si>
    <t>Neoseal (NITTO KAISEI) B-3</t>
  </si>
  <si>
    <t>B-3</t>
  </si>
  <si>
    <t>04.10.2021</t>
  </si>
  <si>
    <t>PR3614</t>
  </si>
  <si>
    <t>Guard Lock Safety-door</t>
  </si>
  <si>
    <t>D4SL-N2EFA-D</t>
  </si>
  <si>
    <t>24.09.2021</t>
  </si>
  <si>
    <t>IC05-443</t>
  </si>
  <si>
    <t>PR3633</t>
  </si>
  <si>
    <t>Gray Household Gas Tank 12kg</t>
  </si>
  <si>
    <t>GAS-12KG</t>
  </si>
  <si>
    <t>PR3665</t>
  </si>
  <si>
    <t>Lubricant R295-SAE-15W40</t>
  </si>
  <si>
    <t>Lubricant R329-VG220</t>
  </si>
  <si>
    <t>DINHXOAN</t>
  </si>
  <si>
    <t>1016J</t>
  </si>
  <si>
    <t>Twisted coil nail</t>
  </si>
  <si>
    <t>Nail 1016J</t>
  </si>
  <si>
    <t>PR3667</t>
  </si>
  <si>
    <t>05.10.2021</t>
  </si>
  <si>
    <t>JISG3452</t>
  </si>
  <si>
    <t>Steel pipe</t>
  </si>
  <si>
    <t>AL-N11-AAJ</t>
  </si>
  <si>
    <t>AL-N11-Y1F</t>
  </si>
  <si>
    <t>01.12.2021</t>
  </si>
  <si>
    <t>PR3717</t>
  </si>
  <si>
    <t>PR3718</t>
  </si>
  <si>
    <t>PR3773</t>
  </si>
  <si>
    <t>18.10.2021</t>
  </si>
  <si>
    <t>AL-N11-A4T</t>
  </si>
  <si>
    <t>AL-N11-AAK</t>
  </si>
  <si>
    <t>AL-N11-A4U</t>
  </si>
  <si>
    <t>Insulation Body Cover</t>
  </si>
  <si>
    <t>AL-N11-A4V</t>
  </si>
  <si>
    <t xml:space="preserve">Foot cover </t>
  </si>
  <si>
    <t>AL-N11-A4W</t>
  </si>
  <si>
    <t>AL-N11-A4X</t>
  </si>
  <si>
    <t>AL-N11-A4Y</t>
  </si>
  <si>
    <t>AL-N11-A4Z</t>
  </si>
  <si>
    <t>AL-N11-A51</t>
  </si>
  <si>
    <t>AL-N11-A52</t>
  </si>
  <si>
    <t>15.11.2021</t>
  </si>
  <si>
    <t>PR3830</t>
  </si>
  <si>
    <t>PR1501</t>
  </si>
  <si>
    <t>29.10.2021</t>
  </si>
  <si>
    <t>PR3844</t>
  </si>
  <si>
    <t>Heat resistant silicone sealant</t>
  </si>
  <si>
    <t>300GM-750F</t>
  </si>
  <si>
    <t>AL-N11-A53</t>
  </si>
  <si>
    <t>AL-N11-Y1G</t>
  </si>
  <si>
    <t>ANCOHOL90</t>
  </si>
  <si>
    <t>Ancohol 90 degrees</t>
  </si>
  <si>
    <t>CBB-5</t>
  </si>
  <si>
    <t>AL-N11-A54</t>
  </si>
  <si>
    <t>AL-N11-A55</t>
  </si>
  <si>
    <t>AL-N11-A56</t>
  </si>
  <si>
    <t>AL-N11-AAL</t>
  </si>
  <si>
    <t>AL-N11-AAM</t>
  </si>
  <si>
    <t>Ball screw</t>
  </si>
  <si>
    <t>BLK3232-3.6ZZ</t>
  </si>
  <si>
    <t>SP.Room- dự bị máy đùn</t>
  </si>
  <si>
    <t>Safety Glasses DG-26SP</t>
  </si>
  <si>
    <t>DG-26SP</t>
  </si>
  <si>
    <t>AL-N11-AAN</t>
  </si>
  <si>
    <t>Bemcot</t>
  </si>
  <si>
    <t>M-3II</t>
  </si>
  <si>
    <t>Price(VND/1unit)</t>
  </si>
  <si>
    <t>JA8377-B207</t>
  </si>
  <si>
    <t>Felt tube ID60.5XOD80XL200mm</t>
  </si>
  <si>
    <t>AL-N11-AAP</t>
  </si>
  <si>
    <t>AL-N11-A57</t>
  </si>
  <si>
    <t>SC-03Y</t>
  </si>
  <si>
    <t>Contactor SC-03Y coil AC220V 1A</t>
  </si>
  <si>
    <t>Toyoca-Stick (Lubricant)</t>
  </si>
  <si>
    <t>SN-63</t>
  </si>
  <si>
    <t>AL-N11-Y1H</t>
  </si>
  <si>
    <t>USD</t>
  </si>
  <si>
    <t>DLF2054</t>
  </si>
  <si>
    <t>AL-N11-Y1I</t>
  </si>
  <si>
    <t>Ruby red paint</t>
  </si>
  <si>
    <t>AL-N11-AAQ</t>
  </si>
  <si>
    <t>AL-N11-AAR</t>
  </si>
  <si>
    <t>AL-N11-AAS</t>
  </si>
  <si>
    <t>Guide RM</t>
  </si>
  <si>
    <t>HGH20HA2R760Z0CII.ZZ</t>
  </si>
  <si>
    <t>HGW55CA2R1380Z0CII.ZZ</t>
  </si>
  <si>
    <t>EGH20CA1R220Z0H</t>
  </si>
  <si>
    <t>AL-N11-A58</t>
  </si>
  <si>
    <t>AL-N11-A59</t>
  </si>
  <si>
    <t>Twisted coil nail (300ea x 30 rolls)</t>
  </si>
  <si>
    <t>2.3X45</t>
  </si>
  <si>
    <t>AL-N11-Y1J</t>
  </si>
  <si>
    <t>LB-10</t>
  </si>
  <si>
    <t>Bluee Cutting Oil</t>
  </si>
  <si>
    <t>Contactor SC-03 AC220V 1A</t>
  </si>
  <si>
    <t>Thermal Overload Relay</t>
  </si>
  <si>
    <t>SC-03</t>
  </si>
  <si>
    <t>TR-0N-0.36A</t>
  </si>
  <si>
    <t>AL-N11-A5A</t>
  </si>
  <si>
    <t>AL-N11-A5B</t>
  </si>
  <si>
    <t>AL-N11-A5C</t>
  </si>
  <si>
    <t>Helmet</t>
  </si>
  <si>
    <t>MSD-002</t>
  </si>
  <si>
    <t xml:space="preserve">Rectifier </t>
  </si>
  <si>
    <t>15F-4FB1</t>
  </si>
  <si>
    <t>AL-N11-A5D</t>
  </si>
  <si>
    <t>Saw blade 760X5.0X4.0X80X106XD-10</t>
  </si>
  <si>
    <t>JA8377-L201</t>
  </si>
  <si>
    <t>AL-N11-AAT</t>
  </si>
  <si>
    <t>SP.Room- dự bị máy cắt</t>
  </si>
  <si>
    <t>AL-N11-AAU</t>
  </si>
  <si>
    <t>AL-N11-AAV</t>
  </si>
  <si>
    <t>AL-N11-AAW</t>
  </si>
  <si>
    <t>AL-N11-AAX</t>
  </si>
  <si>
    <t>AL-N11-AAY</t>
  </si>
  <si>
    <t>AL-N11-AAZ</t>
  </si>
  <si>
    <t>AL-N11-AB1</t>
  </si>
  <si>
    <t>AL-N11-AB2</t>
  </si>
  <si>
    <t>AL-N11-AB3</t>
  </si>
  <si>
    <t>SQP432-50-38-21-86DDD-18</t>
  </si>
  <si>
    <t>SQP43-60-38-86DD-18</t>
  </si>
  <si>
    <t>TGMC-3-BT-BW-50</t>
  </si>
  <si>
    <t>TGMC2-3-AT-GW-BT-AW-50</t>
  </si>
  <si>
    <t>TGMC-3-BT-GW-50</t>
  </si>
  <si>
    <t>TGMC-5-AT-BW-50</t>
  </si>
  <si>
    <t>TCG60-10-CVY-B-P2-T-17</t>
  </si>
  <si>
    <t>TCG20-10-FV-12</t>
  </si>
  <si>
    <t>TGMC-3-BT-AW-50</t>
  </si>
  <si>
    <t>Auxiliary pump</t>
  </si>
  <si>
    <t>Cooling pump</t>
  </si>
  <si>
    <t>Pressure relief valve</t>
  </si>
  <si>
    <t>Abrasive Cloth Sheet P1000</t>
  </si>
  <si>
    <t>CP38-9X11-P1000</t>
  </si>
  <si>
    <t>Kho hóa chất (20kg/box)</t>
  </si>
  <si>
    <t>AL-N11-A5E</t>
  </si>
  <si>
    <t>Diamond file set 140x3mm</t>
  </si>
  <si>
    <t>D-140X3MM</t>
  </si>
  <si>
    <t>AL-N11-Y1K</t>
  </si>
  <si>
    <t>Hex bolt full screw M10</t>
  </si>
  <si>
    <t>AL-N11-A5F</t>
  </si>
  <si>
    <t>42222354</t>
  </si>
  <si>
    <t>Motor</t>
  </si>
  <si>
    <t>SF-PRF-VN-45KW</t>
  </si>
  <si>
    <t>SF-PRF-VN-15KW</t>
  </si>
  <si>
    <t>AL-N11-AB4</t>
  </si>
  <si>
    <t>AL-N11-AB5</t>
  </si>
  <si>
    <t>Rubber Bush</t>
  </si>
  <si>
    <t>RUBBER-NO.3</t>
  </si>
  <si>
    <t>AL-N11-A5G</t>
  </si>
  <si>
    <t>Anti-Rust Paper VCI</t>
  </si>
  <si>
    <t>Nylon large format</t>
  </si>
  <si>
    <t>VCI-1X100M</t>
  </si>
  <si>
    <t>NILONG3ZEM-2M</t>
  </si>
  <si>
    <t>Speed reducer</t>
  </si>
  <si>
    <t>CHHX-6140-5T-11</t>
  </si>
  <si>
    <t>CHHX-6165-SV-13</t>
  </si>
  <si>
    <t>AL-N11-AB6</t>
  </si>
  <si>
    <t>AL-N11-AB7</t>
  </si>
  <si>
    <t>SP.Room- dự bị máy đùn (Gear motor)</t>
  </si>
  <si>
    <t>HSS-1361-S25</t>
  </si>
  <si>
    <t>KWP-2460</t>
  </si>
  <si>
    <t>AL-N11-AB8</t>
  </si>
  <si>
    <t>Fan</t>
  </si>
  <si>
    <t>SF-PRB-VN-0.75KW-4P-380V-50HZ</t>
  </si>
  <si>
    <t>Mitsubishi Electric Motor 1Hp 0.75Kw</t>
  </si>
  <si>
    <t>AL-N11-AB9</t>
  </si>
  <si>
    <t>HFS5-2040-200</t>
  </si>
  <si>
    <t>HNTP5-5</t>
  </si>
  <si>
    <t>HBLSS5</t>
  </si>
  <si>
    <t>AL-N11-A5H</t>
  </si>
  <si>
    <t>AL-N11-A5I</t>
  </si>
  <si>
    <t>AL-N11-A5J</t>
  </si>
  <si>
    <t>Nuts for aluminum frame</t>
  </si>
  <si>
    <t>Aluminum frame</t>
  </si>
  <si>
    <t>Sandpaper roll (150mmx50m)</t>
  </si>
  <si>
    <t>B-300FRE</t>
  </si>
  <si>
    <t>PE light 100x150x750 no tape</t>
  </si>
  <si>
    <t>AL-N11-A5K</t>
  </si>
  <si>
    <t>AL-N11-A5L</t>
  </si>
  <si>
    <t>AL-N11-A5M</t>
  </si>
  <si>
    <t>TCG60-06-CVY-B-P2-T-17</t>
  </si>
  <si>
    <t>TCG60-10-CV-B-P2-T-17</t>
  </si>
  <si>
    <t>Short splint</t>
  </si>
  <si>
    <t>Long splint</t>
  </si>
  <si>
    <t>S-50X350X3MM</t>
  </si>
  <si>
    <t>L-50X500X3MM</t>
  </si>
  <si>
    <t>AL-N11-ABA</t>
  </si>
  <si>
    <t>AL-N11-ABB</t>
  </si>
  <si>
    <t>AL-N11-ABC</t>
  </si>
  <si>
    <t>Axial-piston pump</t>
  </si>
  <si>
    <t>Control valve</t>
  </si>
  <si>
    <t>Logic cartri valve</t>
  </si>
  <si>
    <t xml:space="preserve">Press relief valve </t>
  </si>
  <si>
    <t>AH-A4VSO355HS5/30RPPB25N00</t>
  </si>
  <si>
    <t>4WRPH6CA40L-2X/G24Z4/V-855</t>
  </si>
  <si>
    <t>LC50DB40E-7X</t>
  </si>
  <si>
    <t>DB30-2-5X/350</t>
  </si>
  <si>
    <t>DB10-2-5X/350</t>
  </si>
  <si>
    <t>DBDH10K-1X/400</t>
  </si>
  <si>
    <t>DBDH10K-1X/315</t>
  </si>
  <si>
    <t>DBDH6K-1X/100</t>
  </si>
  <si>
    <t>DBDH6K-1X/400</t>
  </si>
  <si>
    <t>DBDH10K-1X/100</t>
  </si>
  <si>
    <t>AL-N11-ABD</t>
  </si>
  <si>
    <t>AL-N11-ABE</t>
  </si>
  <si>
    <t>AL-N11-ABF</t>
  </si>
  <si>
    <t>AL-N11-ABG</t>
  </si>
  <si>
    <t>AL-N11-ABH</t>
  </si>
  <si>
    <t>AL-N11-ABI</t>
  </si>
  <si>
    <t>AL-N11-ABJ</t>
  </si>
  <si>
    <t>AL-N11-ABK</t>
  </si>
  <si>
    <t>AL-N11-ABL</t>
  </si>
  <si>
    <t>Control card</t>
  </si>
  <si>
    <t>VT-HPC-1-1X/M-0-00/00</t>
  </si>
  <si>
    <t>AL-N11-ABM</t>
  </si>
  <si>
    <t>NO1033</t>
  </si>
  <si>
    <t>Kure CRC 3-36</t>
  </si>
  <si>
    <t>AL-N11-Y1L</t>
  </si>
  <si>
    <t>WRN2-120</t>
  </si>
  <si>
    <t>Thermocouple WRN2-120</t>
  </si>
  <si>
    <t>AL-N11-A5N</t>
  </si>
  <si>
    <t>HDMSB10-21.4-F8-M10</t>
  </si>
  <si>
    <t>WELDING-1</t>
  </si>
  <si>
    <t>Welding tip for item 6</t>
  </si>
  <si>
    <t>AL-N11-A5P</t>
  </si>
  <si>
    <t>321361-321362-301653-880734</t>
  </si>
  <si>
    <t>Handle set</t>
  </si>
  <si>
    <t>AL-N11-A5Q</t>
  </si>
  <si>
    <t>XK 200kg=&gt;N14</t>
  </si>
  <si>
    <t>FELT-1000X20X3MM</t>
  </si>
  <si>
    <t>Heat resistant felt</t>
  </si>
  <si>
    <t>AL-N11-A5R</t>
  </si>
  <si>
    <t>Stripper Bolts</t>
  </si>
  <si>
    <t>H-4WEH32E-6X/6EW100N9DJL</t>
  </si>
  <si>
    <t>AL-N11-ABN</t>
  </si>
  <si>
    <t>E3Z-G61-5M</t>
  </si>
  <si>
    <t>Grooved-Type Photoelectric Sensor</t>
  </si>
  <si>
    <t>AL-N11-A5S</t>
  </si>
  <si>
    <t>SP.Room- dự bị PULLER</t>
  </si>
  <si>
    <t>Copper Hammer Head</t>
  </si>
  <si>
    <t>packing</t>
  </si>
  <si>
    <t>AL-N11-ABP</t>
  </si>
  <si>
    <t>AL-N11-ABQ</t>
  </si>
  <si>
    <t>AL-N11-ABR</t>
  </si>
  <si>
    <t>AL-N11-ABS</t>
  </si>
  <si>
    <t>AL-N11-ABT</t>
  </si>
  <si>
    <t>AL-N11-ABU</t>
  </si>
  <si>
    <t>Long wooden splint</t>
  </si>
  <si>
    <t>Short wooden splint</t>
  </si>
  <si>
    <t>SMC3-PA-001</t>
  </si>
  <si>
    <t>SMC3-PA-002</t>
  </si>
  <si>
    <t>SMC3-PA-003</t>
  </si>
  <si>
    <t>SMC3-PA-004</t>
  </si>
  <si>
    <t>SMC3-PA-005</t>
  </si>
  <si>
    <t>SMC3-PA-006</t>
  </si>
  <si>
    <t>Scotch-brite</t>
  </si>
  <si>
    <t>AL-N11-ABV</t>
  </si>
  <si>
    <t>AL-N11-ABW</t>
  </si>
  <si>
    <t>AL-N11-ABX</t>
  </si>
  <si>
    <t>AL-N11-ABY</t>
  </si>
  <si>
    <t>SMC3-PA-007</t>
  </si>
  <si>
    <t>SMC3-PA-008</t>
  </si>
  <si>
    <t>SMC3-PA-009</t>
  </si>
  <si>
    <t>SMC3-PA-010</t>
  </si>
  <si>
    <t>Pedestal of wooden crate 3M</t>
  </si>
  <si>
    <t>Top cover of wooden crate 3M</t>
  </si>
  <si>
    <t>Steel traps 0.6X16MM</t>
  </si>
  <si>
    <t>STRAPS-0.6X16MM</t>
  </si>
  <si>
    <t>AL-N11-ABZ</t>
  </si>
  <si>
    <t>CC-R50SP</t>
  </si>
  <si>
    <t>Oil Filter</t>
  </si>
  <si>
    <t>AL-N11-A5T</t>
  </si>
  <si>
    <t>AL-N11-AC1</t>
  </si>
  <si>
    <t>L-W-PAPER-NM3</t>
  </si>
  <si>
    <t>Large wrapping paper</t>
  </si>
  <si>
    <t>Saw blade for cutting wood</t>
  </si>
  <si>
    <t>AL-N11-A5U</t>
  </si>
  <si>
    <t>DINHXOAN-2.5X64</t>
  </si>
  <si>
    <t>Twisted coil nails 2.5X64(300 ea x 30 rolls)</t>
  </si>
  <si>
    <t>AL-N11-AC2</t>
  </si>
  <si>
    <t>AL-N11-AC3</t>
  </si>
  <si>
    <t>MAKITA-A-85628</t>
  </si>
  <si>
    <t xml:space="preserve">TIG Collet </t>
  </si>
  <si>
    <t>10N23</t>
  </si>
  <si>
    <t>AL-N11-A5V</t>
  </si>
  <si>
    <t>AL-N11-A5W</t>
  </si>
  <si>
    <t>SC-4-1</t>
  </si>
  <si>
    <t>Contactor SC-4-1 AC110V</t>
  </si>
  <si>
    <t>JA8376-K201</t>
  </si>
  <si>
    <t>Saw blade JA8376-K201</t>
  </si>
  <si>
    <t>AL-N11-AC4</t>
  </si>
  <si>
    <t>Puller machine</t>
  </si>
  <si>
    <t>FLOORTAP-3M-471-BLUE</t>
  </si>
  <si>
    <t>Floor tape 3M 471 (blue 50mmx33m)</t>
  </si>
  <si>
    <t>AL-N11-A5X</t>
  </si>
  <si>
    <t>3M-1290</t>
  </si>
  <si>
    <t>Active noise control</t>
  </si>
  <si>
    <t>AL-N11-A5Y</t>
  </si>
  <si>
    <t>Short wooden splint 3M</t>
  </si>
  <si>
    <t>Long wooden splint 3M</t>
  </si>
  <si>
    <t>2007000012253</t>
  </si>
  <si>
    <t>AL-N11-A5Z</t>
  </si>
  <si>
    <t>Snap ring set</t>
  </si>
  <si>
    <t>Hydraulic filter 51551</t>
  </si>
  <si>
    <t>51551</t>
  </si>
  <si>
    <t>AL-N11-A61</t>
  </si>
  <si>
    <t>5028901</t>
  </si>
  <si>
    <t>Hydraulic filter 51759</t>
  </si>
  <si>
    <t>AL-N11-A62</t>
  </si>
  <si>
    <t>Cutting machine 1</t>
  </si>
  <si>
    <t>Helmet 3M-H701R (White)</t>
  </si>
  <si>
    <t>3M-H701R</t>
  </si>
  <si>
    <t>AL-N11-A63</t>
  </si>
  <si>
    <t>Kệ spare</t>
  </si>
  <si>
    <t>AL-N11-A64</t>
  </si>
  <si>
    <t>CN11</t>
  </si>
  <si>
    <t>Rubber gloves CN11</t>
  </si>
  <si>
    <t>Tension springs</t>
  </si>
  <si>
    <t>UBB16-20</t>
  </si>
  <si>
    <t>AL-N11-A65</t>
  </si>
  <si>
    <t>Hàng dự bị máy đùn 1</t>
  </si>
  <si>
    <t>TDS-15016</t>
  </si>
  <si>
    <t>Tig Electrode</t>
  </si>
  <si>
    <t>AL-N11-A66</t>
  </si>
  <si>
    <t>Safety cutter 238B</t>
  </si>
  <si>
    <t>Auto guard cutter</t>
  </si>
  <si>
    <t>Push cut No.437</t>
  </si>
  <si>
    <t>238B</t>
  </si>
  <si>
    <t>TAG-1</t>
  </si>
  <si>
    <t>Battery 6ES7971-1AA00-0AA0</t>
  </si>
  <si>
    <t>Battery 6ES7291-8BA20-0XA0</t>
  </si>
  <si>
    <t>6ES7971-1AA00-0AA0</t>
  </si>
  <si>
    <t>6ES7291-8BA20-0XA0</t>
  </si>
  <si>
    <t>AL-N11-A67</t>
  </si>
  <si>
    <t>AL-N11-A68</t>
  </si>
  <si>
    <t>Pin PLC</t>
  </si>
  <si>
    <t>Buffer pad</t>
  </si>
  <si>
    <t>3M-5100</t>
  </si>
  <si>
    <t xml:space="preserve">Battery </t>
  </si>
  <si>
    <t>Battery FX3U-32BL</t>
  </si>
  <si>
    <t>Q6BAT</t>
  </si>
  <si>
    <t>FX3U-32BL</t>
  </si>
  <si>
    <t>AL-N11-A69</t>
  </si>
  <si>
    <t>AL-N11-A6A</t>
  </si>
  <si>
    <t>Kho hóa chất-25kg/bag</t>
  </si>
  <si>
    <t>Kho hóa chất (25ea/box)</t>
  </si>
  <si>
    <t>Pedestal of wooden crate 2M</t>
  </si>
  <si>
    <t>Top cover of wooden crate 2M</t>
  </si>
  <si>
    <t>Pedestal of wooden crate 2.2M</t>
  </si>
  <si>
    <t>Top cover of wooden crate 2.2M</t>
  </si>
  <si>
    <t>EPNOC-APN-2</t>
  </si>
  <si>
    <t>EPNOC GREASE (Extreme-Pressure Greases)</t>
  </si>
  <si>
    <t>AL-N11-Y1M</t>
  </si>
  <si>
    <t>P151244-016142</t>
  </si>
  <si>
    <t>Air filter</t>
  </si>
  <si>
    <t>CB5D009</t>
  </si>
  <si>
    <t>Carbide Bur CB5D009</t>
  </si>
  <si>
    <t>AL-N11-A6B</t>
  </si>
  <si>
    <t>Long life internal grease</t>
  </si>
  <si>
    <t>G-27</t>
  </si>
  <si>
    <t>AL-N11-A6C</t>
  </si>
  <si>
    <t>AL-N11-AC5</t>
  </si>
  <si>
    <t>AL-N11-AC6</t>
  </si>
  <si>
    <t>SMC3-PA-008-1</t>
  </si>
  <si>
    <t>SMC3-PA-011</t>
  </si>
  <si>
    <t>Gap filler splint</t>
  </si>
  <si>
    <t>Water filter LRC-8B</t>
  </si>
  <si>
    <t>LRC-8B</t>
  </si>
  <si>
    <t>Cooling</t>
  </si>
  <si>
    <t>Double-sided tape</t>
  </si>
  <si>
    <t>TAPE-3CMX3M</t>
  </si>
  <si>
    <t>AL-N11-AC7</t>
  </si>
  <si>
    <t>AL-N11-AC8</t>
  </si>
  <si>
    <t>S-350x35x3MM</t>
  </si>
  <si>
    <t>L-500x35x3MM</t>
  </si>
  <si>
    <t>AL-N11-AC9</t>
  </si>
  <si>
    <t>SMC3-PA-008-2</t>
  </si>
  <si>
    <t>Top cover of wooden crate 2M7</t>
  </si>
  <si>
    <t>Coated wire mesh</t>
  </si>
  <si>
    <t>5MMX1000M</t>
  </si>
  <si>
    <t>Glass beads</t>
  </si>
  <si>
    <t>FGB-120</t>
  </si>
  <si>
    <t>SAP: 207 BAG
Thực tế: 80</t>
  </si>
  <si>
    <t>Kho hóa chất (18kg/can)</t>
  </si>
  <si>
    <t>CB1D002</t>
  </si>
  <si>
    <t>CB2D004</t>
  </si>
  <si>
    <t>Carbide Bur CB1D002</t>
  </si>
  <si>
    <t>Carbide Bur CB2D004</t>
  </si>
  <si>
    <t>AL-N11-A6D</t>
  </si>
  <si>
    <t>AL-N11-A6E</t>
  </si>
  <si>
    <t>1.25Y-3</t>
  </si>
  <si>
    <t>R5.5-5</t>
  </si>
  <si>
    <t>R8-6</t>
  </si>
  <si>
    <t>R22-10</t>
  </si>
  <si>
    <t>Nichifu Terminal 1.25Y-3</t>
  </si>
  <si>
    <t>Crimping Terminal</t>
  </si>
  <si>
    <t>Terminal R8-6</t>
  </si>
  <si>
    <t>Terminal R22-10</t>
  </si>
  <si>
    <t>Lắp máy đùn 2</t>
  </si>
  <si>
    <t>Paint Pen  PX20 (Green)</t>
  </si>
  <si>
    <t>Anchor bolts</t>
  </si>
  <si>
    <t>C-850-M8</t>
  </si>
  <si>
    <t>AL-N11-A6F</t>
  </si>
  <si>
    <t>Coil Springs</t>
  </si>
  <si>
    <t>SWF30-25</t>
  </si>
  <si>
    <t>AL-N11-A6G</t>
  </si>
  <si>
    <t>Stretcher machine</t>
  </si>
  <si>
    <t>Nichifu Terminal 1.25Y-4M</t>
  </si>
  <si>
    <t>Terminal</t>
  </si>
  <si>
    <t>Nichifu Terminal R14-8</t>
  </si>
  <si>
    <t>1.25Y-4M</t>
  </si>
  <si>
    <t>R2-4</t>
  </si>
  <si>
    <t>R14-8</t>
  </si>
  <si>
    <t>Lắp máy đùn 2 (1BAG=100 EA)</t>
  </si>
  <si>
    <t>ORGATROL-3201</t>
  </si>
  <si>
    <t>ORGATROL-2200</t>
  </si>
  <si>
    <t>ORGATROL-1107</t>
  </si>
  <si>
    <t>ORGATROL-BIOCIDE</t>
  </si>
  <si>
    <t>Corrosion &amp; scale dispersant inhibitor chemical</t>
  </si>
  <si>
    <t>Non-Oxidizing biocide</t>
  </si>
  <si>
    <t>Oxidizing biocide</t>
  </si>
  <si>
    <t>Bio-dispersant</t>
  </si>
  <si>
    <t>viên</t>
  </si>
  <si>
    <t>AL-N11-Y1N</t>
  </si>
  <si>
    <t>AL-N11-Y1P</t>
  </si>
  <si>
    <t>AL-N11-Y1Q</t>
  </si>
  <si>
    <t>AL-N11-Y1R</t>
  </si>
  <si>
    <t>DNCK12</t>
  </si>
  <si>
    <t>Steel conduit Fitting</t>
  </si>
  <si>
    <t>DNCK34</t>
  </si>
  <si>
    <t>DNCK100</t>
  </si>
  <si>
    <t>DNCK114</t>
  </si>
  <si>
    <t>DNCK112</t>
  </si>
  <si>
    <t>DNCK200</t>
  </si>
  <si>
    <t>DNCK300</t>
  </si>
  <si>
    <t>Connector for Flex Pipe and Box D76.2mm</t>
  </si>
  <si>
    <t>MCK12</t>
  </si>
  <si>
    <t xml:space="preserve">Conector for Flex Pipe with Pipe </t>
  </si>
  <si>
    <t>MCK34</t>
  </si>
  <si>
    <t>MCK100</t>
  </si>
  <si>
    <t>MCK114</t>
  </si>
  <si>
    <t>MCK112</t>
  </si>
  <si>
    <t>MCK200</t>
  </si>
  <si>
    <t>OMB12CVL</t>
  </si>
  <si>
    <t>Flexible conduit</t>
  </si>
  <si>
    <t>OMB34CVL</t>
  </si>
  <si>
    <t>OMB100CVL</t>
  </si>
  <si>
    <t>OMB114CVL</t>
  </si>
  <si>
    <t>OMB112CVL</t>
  </si>
  <si>
    <t>OMB200CVL</t>
  </si>
  <si>
    <t>OMB300CVL</t>
  </si>
  <si>
    <t>Flexible conduit D=76.2mm (Inside)</t>
  </si>
  <si>
    <t>AMF12</t>
  </si>
  <si>
    <t>Metal Ferrule For Flexible Conduit D=16mm (Inside)</t>
  </si>
  <si>
    <t>AMF34</t>
  </si>
  <si>
    <t>Metal Ferrule For Flexible Conduit D=21.1mm (Inside)</t>
  </si>
  <si>
    <t>AMF100</t>
  </si>
  <si>
    <t>Metal Ferrule For Flexible Conduit D=26.8mm (Inside)</t>
  </si>
  <si>
    <t>AMF114</t>
  </si>
  <si>
    <t>Metal Ferrule For Flexible Conduit D=35.4mm (Inside)</t>
  </si>
  <si>
    <t>AMF112</t>
  </si>
  <si>
    <t>Metal Ferrule For Flexible Conduit D=40.3mm (Inside)</t>
  </si>
  <si>
    <t>AMF200</t>
  </si>
  <si>
    <t>Metal Ferrule For Flexible Conduit D=51.6mm (Inside)</t>
  </si>
  <si>
    <t>AMF300</t>
  </si>
  <si>
    <t>Metal Ferrule For Flexible Conduit D=76.2mm (Inside)</t>
  </si>
  <si>
    <t>R2-5-1</t>
  </si>
  <si>
    <t>Solderless Terminal</t>
  </si>
  <si>
    <t>4489</t>
  </si>
  <si>
    <t>AL-N11-Y12</t>
  </si>
  <si>
    <t>AL-N11-Y14</t>
  </si>
  <si>
    <t>R3.5-5L</t>
  </si>
  <si>
    <t>Nichifu Terminal R3.5-5L</t>
  </si>
  <si>
    <t>Meter</t>
  </si>
  <si>
    <t>MU-20-A</t>
  </si>
  <si>
    <t>Lubrication Quantitation Valve</t>
  </si>
  <si>
    <t>N140GCK</t>
  </si>
  <si>
    <t>Torque Wrench</t>
  </si>
  <si>
    <t>AL-N11-ACA</t>
  </si>
  <si>
    <t>AAEH0810</t>
  </si>
  <si>
    <t>Wrench with 2 round heads 8x10mm</t>
  </si>
  <si>
    <t>AAEH1012</t>
  </si>
  <si>
    <t>Wrench with 2 round heads 10x12mm</t>
  </si>
  <si>
    <t>AAAH2932</t>
  </si>
  <si>
    <t>Wrench with 2 round heads 29x32mm</t>
  </si>
  <si>
    <t>AAEH3436</t>
  </si>
  <si>
    <t>Wrench with 2 round heads 34x36mm</t>
  </si>
  <si>
    <t>12856COT-32</t>
  </si>
  <si>
    <t>Pipe cutting tool (3-32mm)</t>
  </si>
  <si>
    <t>VANBI-27-DN20</t>
  </si>
  <si>
    <t>Stainless Steel Ball Valve DN20</t>
  </si>
  <si>
    <t>AL-N11-A6H</t>
  </si>
  <si>
    <t>PNK-VAN-0922</t>
  </si>
  <si>
    <t>Stainless Steel Nipple</t>
  </si>
  <si>
    <t>AL-N11-A6I</t>
  </si>
  <si>
    <t>VCI-1X100-97GSM</t>
  </si>
  <si>
    <t>AL-N11-ACB</t>
  </si>
  <si>
    <t>Anti-rust paper 97 gsm</t>
  </si>
  <si>
    <t>TYK-T5</t>
  </si>
  <si>
    <t>Gloves for Welding</t>
  </si>
  <si>
    <t>50EA/BOX</t>
  </si>
  <si>
    <t>MU-10</t>
  </si>
  <si>
    <t>MU-12</t>
  </si>
  <si>
    <t>Chemical Anchor MU10</t>
  </si>
  <si>
    <t>Chemical Anchor MU12</t>
  </si>
  <si>
    <t>R2-3.5-1</t>
  </si>
  <si>
    <t>Uninsulated Crimping Terminal (2xΦ3.5)</t>
  </si>
  <si>
    <t>R38-12-1</t>
  </si>
  <si>
    <t>CV-S2SQ-3C</t>
  </si>
  <si>
    <t>Electric Wire</t>
  </si>
  <si>
    <t>CVVS-2SQ-10C</t>
  </si>
  <si>
    <t>HDC10HE</t>
  </si>
  <si>
    <t>S10ME</t>
  </si>
  <si>
    <t>CT1S20HE</t>
  </si>
  <si>
    <t>CT1S40HE-2M</t>
  </si>
  <si>
    <t>CT1S40HE-1M</t>
  </si>
  <si>
    <t>Grinding Extraction table</t>
  </si>
  <si>
    <t>Seperator</t>
  </si>
  <si>
    <t>Straight Section CT1S2010HE</t>
  </si>
  <si>
    <t>Straight Section CT1S4010HE</t>
  </si>
  <si>
    <t>L1S2010LE</t>
  </si>
  <si>
    <t>L1S4010ME</t>
  </si>
  <si>
    <t>L1S6010ME</t>
  </si>
  <si>
    <t>L1T20202010LE</t>
  </si>
  <si>
    <t>L1E202010LE</t>
  </si>
  <si>
    <t>L1E404010ME-900-400</t>
  </si>
  <si>
    <t>L1T40204010ME</t>
  </si>
  <si>
    <t>L1E404010ME-800</t>
  </si>
  <si>
    <t>L1T20402010ME</t>
  </si>
  <si>
    <t>L1E606010ME</t>
  </si>
  <si>
    <t>Straight Section</t>
  </si>
  <si>
    <t xml:space="preserve">Horizontal Tee </t>
  </si>
  <si>
    <t xml:space="preserve">Horizontal Elbow </t>
  </si>
  <si>
    <t>Splice</t>
  </si>
  <si>
    <t>L-ST10E</t>
  </si>
  <si>
    <t>Mix gas 1% H2 + AR balance (99%)</t>
  </si>
  <si>
    <t>AL-N11-G14</t>
  </si>
  <si>
    <t>AL-N11-G15</t>
  </si>
  <si>
    <t>AL-N11-G16</t>
  </si>
  <si>
    <t>17743
XK 1 unit=&gt;A00484</t>
  </si>
  <si>
    <t>NK0501</t>
  </si>
  <si>
    <t>AIBD-7636</t>
  </si>
  <si>
    <t>PO10619
MF17436
MF17887</t>
  </si>
  <si>
    <t>PO10586</t>
  </si>
  <si>
    <t>NK0801</t>
  </si>
  <si>
    <t>AIBD-7647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</si>
</sst>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¥&quot;#,##0_);[Red]\(&quot;¥&quot;#,##0\)"/>
    <numFmt numFmtId="165" formatCode="&quot;¥&quot;#,##0.00_);[Red]\(&quot;¥&quot;#,##0.00\)"/>
    <numFmt numFmtId="166" formatCode="_(* #,##0_);_(* \(#,##0\);_(* &quot;-&quot;??_);_(@_)"/>
    <numFmt numFmtId="167" formatCode="#,##0.0000000000_);\(#,##0.0000000000\)"/>
    <numFmt numFmtId="168" formatCode="0.00000%"/>
    <numFmt numFmtId="169" formatCode="0.00_)"/>
  </numFmts>
  <fonts count="71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0"/>
      <name val="Arial"/>
      <family val="2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i/>
      <sz val="10"/>
      <color rgb="FF000000"/>
      <name val="Arial"/>
      <family val="2"/>
    </font>
    <font>
      <sz val="13"/>
      <color rgb="FF000000"/>
      <name val="Arial"/>
      <family val="2"/>
    </font>
    <font>
      <b/>
      <sz val="10"/>
      <color rgb="FF000000"/>
      <name val="Arial"/>
      <family val="2"/>
    </font>
    <font>
      <b/>
      <i/>
      <sz val="10"/>
      <color rgb="FF000000"/>
      <name val="Arial"/>
      <family val="2"/>
    </font>
    <font>
      <b/>
      <sz val="12"/>
      <color rgb="FF000000"/>
      <name val="Arial"/>
      <family val="2"/>
    </font>
    <font>
      <b/>
      <i/>
      <sz val="9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4"/>
      <name val="ＭＳ 明朝"/>
      <family val="1"/>
      <charset val="128"/>
    </font>
    <font>
      <sz val="9"/>
      <color theme="1"/>
      <name val="Arial"/>
      <family val="2"/>
      <charset val="163"/>
    </font>
    <font>
      <b/>
      <sz val="9"/>
      <color theme="0"/>
      <name val="Arial"/>
      <family val="2"/>
      <charset val="163"/>
    </font>
    <font>
      <b/>
      <sz val="11"/>
      <color rgb="FF000000"/>
      <name val="Arial"/>
      <family val="2"/>
    </font>
    <font>
      <b/>
      <sz val="18"/>
      <color rgb="FF000000"/>
      <name val="Arial"/>
      <family val="2"/>
    </font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9"/>
      <color rgb="FF000000"/>
      <name val="Arial"/>
      <family val="2"/>
    </font>
    <font>
      <b/>
      <i/>
      <sz val="9"/>
      <name val="Arial"/>
      <family val="2"/>
    </font>
    <font>
      <b/>
      <sz val="10"/>
      <color rgb="FF000000"/>
      <name val="Arial"/>
      <family val="2"/>
      <charset val="163"/>
    </font>
    <font>
      <b/>
      <sz val="10"/>
      <name val="Arial"/>
      <family val="2"/>
      <charset val="163"/>
    </font>
    <font>
      <b/>
      <sz val="9"/>
      <name val="Arial"/>
      <family val="2"/>
      <charset val="163"/>
    </font>
    <font>
      <sz val="8"/>
      <color rgb="FF000000"/>
      <name val="Arial"/>
      <family val="2"/>
    </font>
    <font>
      <i/>
      <sz val="8"/>
      <color rgb="FF000000"/>
      <name val="Arial"/>
      <family val="2"/>
    </font>
    <font>
      <sz val="9"/>
      <color rgb="FF000000"/>
      <name val="Arial"/>
      <family val="2"/>
    </font>
    <font>
      <sz val="14"/>
      <color rgb="FF000000"/>
      <name val="CODE39"/>
      <family val="2"/>
    </font>
    <font>
      <b/>
      <sz val="8"/>
      <color rgb="FF000000"/>
      <name val="Arial"/>
      <family val="2"/>
    </font>
    <font>
      <b/>
      <i/>
      <sz val="8"/>
      <color rgb="FF000000"/>
      <name val="Arial"/>
      <family val="2"/>
    </font>
    <font>
      <sz val="10"/>
      <color theme="1"/>
      <name val="Arial"/>
      <family val="2"/>
    </font>
    <font>
      <i/>
      <sz val="10"/>
      <color theme="0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sz val="11"/>
      <name val="明朝"/>
      <family val="1"/>
      <charset val="128"/>
    </font>
    <font>
      <sz val="11"/>
      <name val="??"/>
      <family val="3"/>
    </font>
    <font>
      <sz val="8"/>
      <name val="Arial"/>
      <family val="2"/>
    </font>
    <font>
      <b/>
      <u/>
      <sz val="11"/>
      <color indexed="37"/>
      <name val="Arial"/>
      <family val="2"/>
    </font>
    <font>
      <sz val="7"/>
      <name val="Arial"/>
      <family val="2"/>
    </font>
    <font>
      <sz val="10"/>
      <color indexed="12"/>
      <name val="Arial"/>
      <family val="2"/>
    </font>
    <font>
      <sz val="7"/>
      <name val="Small Fonts"/>
      <family val="3"/>
      <charset val="128"/>
    </font>
    <font>
      <b/>
      <i/>
      <sz val="16"/>
      <name val="Helv"/>
      <family val="2"/>
    </font>
    <font>
      <sz val="12"/>
      <name val="Arial"/>
      <family val="2"/>
    </font>
    <font>
      <sz val="8"/>
      <color indexed="12"/>
      <name val="Arial"/>
      <family val="2"/>
    </font>
    <font>
      <sz val="10"/>
      <color indexed="8"/>
      <name val="MS Sans Serif"/>
      <family val="2"/>
    </font>
    <font>
      <sz val="12"/>
      <name val="宋体"/>
      <family val="3"/>
      <charset val="128"/>
    </font>
    <font>
      <sz val="12"/>
      <name val="ＭＳ 明朝"/>
      <family val="1"/>
      <charset val="128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12"/>
      <name val="ＭＳ Ｐゴシック"/>
      <family val="3"/>
      <charset val="128"/>
    </font>
    <font>
      <sz val="12"/>
      <color indexed="8"/>
      <name val="HG丸ｺﾞｼｯｸM-PRO"/>
      <family val="3"/>
      <charset val="128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9"/>
      <name val="Arial"/>
      <family val="2"/>
      <charset val="163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2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3" fillId="0" borderId="0"/>
    <xf numFmtId="0" fontId="4" fillId="0" borderId="0">
      <alignment vertical="center"/>
    </xf>
    <xf numFmtId="0" fontId="5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7" fillId="0" borderId="0"/>
    <xf numFmtId="38" fontId="4" fillId="0" borderId="0" applyFont="0" applyFill="0" applyBorder="0" applyAlignment="0" applyProtection="0">
      <alignment vertical="center"/>
    </xf>
    <xf numFmtId="0" fontId="18" fillId="0" borderId="0"/>
    <xf numFmtId="38" fontId="1" fillId="0" borderId="0" applyFont="0" applyFill="0" applyBorder="0" applyAlignment="0" applyProtection="0"/>
    <xf numFmtId="38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0" fontId="1" fillId="0" borderId="0"/>
    <xf numFmtId="167" fontId="18" fillId="7" borderId="13">
      <alignment horizontal="center" vertical="center"/>
    </xf>
    <xf numFmtId="6" fontId="41" fillId="0" borderId="0">
      <protection locked="0"/>
    </xf>
    <xf numFmtId="168" fontId="40" fillId="0" borderId="0">
      <protection locked="0"/>
    </xf>
    <xf numFmtId="38" fontId="42" fillId="8" borderId="0" applyNumberFormat="0" applyBorder="0" applyAlignment="0" applyProtection="0"/>
    <xf numFmtId="0" fontId="43" fillId="0" borderId="0" applyNumberFormat="0" applyFill="0" applyBorder="0" applyAlignment="0" applyProtection="0"/>
    <xf numFmtId="0" fontId="44" fillId="0" borderId="0">
      <protection locked="0"/>
    </xf>
    <xf numFmtId="0" fontId="44" fillId="0" borderId="0">
      <protection locked="0"/>
    </xf>
    <xf numFmtId="0" fontId="45" fillId="0" borderId="14" applyNumberFormat="0" applyFill="0" applyAlignment="0" applyProtection="0"/>
    <xf numFmtId="10" fontId="42" fillId="9" borderId="10" applyNumberFormat="0" applyBorder="0" applyAlignment="0" applyProtection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7" fontId="46" fillId="0" borderId="0"/>
    <xf numFmtId="169" fontId="47" fillId="0" borderId="0"/>
    <xf numFmtId="0" fontId="48" fillId="0" borderId="0"/>
    <xf numFmtId="10" fontId="7" fillId="0" borderId="0" applyFont="0" applyFill="0" applyBorder="0" applyAlignment="0" applyProtection="0"/>
    <xf numFmtId="0" fontId="44" fillId="0" borderId="15">
      <protection locked="0"/>
    </xf>
    <xf numFmtId="37" fontId="42" fillId="10" borderId="0" applyNumberFormat="0" applyBorder="0" applyAlignment="0" applyProtection="0"/>
    <xf numFmtId="37" fontId="42" fillId="0" borderId="0"/>
    <xf numFmtId="37" fontId="42" fillId="8" borderId="0" applyNumberFormat="0" applyBorder="0" applyAlignment="0" applyProtection="0"/>
    <xf numFmtId="3" fontId="49" fillId="0" borderId="14" applyProtection="0"/>
    <xf numFmtId="42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1" fillId="0" borderId="0"/>
    <xf numFmtId="0" fontId="5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40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52" fillId="0" borderId="0"/>
    <xf numFmtId="0" fontId="18" fillId="0" borderId="0"/>
    <xf numFmtId="0" fontId="1" fillId="0" borderId="0"/>
    <xf numFmtId="0" fontId="1" fillId="0" borderId="0"/>
    <xf numFmtId="0" fontId="62" fillId="0" borderId="0"/>
    <xf numFmtId="38" fontId="63" fillId="0" borderId="0" applyFont="0" applyFill="0" applyBorder="0" applyAlignment="0" applyProtection="0">
      <alignment vertical="center"/>
    </xf>
  </cellStyleXfs>
  <cellXfs count="203">
    <xf numFmtId="0" fontId="0" fillId="0" borderId="0" xfId="0"/>
    <xf numFmtId="0" fontId="3" fillId="2" borderId="0" xfId="3" applyFill="1" applyAlignment="1">
      <alignment vertical="center"/>
    </xf>
    <xf numFmtId="0" fontId="3" fillId="2" borderId="0" xfId="3" applyFill="1" applyAlignment="1">
      <alignment horizontal="left" vertical="center"/>
    </xf>
    <xf numFmtId="0" fontId="10" fillId="2" borderId="0" xfId="3" applyFont="1" applyFill="1" applyAlignment="1">
      <alignment vertical="center"/>
    </xf>
    <xf numFmtId="0" fontId="9" fillId="2" borderId="0" xfId="3" applyFont="1" applyFill="1" applyAlignment="1">
      <alignment vertical="center"/>
    </xf>
    <xf numFmtId="0" fontId="9" fillId="2" borderId="0" xfId="3" applyFont="1" applyFill="1" applyAlignment="1">
      <alignment horizontal="left" vertical="center"/>
    </xf>
    <xf numFmtId="0" fontId="8" fillId="2" borderId="0" xfId="3" applyFont="1" applyFill="1" applyAlignment="1">
      <alignment vertical="center"/>
    </xf>
    <xf numFmtId="0" fontId="8" fillId="2" borderId="0" xfId="3" applyFont="1" applyFill="1" applyAlignment="1">
      <alignment horizontal="left" vertical="center"/>
    </xf>
    <xf numFmtId="0" fontId="11" fillId="2" borderId="0" xfId="3" applyFont="1" applyFill="1" applyAlignment="1">
      <alignment vertical="center"/>
    </xf>
    <xf numFmtId="0" fontId="11" fillId="2" borderId="0" xfId="3" applyFont="1" applyFill="1" applyAlignment="1">
      <alignment horizontal="left" vertical="center"/>
    </xf>
    <xf numFmtId="0" fontId="12" fillId="2" borderId="0" xfId="3" applyFont="1" applyFill="1" applyAlignment="1">
      <alignment vertical="center"/>
    </xf>
    <xf numFmtId="0" fontId="15" fillId="2" borderId="0" xfId="3" applyFont="1" applyFill="1" applyAlignment="1">
      <alignment horizontal="center" vertical="center"/>
    </xf>
    <xf numFmtId="0" fontId="13" fillId="2" borderId="0" xfId="3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0" fillId="3" borderId="0" xfId="0" applyFont="1" applyFill="1" applyAlignment="1">
      <alignment vertical="center"/>
    </xf>
    <xf numFmtId="0" fontId="19" fillId="3" borderId="0" xfId="0" applyFont="1" applyFill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0" fillId="2" borderId="0" xfId="3" applyFont="1" applyFill="1" applyAlignment="1">
      <alignment vertical="top"/>
    </xf>
    <xf numFmtId="0" fontId="10" fillId="2" borderId="0" xfId="3" applyFont="1" applyFill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19" fillId="3" borderId="0" xfId="0" applyFont="1" applyFill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21" fillId="2" borderId="0" xfId="3" applyFont="1" applyFill="1" applyAlignment="1">
      <alignment vertical="center"/>
    </xf>
    <xf numFmtId="0" fontId="20" fillId="4" borderId="0" xfId="0" applyFont="1" applyFill="1" applyAlignment="1">
      <alignment horizontal="left" vertical="center"/>
    </xf>
    <xf numFmtId="0" fontId="20" fillId="4" borderId="0" xfId="0" applyFont="1" applyFill="1" applyAlignment="1">
      <alignment horizontal="right" vertical="center"/>
    </xf>
    <xf numFmtId="0" fontId="19" fillId="4" borderId="0" xfId="0" applyFont="1" applyFill="1" applyAlignment="1">
      <alignment horizontal="left" vertical="center"/>
    </xf>
    <xf numFmtId="0" fontId="20" fillId="5" borderId="0" xfId="0" applyFont="1" applyFill="1" applyAlignment="1">
      <alignment horizontal="left" vertical="center"/>
    </xf>
    <xf numFmtId="0" fontId="12" fillId="0" borderId="0" xfId="3" applyFont="1" applyAlignment="1">
      <alignment vertical="center" wrapText="1"/>
    </xf>
    <xf numFmtId="0" fontId="3" fillId="0" borderId="0" xfId="3" applyAlignment="1">
      <alignment vertical="center"/>
    </xf>
    <xf numFmtId="0" fontId="3" fillId="0" borderId="10" xfId="3" applyBorder="1" applyAlignment="1">
      <alignment horizontal="center" vertical="center"/>
    </xf>
    <xf numFmtId="0" fontId="22" fillId="2" borderId="0" xfId="3" applyFont="1" applyFill="1" applyAlignment="1">
      <alignment vertical="center"/>
    </xf>
    <xf numFmtId="0" fontId="14" fillId="2" borderId="0" xfId="3" applyFont="1" applyFill="1" applyAlignment="1">
      <alignment vertical="center"/>
    </xf>
    <xf numFmtId="49" fontId="17" fillId="0" borderId="10" xfId="0" applyNumberFormat="1" applyFont="1" applyBorder="1" applyAlignment="1" applyProtection="1">
      <alignment horizontal="center" vertical="center"/>
      <protection locked="0"/>
    </xf>
    <xf numFmtId="0" fontId="25" fillId="2" borderId="0" xfId="3" applyFont="1" applyFill="1" applyAlignment="1">
      <alignment horizontal="center" vertical="center"/>
    </xf>
    <xf numFmtId="0" fontId="14" fillId="2" borderId="0" xfId="3" applyFont="1" applyFill="1" applyAlignment="1">
      <alignment vertical="top"/>
    </xf>
    <xf numFmtId="0" fontId="15" fillId="6" borderId="1" xfId="3" applyFont="1" applyFill="1" applyBorder="1" applyAlignment="1">
      <alignment horizontal="center" vertical="top" wrapText="1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vertical="center"/>
    </xf>
    <xf numFmtId="0" fontId="8" fillId="0" borderId="0" xfId="3" applyFont="1" applyAlignment="1">
      <alignment horizontal="left" vertical="center"/>
    </xf>
    <xf numFmtId="0" fontId="3" fillId="0" borderId="0" xfId="3" applyAlignment="1">
      <alignment horizontal="left" vertical="center"/>
    </xf>
    <xf numFmtId="14" fontId="8" fillId="2" borderId="0" xfId="3" applyNumberFormat="1" applyFont="1" applyFill="1" applyAlignment="1">
      <alignment vertical="center"/>
    </xf>
    <xf numFmtId="14" fontId="3" fillId="2" borderId="0" xfId="3" applyNumberFormat="1" applyFill="1" applyAlignment="1">
      <alignment vertical="center"/>
    </xf>
    <xf numFmtId="0" fontId="25" fillId="6" borderId="2" xfId="3" applyFont="1" applyFill="1" applyBorder="1" applyAlignment="1">
      <alignment horizontal="center" wrapText="1"/>
    </xf>
    <xf numFmtId="0" fontId="3" fillId="2" borderId="0" xfId="3" applyFill="1"/>
    <xf numFmtId="14" fontId="20" fillId="5" borderId="0" xfId="0" applyNumberFormat="1" applyFont="1" applyFill="1" applyAlignment="1">
      <alignment horizontal="left" vertical="center"/>
    </xf>
    <xf numFmtId="14" fontId="19" fillId="0" borderId="0" xfId="0" applyNumberFormat="1" applyFont="1" applyAlignment="1">
      <alignment horizontal="left" vertical="center"/>
    </xf>
    <xf numFmtId="14" fontId="20" fillId="3" borderId="0" xfId="0" applyNumberFormat="1" applyFont="1" applyFill="1" applyAlignment="1">
      <alignment vertical="center"/>
    </xf>
    <xf numFmtId="0" fontId="30" fillId="2" borderId="0" xfId="3" applyFont="1" applyFill="1" applyAlignment="1">
      <alignment vertical="center"/>
    </xf>
    <xf numFmtId="0" fontId="31" fillId="2" borderId="0" xfId="3" applyFont="1" applyFill="1" applyAlignment="1">
      <alignment vertical="top"/>
    </xf>
    <xf numFmtId="0" fontId="31" fillId="2" borderId="0" xfId="3" applyFont="1" applyFill="1" applyAlignment="1">
      <alignment horizontal="left" vertical="top"/>
    </xf>
    <xf numFmtId="0" fontId="30" fillId="2" borderId="0" xfId="3" applyFont="1" applyFill="1"/>
    <xf numFmtId="0" fontId="31" fillId="2" borderId="0" xfId="3" applyFont="1" applyFill="1" applyAlignment="1">
      <alignment horizontal="right"/>
    </xf>
    <xf numFmtId="0" fontId="20" fillId="4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30" fillId="2" borderId="0" xfId="3" applyFont="1" applyFill="1" applyAlignment="1">
      <alignment vertical="top"/>
    </xf>
    <xf numFmtId="0" fontId="0" fillId="4" borderId="0" xfId="0" applyFill="1"/>
    <xf numFmtId="49" fontId="36" fillId="0" borderId="0" xfId="0" applyNumberFormat="1" applyFont="1" applyAlignment="1">
      <alignment horizontal="left" vertical="center"/>
    </xf>
    <xf numFmtId="0" fontId="37" fillId="2" borderId="0" xfId="3" applyFont="1" applyFill="1" applyAlignment="1">
      <alignment horizontal="center" vertical="center"/>
    </xf>
    <xf numFmtId="0" fontId="38" fillId="2" borderId="0" xfId="3" applyFont="1" applyFill="1" applyAlignment="1">
      <alignment horizontal="center" vertical="center"/>
    </xf>
    <xf numFmtId="0" fontId="39" fillId="2" borderId="0" xfId="3" applyFont="1" applyFill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166" fontId="17" fillId="0" borderId="0" xfId="12" applyNumberFormat="1" applyFont="1" applyBorder="1" applyAlignment="1" applyProtection="1">
      <alignment horizontal="right" vertical="center"/>
    </xf>
    <xf numFmtId="166" fontId="17" fillId="0" borderId="0" xfId="12" applyNumberFormat="1" applyFont="1" applyFill="1" applyBorder="1" applyAlignment="1" applyProtection="1">
      <alignment horizontal="right" vertical="center"/>
    </xf>
    <xf numFmtId="49" fontId="54" fillId="0" borderId="0" xfId="0" applyNumberFormat="1" applyFont="1" applyAlignment="1">
      <alignment horizontal="left" vertical="center"/>
    </xf>
    <xf numFmtId="49" fontId="56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center"/>
    </xf>
    <xf numFmtId="49" fontId="57" fillId="0" borderId="0" xfId="0" applyNumberFormat="1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14" fontId="19" fillId="11" borderId="0" xfId="0" applyNumberFormat="1" applyFont="1" applyFill="1" applyAlignment="1">
      <alignment horizontal="left" vertical="center"/>
    </xf>
    <xf numFmtId="0" fontId="19" fillId="11" borderId="0" xfId="0" applyFont="1" applyFill="1" applyAlignment="1">
      <alignment horizontal="left" vertical="center"/>
    </xf>
    <xf numFmtId="0" fontId="19" fillId="11" borderId="0" xfId="0" applyFont="1" applyFill="1" applyAlignment="1">
      <alignment horizontal="center" vertical="center"/>
    </xf>
    <xf numFmtId="166" fontId="17" fillId="0" borderId="0" xfId="12" applyNumberFormat="1" applyFont="1" applyBorder="1" applyAlignment="1" applyProtection="1">
      <alignment horizontal="left" vertical="center"/>
    </xf>
    <xf numFmtId="166" fontId="17" fillId="0" borderId="0" xfId="12" applyNumberFormat="1" applyFont="1" applyFill="1" applyBorder="1" applyAlignment="1" applyProtection="1">
      <alignment horizontal="left" vertical="center"/>
    </xf>
    <xf numFmtId="0" fontId="20" fillId="3" borderId="0" xfId="0" applyFont="1" applyFill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67" fillId="0" borderId="0" xfId="0" applyFont="1" applyAlignment="1">
      <alignment horizontal="left" vertical="center"/>
    </xf>
    <xf numFmtId="49" fontId="61" fillId="0" borderId="0" xfId="0" applyNumberFormat="1" applyFont="1" applyAlignment="1">
      <alignment horizontal="left" vertical="center"/>
    </xf>
    <xf numFmtId="166" fontId="61" fillId="0" borderId="0" xfId="12" applyNumberFormat="1" applyFont="1" applyFill="1" applyBorder="1" applyAlignment="1" applyProtection="1">
      <alignment horizontal="right" vertical="center"/>
    </xf>
    <xf numFmtId="49" fontId="59" fillId="0" borderId="0" xfId="0" applyNumberFormat="1" applyFont="1" applyAlignment="1">
      <alignment horizontal="left" vertical="center"/>
    </xf>
    <xf numFmtId="166" fontId="59" fillId="0" borderId="0" xfId="12" applyNumberFormat="1" applyFont="1" applyFill="1" applyBorder="1" applyAlignment="1" applyProtection="1">
      <alignment horizontal="right" vertical="center"/>
    </xf>
    <xf numFmtId="166" fontId="57" fillId="0" borderId="0" xfId="12" applyNumberFormat="1" applyFont="1" applyFill="1" applyBorder="1" applyAlignment="1" applyProtection="1">
      <alignment horizontal="right" vertical="center"/>
    </xf>
    <xf numFmtId="166" fontId="56" fillId="0" borderId="0" xfId="12" applyNumberFormat="1" applyFont="1" applyFill="1" applyBorder="1" applyAlignment="1" applyProtection="1">
      <alignment horizontal="right" vertical="center"/>
    </xf>
    <xf numFmtId="49" fontId="53" fillId="0" borderId="0" xfId="0" applyNumberFormat="1" applyFont="1" applyAlignment="1">
      <alignment horizontal="left" vertical="center"/>
    </xf>
    <xf numFmtId="166" fontId="53" fillId="0" borderId="0" xfId="12" applyNumberFormat="1" applyFont="1" applyFill="1" applyBorder="1" applyAlignment="1" applyProtection="1">
      <alignment horizontal="right" vertical="center"/>
    </xf>
    <xf numFmtId="166" fontId="54" fillId="0" borderId="0" xfId="12" applyNumberFormat="1" applyFont="1" applyFill="1" applyBorder="1" applyAlignment="1" applyProtection="1">
      <alignment horizontal="right" vertical="center"/>
    </xf>
    <xf numFmtId="0" fontId="16" fillId="0" borderId="16" xfId="0" applyFont="1" applyBorder="1" applyAlignment="1">
      <alignment horizontal="left" vertical="top"/>
    </xf>
    <xf numFmtId="0" fontId="17" fillId="0" borderId="0" xfId="0" applyFont="1" applyAlignment="1">
      <alignment horizontal="left" vertical="center"/>
    </xf>
    <xf numFmtId="43" fontId="17" fillId="0" borderId="0" xfId="12" applyFont="1" applyBorder="1" applyAlignment="1" applyProtection="1">
      <alignment horizontal="left" vertical="center"/>
    </xf>
    <xf numFmtId="43" fontId="17" fillId="0" borderId="0" xfId="12" applyFont="1" applyBorder="1" applyAlignment="1" applyProtection="1">
      <alignment horizontal="right" vertical="center"/>
    </xf>
    <xf numFmtId="49" fontId="16" fillId="0" borderId="0" xfId="0" applyNumberFormat="1" applyFont="1" applyAlignment="1">
      <alignment horizontal="left" vertical="top"/>
    </xf>
    <xf numFmtId="49" fontId="17" fillId="0" borderId="0" xfId="0" applyNumberFormat="1" applyFont="1" applyAlignment="1">
      <alignment vertical="center"/>
    </xf>
    <xf numFmtId="166" fontId="66" fillId="0" borderId="0" xfId="12" applyNumberFormat="1" applyFont="1" applyFill="1" applyBorder="1" applyAlignment="1" applyProtection="1">
      <alignment horizontal="right" vertical="center"/>
    </xf>
    <xf numFmtId="49" fontId="68" fillId="0" borderId="0" xfId="0" applyNumberFormat="1" applyFont="1" applyAlignment="1">
      <alignment horizontal="left" vertical="center"/>
    </xf>
    <xf numFmtId="166" fontId="68" fillId="0" borderId="0" xfId="12" applyNumberFormat="1" applyFont="1" applyBorder="1" applyAlignment="1" applyProtection="1">
      <alignment horizontal="left" vertical="center"/>
    </xf>
    <xf numFmtId="0" fontId="68" fillId="0" borderId="0" xfId="0" applyFont="1" applyAlignment="1">
      <alignment horizontal="left" vertical="center"/>
    </xf>
    <xf numFmtId="166" fontId="69" fillId="0" borderId="0" xfId="12" applyNumberFormat="1" applyFont="1" applyBorder="1" applyAlignment="1" applyProtection="1">
      <alignment horizontal="left" vertical="center"/>
    </xf>
    <xf numFmtId="0" fontId="69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49" fontId="70" fillId="0" borderId="0" xfId="0" applyNumberFormat="1" applyFont="1" applyAlignment="1">
      <alignment horizontal="left" vertical="center"/>
    </xf>
    <xf numFmtId="166" fontId="70" fillId="0" borderId="0" xfId="12" applyNumberFormat="1" applyFont="1" applyBorder="1" applyAlignment="1" applyProtection="1">
      <alignment horizontal="left" vertical="center"/>
    </xf>
    <xf numFmtId="0" fontId="70" fillId="0" borderId="0" xfId="0" applyFont="1" applyAlignment="1">
      <alignment horizontal="left" vertical="center"/>
    </xf>
    <xf numFmtId="49" fontId="17" fillId="0" borderId="0" xfId="0" applyNumberFormat="1" applyFont="1" applyAlignment="1">
      <alignment horizontal="left" vertical="center" wrapText="1"/>
    </xf>
    <xf numFmtId="166" fontId="16" fillId="0" borderId="0" xfId="12" applyNumberFormat="1" applyFont="1" applyFill="1" applyBorder="1" applyAlignment="1">
      <alignment horizontal="left" vertical="top"/>
    </xf>
    <xf numFmtId="166" fontId="36" fillId="0" borderId="0" xfId="12" applyNumberFormat="1" applyFont="1" applyFill="1" applyBorder="1" applyAlignment="1" applyProtection="1">
      <alignment horizontal="right" vertical="center"/>
    </xf>
    <xf numFmtId="166" fontId="55" fillId="0" borderId="0" xfId="12" applyNumberFormat="1" applyFont="1" applyFill="1" applyBorder="1" applyAlignment="1" applyProtection="1">
      <alignment horizontal="right" vertical="center"/>
    </xf>
    <xf numFmtId="166" fontId="60" fillId="0" borderId="0" xfId="12" applyNumberFormat="1" applyFont="1" applyFill="1" applyBorder="1" applyAlignment="1" applyProtection="1">
      <alignment horizontal="left" vertical="center"/>
    </xf>
    <xf numFmtId="166" fontId="58" fillId="0" borderId="0" xfId="12" applyNumberFormat="1" applyFont="1" applyFill="1" applyBorder="1" applyAlignment="1" applyProtection="1">
      <alignment horizontal="right" vertical="center"/>
    </xf>
    <xf numFmtId="49" fontId="66" fillId="0" borderId="0" xfId="0" applyNumberFormat="1" applyFont="1" applyAlignment="1">
      <alignment horizontal="left" vertical="center"/>
    </xf>
    <xf numFmtId="166" fontId="66" fillId="0" borderId="0" xfId="12" applyNumberFormat="1" applyFont="1" applyFill="1" applyBorder="1" applyAlignment="1" applyProtection="1">
      <alignment horizontal="left" vertical="center"/>
    </xf>
    <xf numFmtId="166" fontId="68" fillId="0" borderId="0" xfId="12" applyNumberFormat="1" applyFont="1" applyFill="1" applyBorder="1" applyAlignment="1" applyProtection="1">
      <alignment horizontal="right" vertical="center"/>
    </xf>
    <xf numFmtId="166" fontId="68" fillId="0" borderId="0" xfId="12" applyNumberFormat="1" applyFont="1" applyFill="1" applyBorder="1" applyAlignment="1" applyProtection="1">
      <alignment horizontal="left" vertical="center"/>
    </xf>
    <xf numFmtId="49" fontId="69" fillId="0" borderId="0" xfId="0" applyNumberFormat="1" applyFont="1" applyAlignment="1">
      <alignment horizontal="left" vertical="center"/>
    </xf>
    <xf numFmtId="166" fontId="69" fillId="0" borderId="0" xfId="12" applyNumberFormat="1" applyFont="1" applyFill="1" applyBorder="1" applyAlignment="1" applyProtection="1">
      <alignment horizontal="right" vertical="center"/>
    </xf>
    <xf numFmtId="166" fontId="70" fillId="0" borderId="0" xfId="12" applyNumberFormat="1" applyFont="1" applyFill="1" applyBorder="1" applyAlignment="1" applyProtection="1">
      <alignment horizontal="right" vertical="center"/>
    </xf>
    <xf numFmtId="166" fontId="17" fillId="0" borderId="0" xfId="12" applyNumberFormat="1" applyFont="1" applyFill="1" applyBorder="1" applyAlignment="1">
      <alignment horizontal="right" vertical="center"/>
    </xf>
    <xf numFmtId="166" fontId="17" fillId="0" borderId="0" xfId="12" applyNumberFormat="1" applyFont="1" applyFill="1" applyAlignment="1" applyProtection="1">
      <alignment horizontal="left" vertical="center"/>
    </xf>
    <xf numFmtId="166" fontId="17" fillId="0" borderId="0" xfId="12" applyNumberFormat="1" applyFont="1" applyAlignment="1" applyProtection="1">
      <alignment horizontal="left" vertical="center"/>
    </xf>
    <xf numFmtId="166" fontId="17" fillId="0" borderId="0" xfId="12" applyNumberFormat="1" applyFont="1" applyFill="1" applyBorder="1" applyAlignment="1" applyProtection="1">
      <alignment horizontal="left" vertical="center" wrapText="1"/>
    </xf>
    <xf numFmtId="49" fontId="17" fillId="0" borderId="0" xfId="0" applyNumberFormat="1" applyFont="1" applyFill="1" applyAlignment="1" applyProtection="1">
      <alignment horizontal="left" vertical="center"/>
    </xf>
    <xf numFmtId="0" fontId="17" fillId="0" borderId="0" xfId="0" applyFont="1" applyAlignment="1" applyProtection="1">
      <alignment horizontal="left" vertical="center"/>
    </xf>
    <xf numFmtId="49" fontId="17" fillId="0" borderId="0" xfId="0" applyNumberFormat="1" applyFont="1" applyFill="1" applyAlignment="1">
      <alignment horizontal="left" vertical="center"/>
    </xf>
    <xf numFmtId="0" fontId="19" fillId="0" borderId="0" xfId="0" applyFont="1" applyFill="1" applyAlignment="1">
      <alignment horizontal="left" vertical="center"/>
    </xf>
    <xf numFmtId="0" fontId="19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 wrapText="1"/>
    </xf>
    <xf numFmtId="49" fontId="64" fillId="0" borderId="0" xfId="0" applyNumberFormat="1" applyFont="1" applyFill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64" fillId="0" borderId="0" xfId="0" applyFont="1" applyFill="1" applyAlignment="1">
      <alignment horizontal="left" vertical="center"/>
    </xf>
    <xf numFmtId="49" fontId="17" fillId="0" borderId="0" xfId="0" applyNumberFormat="1" applyFont="1" applyFill="1" applyAlignment="1" applyProtection="1">
      <alignment horizontal="left" vertical="center" wrapText="1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left" vertical="center" wrapText="1"/>
    </xf>
    <xf numFmtId="0" fontId="25" fillId="6" borderId="3" xfId="3" applyFont="1" applyFill="1" applyBorder="1" applyAlignment="1">
      <alignment horizontal="center" wrapText="1"/>
    </xf>
    <xf numFmtId="0" fontId="25" fillId="6" borderId="4" xfId="3" applyFont="1" applyFill="1" applyBorder="1" applyAlignment="1">
      <alignment horizontal="center" wrapText="1"/>
    </xf>
    <xf numFmtId="0" fontId="25" fillId="6" borderId="5" xfId="3" applyFont="1" applyFill="1" applyBorder="1" applyAlignment="1">
      <alignment horizontal="center" wrapText="1"/>
    </xf>
    <xf numFmtId="0" fontId="29" fillId="6" borderId="3" xfId="3" applyFont="1" applyFill="1" applyBorder="1" applyAlignment="1">
      <alignment horizontal="center" wrapText="1"/>
    </xf>
    <xf numFmtId="0" fontId="26" fillId="6" borderId="4" xfId="3" applyFont="1" applyFill="1" applyBorder="1" applyAlignment="1">
      <alignment horizontal="center" wrapText="1"/>
    </xf>
    <xf numFmtId="0" fontId="26" fillId="6" borderId="5" xfId="3" applyFont="1" applyFill="1" applyBorder="1" applyAlignment="1">
      <alignment horizontal="center" wrapText="1"/>
    </xf>
    <xf numFmtId="0" fontId="26" fillId="6" borderId="6" xfId="3" applyFont="1" applyFill="1" applyBorder="1" applyAlignment="1">
      <alignment horizontal="center" vertical="top" wrapText="1"/>
    </xf>
    <xf numFmtId="0" fontId="26" fillId="6" borderId="7" xfId="3" applyFont="1" applyFill="1" applyBorder="1" applyAlignment="1">
      <alignment horizontal="center" vertical="top" wrapText="1"/>
    </xf>
    <xf numFmtId="0" fontId="26" fillId="6" borderId="8" xfId="3" applyFont="1" applyFill="1" applyBorder="1" applyAlignment="1">
      <alignment horizontal="center" vertical="top" wrapText="1"/>
    </xf>
    <xf numFmtId="16" fontId="3" fillId="2" borderId="11" xfId="3" applyNumberFormat="1" applyFont="1" applyFill="1" applyBorder="1" applyAlignment="1">
      <alignment horizontal="center" vertical="center" wrapText="1"/>
    </xf>
    <xf numFmtId="0" fontId="3" fillId="2" borderId="9" xfId="3" applyFont="1" applyFill="1" applyBorder="1" applyAlignment="1">
      <alignment horizontal="center" vertical="center" wrapText="1"/>
    </xf>
    <xf numFmtId="0" fontId="3" fillId="2" borderId="12" xfId="3" applyFont="1" applyFill="1" applyBorder="1" applyAlignment="1">
      <alignment horizontal="center" vertical="center" wrapText="1"/>
    </xf>
    <xf numFmtId="38" fontId="3" fillId="0" borderId="11" xfId="11" applyFont="1" applyBorder="1" applyAlignment="1" applyProtection="1">
      <alignment horizontal="center" vertical="center"/>
      <protection locked="0"/>
    </xf>
    <xf numFmtId="38" fontId="3" fillId="0" borderId="12" xfId="11" applyFont="1" applyBorder="1" applyAlignment="1" applyProtection="1">
      <alignment horizontal="center" vertical="center"/>
      <protection locked="0"/>
    </xf>
    <xf numFmtId="49" fontId="3" fillId="0" borderId="11" xfId="3" applyNumberFormat="1" applyFont="1" applyBorder="1" applyAlignment="1" applyProtection="1">
      <alignment horizontal="center" vertical="center" shrinkToFit="1"/>
      <protection locked="0"/>
    </xf>
    <xf numFmtId="49" fontId="3" fillId="0" borderId="9" xfId="3" applyNumberFormat="1" applyFont="1" applyBorder="1" applyAlignment="1" applyProtection="1">
      <alignment horizontal="center" vertical="center" shrinkToFit="1"/>
      <protection locked="0"/>
    </xf>
    <xf numFmtId="49" fontId="3" fillId="0" borderId="12" xfId="3" applyNumberFormat="1" applyFont="1" applyBorder="1" applyAlignment="1" applyProtection="1">
      <alignment horizontal="center" vertical="center" shrinkToFit="1"/>
      <protection locked="0"/>
    </xf>
    <xf numFmtId="0" fontId="3" fillId="2" borderId="11" xfId="3" applyFont="1" applyFill="1" applyBorder="1" applyAlignment="1">
      <alignment horizontal="center" vertical="center"/>
    </xf>
    <xf numFmtId="0" fontId="3" fillId="2" borderId="9" xfId="3" applyFont="1" applyFill="1" applyBorder="1" applyAlignment="1">
      <alignment horizontal="center" vertical="center"/>
    </xf>
    <xf numFmtId="0" fontId="3" fillId="2" borderId="12" xfId="3" applyFont="1" applyFill="1" applyBorder="1" applyAlignment="1">
      <alignment horizontal="center" vertical="center"/>
    </xf>
    <xf numFmtId="0" fontId="15" fillId="6" borderId="6" xfId="3" applyFont="1" applyFill="1" applyBorder="1" applyAlignment="1">
      <alignment horizontal="center" vertical="top" wrapText="1"/>
    </xf>
    <xf numFmtId="0" fontId="15" fillId="6" borderId="7" xfId="3" applyFont="1" applyFill="1" applyBorder="1" applyAlignment="1">
      <alignment horizontal="center" vertical="top" wrapText="1"/>
    </xf>
    <xf numFmtId="0" fontId="15" fillId="6" borderId="8" xfId="3" applyFont="1" applyFill="1" applyBorder="1" applyAlignment="1">
      <alignment horizontal="center" vertical="top" wrapText="1"/>
    </xf>
    <xf numFmtId="49" fontId="3" fillId="0" borderId="11" xfId="3" applyNumberFormat="1" applyFont="1" applyBorder="1" applyAlignment="1" applyProtection="1">
      <alignment horizontal="center" vertical="center"/>
      <protection locked="0"/>
    </xf>
    <xf numFmtId="49" fontId="3" fillId="0" borderId="9" xfId="3" applyNumberFormat="1" applyFont="1" applyBorder="1" applyAlignment="1" applyProtection="1">
      <alignment horizontal="center" vertical="center"/>
      <protection locked="0"/>
    </xf>
    <xf numFmtId="49" fontId="3" fillId="0" borderId="12" xfId="3" applyNumberFormat="1" applyFont="1" applyBorder="1" applyAlignment="1" applyProtection="1">
      <alignment horizontal="center" vertical="center"/>
      <protection locked="0"/>
    </xf>
    <xf numFmtId="14" fontId="3" fillId="2" borderId="11" xfId="3" applyNumberFormat="1" applyFill="1" applyBorder="1" applyAlignment="1">
      <alignment horizontal="center" vertical="center"/>
    </xf>
    <xf numFmtId="14" fontId="3" fillId="2" borderId="9" xfId="3" applyNumberFormat="1" applyFill="1" applyBorder="1" applyAlignment="1">
      <alignment horizontal="center" vertical="center"/>
    </xf>
    <xf numFmtId="14" fontId="3" fillId="2" borderId="12" xfId="3" applyNumberFormat="1" applyFill="1" applyBorder="1" applyAlignment="1">
      <alignment horizontal="center" vertical="center"/>
    </xf>
    <xf numFmtId="14" fontId="27" fillId="6" borderId="11" xfId="3" quotePrefix="1" applyNumberFormat="1" applyFont="1" applyFill="1" applyBorder="1" applyAlignment="1">
      <alignment horizontal="right" vertical="center"/>
    </xf>
    <xf numFmtId="14" fontId="27" fillId="6" borderId="9" xfId="3" quotePrefix="1" applyNumberFormat="1" applyFont="1" applyFill="1" applyBorder="1" applyAlignment="1">
      <alignment horizontal="right" vertical="center"/>
    </xf>
    <xf numFmtId="14" fontId="27" fillId="6" borderId="12" xfId="3" quotePrefix="1" applyNumberFormat="1" applyFont="1" applyFill="1" applyBorder="1" applyAlignment="1">
      <alignment horizontal="right" vertical="center"/>
    </xf>
    <xf numFmtId="49" fontId="3" fillId="0" borderId="11" xfId="3" applyNumberFormat="1" applyBorder="1" applyAlignment="1" applyProtection="1">
      <alignment horizontal="center" vertical="center"/>
      <protection locked="0"/>
    </xf>
    <xf numFmtId="49" fontId="3" fillId="0" borderId="12" xfId="3" applyNumberFormat="1" applyBorder="1" applyAlignment="1" applyProtection="1">
      <alignment horizontal="center" vertical="center"/>
      <protection locked="0"/>
    </xf>
    <xf numFmtId="49" fontId="27" fillId="6" borderId="11" xfId="3" applyNumberFormat="1" applyFont="1" applyFill="1" applyBorder="1" applyAlignment="1" applyProtection="1">
      <alignment horizontal="right" vertical="center"/>
      <protection locked="0"/>
    </xf>
    <xf numFmtId="49" fontId="27" fillId="6" borderId="9" xfId="3" applyNumberFormat="1" applyFont="1" applyFill="1" applyBorder="1" applyAlignment="1" applyProtection="1">
      <alignment horizontal="right" vertical="center"/>
      <protection locked="0"/>
    </xf>
    <xf numFmtId="49" fontId="27" fillId="6" borderId="12" xfId="3" applyNumberFormat="1" applyFont="1" applyFill="1" applyBorder="1" applyAlignment="1" applyProtection="1">
      <alignment horizontal="right" vertical="center"/>
      <protection locked="0"/>
    </xf>
    <xf numFmtId="0" fontId="3" fillId="2" borderId="11" xfId="3" applyFill="1" applyBorder="1" applyAlignment="1">
      <alignment horizontal="center" vertical="center" wrapText="1"/>
    </xf>
    <xf numFmtId="0" fontId="3" fillId="2" borderId="9" xfId="3" applyFill="1" applyBorder="1" applyAlignment="1">
      <alignment horizontal="center" vertical="center"/>
    </xf>
    <xf numFmtId="0" fontId="3" fillId="2" borderId="12" xfId="3" applyFill="1" applyBorder="1" applyAlignment="1">
      <alignment horizontal="center" vertical="center"/>
    </xf>
    <xf numFmtId="49" fontId="28" fillId="6" borderId="11" xfId="3" applyNumberFormat="1" applyFont="1" applyFill="1" applyBorder="1" applyAlignment="1" applyProtection="1">
      <alignment horizontal="right" vertical="center"/>
      <protection locked="0"/>
    </xf>
    <xf numFmtId="49" fontId="28" fillId="6" borderId="9" xfId="3" applyNumberFormat="1" applyFont="1" applyFill="1" applyBorder="1" applyAlignment="1" applyProtection="1">
      <alignment horizontal="right" vertical="center"/>
      <protection locked="0"/>
    </xf>
    <xf numFmtId="49" fontId="3" fillId="0" borderId="11" xfId="3" applyNumberFormat="1" applyFont="1" applyBorder="1" applyAlignment="1" applyProtection="1">
      <alignment horizontal="center" vertical="center" wrapText="1" shrinkToFit="1"/>
      <protection locked="0"/>
    </xf>
    <xf numFmtId="0" fontId="3" fillId="0" borderId="11" xfId="3" applyFont="1" applyBorder="1" applyAlignment="1" applyProtection="1">
      <alignment horizontal="center" vertical="center"/>
      <protection locked="0"/>
    </xf>
    <xf numFmtId="0" fontId="3" fillId="0" borderId="12" xfId="3" applyFont="1" applyBorder="1" applyAlignment="1" applyProtection="1">
      <alignment horizontal="center" vertical="center"/>
      <protection locked="0"/>
    </xf>
    <xf numFmtId="0" fontId="29" fillId="6" borderId="4" xfId="3" applyFont="1" applyFill="1" applyBorder="1" applyAlignment="1">
      <alignment horizontal="center" wrapText="1"/>
    </xf>
    <xf numFmtId="0" fontId="29" fillId="6" borderId="5" xfId="3" applyFont="1" applyFill="1" applyBorder="1" applyAlignment="1">
      <alignment horizontal="center" wrapText="1"/>
    </xf>
    <xf numFmtId="16" fontId="3" fillId="2" borderId="11" xfId="3" applyNumberFormat="1" applyFill="1" applyBorder="1" applyAlignment="1">
      <alignment horizontal="center" vertical="center"/>
    </xf>
    <xf numFmtId="0" fontId="3" fillId="0" borderId="10" xfId="3" applyBorder="1" applyAlignment="1" applyProtection="1">
      <alignment horizontal="center" vertical="center"/>
      <protection locked="0"/>
    </xf>
    <xf numFmtId="0" fontId="3" fillId="2" borderId="7" xfId="3" applyFill="1" applyBorder="1" applyAlignment="1">
      <alignment horizontal="center" vertical="center"/>
    </xf>
    <xf numFmtId="0" fontId="3" fillId="2" borderId="8" xfId="3" applyFill="1" applyBorder="1" applyAlignment="1">
      <alignment horizontal="center" vertical="center"/>
    </xf>
    <xf numFmtId="49" fontId="3" fillId="0" borderId="10" xfId="3" applyNumberFormat="1" applyBorder="1" applyAlignment="1" applyProtection="1">
      <alignment horizontal="center" vertical="center"/>
      <protection locked="0"/>
    </xf>
    <xf numFmtId="49" fontId="3" fillId="0" borderId="11" xfId="3" applyNumberFormat="1" applyBorder="1" applyAlignment="1" applyProtection="1">
      <alignment horizontal="center" vertical="center" shrinkToFit="1"/>
      <protection locked="0"/>
    </xf>
    <xf numFmtId="49" fontId="3" fillId="0" borderId="9" xfId="3" applyNumberFormat="1" applyBorder="1" applyAlignment="1" applyProtection="1">
      <alignment horizontal="center" vertical="center" shrinkToFit="1"/>
      <protection locked="0"/>
    </xf>
    <xf numFmtId="49" fontId="3" fillId="0" borderId="12" xfId="3" applyNumberFormat="1" applyBorder="1" applyAlignment="1" applyProtection="1">
      <alignment horizontal="center" vertical="center" shrinkToFit="1"/>
      <protection locked="0"/>
    </xf>
    <xf numFmtId="38" fontId="3" fillId="0" borderId="10" xfId="11" applyFont="1" applyBorder="1" applyAlignment="1" applyProtection="1">
      <alignment horizontal="center" vertical="center"/>
      <protection locked="0"/>
    </xf>
    <xf numFmtId="0" fontId="25" fillId="6" borderId="3" xfId="3" applyFont="1" applyFill="1" applyBorder="1" applyAlignment="1">
      <alignment horizontal="right"/>
    </xf>
    <xf numFmtId="0" fontId="25" fillId="6" borderId="5" xfId="3" applyFont="1" applyFill="1" applyBorder="1" applyAlignment="1">
      <alignment horizontal="right"/>
    </xf>
    <xf numFmtId="0" fontId="32" fillId="0" borderId="4" xfId="3" applyFont="1" applyBorder="1" applyAlignment="1">
      <alignment horizontal="center" vertical="center"/>
    </xf>
    <xf numFmtId="0" fontId="32" fillId="0" borderId="5" xfId="3" applyFont="1" applyBorder="1" applyAlignment="1">
      <alignment horizontal="center" vertical="center"/>
    </xf>
    <xf numFmtId="0" fontId="15" fillId="6" borderId="6" xfId="3" applyFont="1" applyFill="1" applyBorder="1" applyAlignment="1">
      <alignment horizontal="right" vertical="top"/>
    </xf>
    <xf numFmtId="0" fontId="15" fillId="6" borderId="8" xfId="3" applyFont="1" applyFill="1" applyBorder="1" applyAlignment="1">
      <alignment horizontal="right" vertical="top"/>
    </xf>
    <xf numFmtId="0" fontId="33" fillId="2" borderId="7" xfId="3" applyFont="1" applyFill="1" applyBorder="1" applyAlignment="1">
      <alignment horizontal="center" vertical="center"/>
    </xf>
    <xf numFmtId="0" fontId="34" fillId="6" borderId="3" xfId="3" applyFont="1" applyFill="1" applyBorder="1" applyAlignment="1">
      <alignment horizontal="right"/>
    </xf>
    <xf numFmtId="0" fontId="34" fillId="6" borderId="5" xfId="3" applyFont="1" applyFill="1" applyBorder="1" applyAlignment="1">
      <alignment horizontal="right"/>
    </xf>
    <xf numFmtId="0" fontId="35" fillId="6" borderId="6" xfId="3" applyFont="1" applyFill="1" applyBorder="1" applyAlignment="1">
      <alignment horizontal="right" vertical="top"/>
    </xf>
    <xf numFmtId="0" fontId="35" fillId="6" borderId="8" xfId="3" applyFont="1" applyFill="1" applyBorder="1" applyAlignment="1">
      <alignment horizontal="right" vertical="top"/>
    </xf>
    <xf numFmtId="49" fontId="3" fillId="0" borderId="9" xfId="3" applyNumberFormat="1" applyBorder="1" applyAlignment="1" applyProtection="1">
      <alignment horizontal="center" vertical="center"/>
      <protection locked="0"/>
    </xf>
    <xf numFmtId="0" fontId="3" fillId="2" borderId="11" xfId="3" applyFill="1" applyBorder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20" fillId="3" borderId="0" xfId="0" applyFont="1" applyFill="1" applyAlignment="1">
      <alignment horizontal="left" vertical="top"/>
    </xf>
    <xf numFmtId="14" fontId="20" fillId="4" borderId="0" xfId="0" applyNumberFormat="1" applyFont="1" applyFill="1" applyAlignment="1">
      <alignment horizontal="left" vertical="top"/>
    </xf>
  </cellXfs>
  <cellStyles count="52">
    <cellStyle name="Actual Date" xfId="14" xr:uid="{E479B356-F32E-4F8B-BABF-19D34F66CA85}"/>
    <cellStyle name="Comma" xfId="12" builtinId="3"/>
    <cellStyle name="Comma [0]" xfId="11" builtinId="6"/>
    <cellStyle name="Comma [0] 2" xfId="6" xr:uid="{00000000-0005-0000-0000-000002000000}"/>
    <cellStyle name="Comma [0] 3" xfId="8" xr:uid="{00000000-0005-0000-0000-000003000000}"/>
    <cellStyle name="Comma [0] 4" xfId="42" xr:uid="{9DAAC5CF-CE5B-4F55-B671-AF3187C14F3F}"/>
    <cellStyle name="Currency [0] 2" xfId="45" xr:uid="{A4716D39-6693-4DBB-B5FF-2D2314CDC4C0}"/>
    <cellStyle name="Date" xfId="15" xr:uid="{84FD20BC-3460-4978-9CCD-2A51EFDB2DEC}"/>
    <cellStyle name="Fixed" xfId="16" xr:uid="{B7BE26A0-D1CC-414F-8E43-0C4307FA70D1}"/>
    <cellStyle name="Grey" xfId="17" xr:uid="{DD351C31-CC1D-40A0-BA88-6C1F4B2E7297}"/>
    <cellStyle name="HEADER" xfId="18" xr:uid="{B0B089DD-70FF-4E24-A2A8-7481F599271B}"/>
    <cellStyle name="Heading1" xfId="19" xr:uid="{EC74B7AE-D9DF-4C4C-AC25-E65942E5A172}"/>
    <cellStyle name="Heading2" xfId="20" xr:uid="{256BD1F6-7813-4819-BF1B-BABFC96CCBED}"/>
    <cellStyle name="HIGHLIGHT" xfId="21" xr:uid="{E5C9E8D4-B4E8-4A16-BFAA-B72B8872F026}"/>
    <cellStyle name="Input [yellow]" xfId="22" xr:uid="{623AFACC-57AA-4489-9AD7-06B35778EC9D}"/>
    <cellStyle name="Migliaia (0)_dimon" xfId="23" xr:uid="{76FFCC2D-2640-4972-A9E6-19D3FEAC2E06}"/>
    <cellStyle name="Migliaia_dimon" xfId="24" xr:uid="{6049DADD-5D9C-4CE6-95B2-8B0FAC5EE2E1}"/>
    <cellStyle name="no dec" xfId="25" xr:uid="{A6029175-4B85-44B6-9FB9-A7F94FD0953C}"/>
    <cellStyle name="Normal" xfId="0" builtinId="0"/>
    <cellStyle name="Normal - Style1" xfId="26" xr:uid="{7BD8FAFA-1A8B-4B4E-A794-C97569E6935C}"/>
    <cellStyle name="Normal 2" xfId="3" xr:uid="{00000000-0005-0000-0000-000005000000}"/>
    <cellStyle name="Normal 3" xfId="4" xr:uid="{00000000-0005-0000-0000-000006000000}"/>
    <cellStyle name="Normal 4" xfId="5" xr:uid="{00000000-0005-0000-0000-000007000000}"/>
    <cellStyle name="Normal 5" xfId="7" xr:uid="{00000000-0005-0000-0000-000008000000}"/>
    <cellStyle name="Normal 6" xfId="13" xr:uid="{686EF910-851E-4B4A-9E69-6AE47DADE5AE}"/>
    <cellStyle name="Normal 7" xfId="48" xr:uid="{136C2D23-8DCB-46AC-871C-596C9801BA4B}"/>
    <cellStyle name="Normal 8" xfId="49" xr:uid="{9EC56226-DD6B-4CD2-810F-044F42B99754}"/>
    <cellStyle name="Normale_dimon" xfId="27" xr:uid="{21F58D0E-84EE-4AF2-857C-78FE7582D062}"/>
    <cellStyle name="Percent [2]" xfId="28" xr:uid="{8F108E75-FC91-4597-9B34-BC0E47DC57D8}"/>
    <cellStyle name="Total 2" xfId="29" xr:uid="{E6BE25C0-81D2-4A20-965F-1EFAEFFA504C}"/>
    <cellStyle name="Unprot" xfId="30" xr:uid="{3E526F98-A15A-480B-8968-C123FD907E6A}"/>
    <cellStyle name="Unprot$" xfId="31" xr:uid="{1984ED58-0521-42E8-9150-637E95300FBD}"/>
    <cellStyle name="Unprot_CurrencySKorea" xfId="32" xr:uid="{7FAC5762-E300-4072-8DB0-F9B45FE2FB3A}"/>
    <cellStyle name="Unprotect" xfId="33" xr:uid="{247B70C7-E6D2-4203-8EF9-5BE74630FBEF}"/>
    <cellStyle name="Valuta (0)_dimon" xfId="34" xr:uid="{CE00728C-D815-457E-9E5F-E4908CC1A581}"/>
    <cellStyle name="Valuta_dimon" xfId="35" xr:uid="{A7F7D520-8696-4AEB-9866-5A33009C059E}"/>
    <cellStyle name="ｳ｣ｹ訐laroux" xfId="36" xr:uid="{86FB4A42-41DF-476E-B678-EF659D6BACF9}"/>
    <cellStyle name="ｳ｣ｹ訐Sheet1" xfId="37" xr:uid="{A935FDC2-A5DF-4597-94DB-0AFAEC742221}"/>
    <cellStyle name="ｻﾒ[0]_laroux" xfId="38" xr:uid="{E71C2278-F8BC-41C4-813E-2B5DCFCAE083}"/>
    <cellStyle name="ｻﾒ_laroux" xfId="39" xr:uid="{D465D41D-D93B-4765-8273-C192211217D4}"/>
    <cellStyle name="ﾇｧﾎｻ[0]_laroux" xfId="40" xr:uid="{0742EAA4-5063-452B-9DFE-C6B0F3FBDB50}"/>
    <cellStyle name="ﾇｧﾎｻ_laroux" xfId="41" xr:uid="{3815BF35-AB84-4D6E-933E-288708F7E808}"/>
    <cellStyle name="千位[0]_laroux" xfId="43" xr:uid="{BDC6B9F7-EB7A-4E35-BA2B-09878507326C}"/>
    <cellStyle name="千位_laroux" xfId="44" xr:uid="{1D7B51C5-0029-49EE-B447-43A8DC58739C}"/>
    <cellStyle name="未定義" xfId="47" xr:uid="{6F1399DD-61A2-4A11-8339-E67AA87F55D5}"/>
    <cellStyle name="桁区切り 14" xfId="51" xr:uid="{9A8D2247-1AE4-414A-B68B-743440F8AF27}"/>
    <cellStyle name="桁区切り 2" xfId="10" xr:uid="{00000000-0005-0000-0000-000009000000}"/>
    <cellStyle name="標準 2" xfId="50" xr:uid="{6F9EC78A-2AB8-4124-AA8B-2BF80C97A5CB}"/>
    <cellStyle name="標準 2 2" xfId="1" xr:uid="{00000000-0005-0000-0000-00000A000000}"/>
    <cellStyle name="標準 2 3" xfId="2" xr:uid="{00000000-0005-0000-0000-00000B000000}"/>
    <cellStyle name="標準 3" xfId="9" xr:uid="{00000000-0005-0000-0000-00000C000000}"/>
    <cellStyle name="標準_9755" xfId="46" xr:uid="{0F2E8B5D-13E3-4A3A-84AC-B0B05A3843BE}"/>
  </cellStyles>
  <dxfs count="2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_(* #,##0_);_(* \(#,##0\);_(* &quot;-&quot;??_);_(@_)"/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_(* #,##0_);_(* \(#,##0\);_(* &quot;-&quot;??_);_(@_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8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47626</xdr:colOff>
      <xdr:row>0</xdr:row>
      <xdr:rowOff>76200</xdr:rowOff>
    </xdr:from>
    <xdr:ext cx="1224175" cy="360000"/>
    <xdr:pic macro="[0]!Create_sheetID">
      <xdr:nvPicPr>
        <xdr:cNvPr id="2" name="LOGO" descr="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 bwMode="auto">
        <a:xfrm>
          <a:off x="47626" y="76200"/>
          <a:ext cx="1224175" cy="36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24</xdr:col>
      <xdr:colOff>88650</xdr:colOff>
      <xdr:row>8</xdr:row>
      <xdr:rowOff>49325</xdr:rowOff>
    </xdr:from>
    <xdr:to>
      <xdr:col>26</xdr:col>
      <xdr:colOff>0</xdr:colOff>
      <xdr:row>9</xdr:row>
      <xdr:rowOff>265475</xdr:rowOff>
    </xdr:to>
    <xdr:pic macro="[0]!Clear_form"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5975" y="21543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88650</xdr:colOff>
      <xdr:row>10</xdr:row>
      <xdr:rowOff>148725</xdr:rowOff>
    </xdr:from>
    <xdr:to>
      <xdr:col>26</xdr:col>
      <xdr:colOff>0</xdr:colOff>
      <xdr:row>12</xdr:row>
      <xdr:rowOff>41025</xdr:rowOff>
    </xdr:to>
    <xdr:pic macro="[0]!Print_Form"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5975" y="29014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88650</xdr:colOff>
      <xdr:row>5</xdr:row>
      <xdr:rowOff>83275</xdr:rowOff>
    </xdr:from>
    <xdr:to>
      <xdr:col>26</xdr:col>
      <xdr:colOff>0</xdr:colOff>
      <xdr:row>7</xdr:row>
      <xdr:rowOff>166075</xdr:rowOff>
    </xdr:to>
    <xdr:pic macro="[0]!Export_data"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5975" y="14072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88650</xdr:colOff>
      <xdr:row>2</xdr:row>
      <xdr:rowOff>88650</xdr:rowOff>
    </xdr:from>
    <xdr:to>
      <xdr:col>26</xdr:col>
      <xdr:colOff>0</xdr:colOff>
      <xdr:row>4</xdr:row>
      <xdr:rowOff>0</xdr:rowOff>
    </xdr:to>
    <xdr:pic macro="[0]!Find_item"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5975" y="6601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114300</xdr:colOff>
      <xdr:row>12</xdr:row>
      <xdr:rowOff>209550</xdr:rowOff>
    </xdr:from>
    <xdr:to>
      <xdr:col>26</xdr:col>
      <xdr:colOff>25650</xdr:colOff>
      <xdr:row>14</xdr:row>
      <xdr:rowOff>101850</xdr:rowOff>
    </xdr:to>
    <xdr:pic macro="[0]!Create_Barcode"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91625" y="3609975"/>
          <a:ext cx="540000" cy="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47626</xdr:colOff>
      <xdr:row>0</xdr:row>
      <xdr:rowOff>76200</xdr:rowOff>
    </xdr:from>
    <xdr:ext cx="1224175" cy="360000"/>
    <xdr:pic macro="[0]!Create_sheetID">
      <xdr:nvPicPr>
        <xdr:cNvPr id="2" name="LOGO" descr="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 bwMode="auto">
        <a:xfrm>
          <a:off x="47626" y="76200"/>
          <a:ext cx="1224175" cy="36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24</xdr:col>
      <xdr:colOff>57150</xdr:colOff>
      <xdr:row>8</xdr:row>
      <xdr:rowOff>49325</xdr:rowOff>
    </xdr:from>
    <xdr:to>
      <xdr:col>25</xdr:col>
      <xdr:colOff>282825</xdr:colOff>
      <xdr:row>9</xdr:row>
      <xdr:rowOff>265475</xdr:rowOff>
    </xdr:to>
    <xdr:pic macro="[0]!Clear_form"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34475" y="21543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5</xdr:row>
      <xdr:rowOff>83275</xdr:rowOff>
    </xdr:from>
    <xdr:to>
      <xdr:col>25</xdr:col>
      <xdr:colOff>282825</xdr:colOff>
      <xdr:row>7</xdr:row>
      <xdr:rowOff>166075</xdr:rowOff>
    </xdr:to>
    <xdr:pic macro="[0]!Import_data"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34475" y="14072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10</xdr:row>
      <xdr:rowOff>148725</xdr:rowOff>
    </xdr:from>
    <xdr:to>
      <xdr:col>25</xdr:col>
      <xdr:colOff>282825</xdr:colOff>
      <xdr:row>12</xdr:row>
      <xdr:rowOff>41025</xdr:rowOff>
    </xdr:to>
    <xdr:pic macro="[0]!Print_Form"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34475" y="29014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2</xdr:row>
      <xdr:rowOff>88650</xdr:rowOff>
    </xdr:from>
    <xdr:to>
      <xdr:col>25</xdr:col>
      <xdr:colOff>282825</xdr:colOff>
      <xdr:row>4</xdr:row>
      <xdr:rowOff>0</xdr:rowOff>
    </xdr:to>
    <xdr:pic macro="[0]!Find_item"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34475" y="6601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66675</xdr:colOff>
      <xdr:row>12</xdr:row>
      <xdr:rowOff>209550</xdr:rowOff>
    </xdr:from>
    <xdr:to>
      <xdr:col>25</xdr:col>
      <xdr:colOff>292350</xdr:colOff>
      <xdr:row>14</xdr:row>
      <xdr:rowOff>101850</xdr:rowOff>
    </xdr:to>
    <xdr:pic macro="[0]!Create_Barcode"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3609975"/>
          <a:ext cx="540000" cy="54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47626</xdr:colOff>
      <xdr:row>0</xdr:row>
      <xdr:rowOff>76200</xdr:rowOff>
    </xdr:from>
    <xdr:ext cx="1224175" cy="360000"/>
    <xdr:pic macro="[0]!Create_sheetID">
      <xdr:nvPicPr>
        <xdr:cNvPr id="2" name="LOGO" descr="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 bwMode="auto">
        <a:xfrm>
          <a:off x="47626" y="76200"/>
          <a:ext cx="1224175" cy="36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24</xdr:col>
      <xdr:colOff>88650</xdr:colOff>
      <xdr:row>8</xdr:row>
      <xdr:rowOff>49325</xdr:rowOff>
    </xdr:from>
    <xdr:to>
      <xdr:col>26</xdr:col>
      <xdr:colOff>0</xdr:colOff>
      <xdr:row>9</xdr:row>
      <xdr:rowOff>265475</xdr:rowOff>
    </xdr:to>
    <xdr:pic macro="[0]!Clear_form"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5975" y="21543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88650</xdr:colOff>
      <xdr:row>10</xdr:row>
      <xdr:rowOff>148725</xdr:rowOff>
    </xdr:from>
    <xdr:to>
      <xdr:col>26</xdr:col>
      <xdr:colOff>0</xdr:colOff>
      <xdr:row>12</xdr:row>
      <xdr:rowOff>41025</xdr:rowOff>
    </xdr:to>
    <xdr:pic macro="[0]!Print_Form"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5975" y="29014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88650</xdr:colOff>
      <xdr:row>2</xdr:row>
      <xdr:rowOff>88650</xdr:rowOff>
    </xdr:from>
    <xdr:to>
      <xdr:col>26</xdr:col>
      <xdr:colOff>0</xdr:colOff>
      <xdr:row>4</xdr:row>
      <xdr:rowOff>0</xdr:rowOff>
    </xdr:to>
    <xdr:pic macro="[0]!Find_item"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5975" y="6601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114300</xdr:colOff>
      <xdr:row>12</xdr:row>
      <xdr:rowOff>209550</xdr:rowOff>
    </xdr:from>
    <xdr:to>
      <xdr:col>26</xdr:col>
      <xdr:colOff>25650</xdr:colOff>
      <xdr:row>14</xdr:row>
      <xdr:rowOff>101850</xdr:rowOff>
    </xdr:to>
    <xdr:pic macro="[0]!Create_Barcode"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91625" y="360997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66675</xdr:colOff>
      <xdr:row>5</xdr:row>
      <xdr:rowOff>123825</xdr:rowOff>
    </xdr:from>
    <xdr:to>
      <xdr:col>25</xdr:col>
      <xdr:colOff>292350</xdr:colOff>
      <xdr:row>7</xdr:row>
      <xdr:rowOff>206625</xdr:rowOff>
    </xdr:to>
    <xdr:pic macro="[0]!Save_PR"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1447800"/>
          <a:ext cx="540000" cy="54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142875</xdr:colOff>
      <xdr:row>0</xdr:row>
      <xdr:rowOff>9525</xdr:rowOff>
    </xdr:from>
    <xdr:to>
      <xdr:col>11</xdr:col>
      <xdr:colOff>502875</xdr:colOff>
      <xdr:row>1</xdr:row>
      <xdr:rowOff>179025</xdr:rowOff>
    </xdr:to>
    <xdr:pic macro="[0]!Backup_data"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0375" y="9525"/>
          <a:ext cx="360000" cy="36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142875</xdr:colOff>
      <xdr:row>0</xdr:row>
      <xdr:rowOff>9525</xdr:rowOff>
    </xdr:from>
    <xdr:to>
      <xdr:col>11</xdr:col>
      <xdr:colOff>502875</xdr:colOff>
      <xdr:row>1</xdr:row>
      <xdr:rowOff>179025</xdr:rowOff>
    </xdr:to>
    <xdr:pic macro="[0]!Backup_data"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0375" y="9525"/>
          <a:ext cx="360000" cy="36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142875</xdr:colOff>
      <xdr:row>0</xdr:row>
      <xdr:rowOff>9525</xdr:rowOff>
    </xdr:from>
    <xdr:to>
      <xdr:col>13</xdr:col>
      <xdr:colOff>502875</xdr:colOff>
      <xdr:row>1</xdr:row>
      <xdr:rowOff>179025</xdr:rowOff>
    </xdr:to>
    <xdr:pic macro="[0]!Backup_data"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25" y="9525"/>
          <a:ext cx="360000" cy="36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546100</xdr:colOff>
          <xdr:row>2</xdr:row>
          <xdr:rowOff>57150</xdr:rowOff>
        </xdr:from>
        <xdr:to>
          <xdr:col>5</xdr:col>
          <xdr:colOff>412750</xdr:colOff>
          <xdr:row>7</xdr:row>
          <xdr:rowOff>88900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" displayName="Data" ref="A1:K398" totalsRowShown="0" headerRowDxfId="27" dataDxfId="26" tableBorderDxfId="25">
  <autoFilter ref="A1:K398" xr:uid="{F4F60D52-26EE-498F-B2C2-0151796CFBD6}"/>
  <sortState ref="A2:K294">
    <sortCondition ref="H1:H344"/>
  </sortState>
  <tableColumns count="11">
    <tableColumn id="3" xr3:uid="{00000000-0010-0000-0000-000003000000}" name="Product ID" dataDxfId="24" totalsRowDxfId="23"/>
    <tableColumn id="7" xr3:uid="{00000000-0010-0000-0000-000007000000}" name="Product Name" dataDxfId="22" totalsRowDxfId="21"/>
    <tableColumn id="11" xr3:uid="{00000000-0010-0000-0000-00000B000000}" name="Unit" dataDxfId="20" totalsRowDxfId="19"/>
    <tableColumn id="12" xr3:uid="{00000000-0010-0000-0000-00000C000000}" name="Import" dataDxfId="18" totalsRowDxfId="17" dataCellStyle="Comma"/>
    <tableColumn id="14" xr3:uid="{00000000-0010-0000-0000-00000E000000}" name="Export" dataDxfId="16" totalsRowDxfId="15" dataCellStyle="Comma"/>
    <tableColumn id="16" xr3:uid="{00000000-0010-0000-0000-000010000000}" name="Remain" dataDxfId="14" totalsRowDxfId="13" dataCellStyle="Comma">
      <calculatedColumnFormula>Data[[#This Row],[Import]]+Data[[#This Row],[Last month]]-Data[[#This Row],[Export]]</calculatedColumnFormula>
    </tableColumn>
    <tableColumn id="18" xr3:uid="{00000000-0010-0000-0000-000012000000}" name="Last month" dataDxfId="12" totalsRowDxfId="11" dataCellStyle="Comma"/>
    <tableColumn id="2" xr3:uid="{00000000-0010-0000-0000-000002000000}" name="Logistic ID" dataDxfId="10" totalsRowDxfId="9"/>
    <tableColumn id="1" xr3:uid="{AC8794A6-B86F-4181-80A9-0B028E760A31}" name="Note" dataDxfId="8" totalsRowDxfId="7" dataCellStyle="Comma"/>
    <tableColumn id="4" xr3:uid="{8139711C-6328-4CB4-B68D-4A3B368251E6}" name="Price(VND/1unit)" dataDxfId="6" totalsRowDxfId="5" dataCellStyle="Comma"/>
    <tableColumn id="5" xr3:uid="{AAAC4EBE-1E5B-4AEF-A729-C8A157F43280}" name="USD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398"/>
  <sheetViews>
    <sheetView tabSelected="1" workbookViewId="0">
      <pane ySplit="1" topLeftCell="A129" activePane="bottomLeft" state="frozen"/>
      <selection pane="bottomLeft" activeCell="D141" sqref="D141"/>
    </sheetView>
  </sheetViews>
  <sheetFormatPr defaultColWidth="5.1796875" defaultRowHeight="15" customHeight="1"/>
  <cols>
    <col min="1" max="1" width="30.453125" style="61" bestFit="1" customWidth="1"/>
    <col min="2" max="2" width="45.54296875" style="61" customWidth="1"/>
    <col min="3" max="3" width="5.7265625" style="61" bestFit="1" customWidth="1"/>
    <col min="4" max="5" width="8" style="115" customWidth="1"/>
    <col min="6" max="6" width="9.1796875" style="115" customWidth="1"/>
    <col min="7" max="7" width="12.1796875" style="115" customWidth="1"/>
    <col min="8" max="8" width="12.1796875" style="91" bestFit="1" customWidth="1"/>
    <col min="9" max="9" width="34" style="87" bestFit="1" customWidth="1"/>
    <col min="10" max="10" width="17.453125" style="38" bestFit="1" customWidth="1"/>
    <col min="11" max="11" width="7.54296875" style="38" bestFit="1" customWidth="1"/>
    <col min="12" max="16384" width="5.1796875" style="38"/>
  </cols>
  <sheetData>
    <row r="1" spans="1:11" s="37" customFormat="1" ht="13">
      <c r="A1" s="90" t="s">
        <v>22</v>
      </c>
      <c r="B1" s="90" t="s">
        <v>33</v>
      </c>
      <c r="C1" s="90" t="s">
        <v>2</v>
      </c>
      <c r="D1" s="103" t="s">
        <v>12</v>
      </c>
      <c r="E1" s="103" t="s">
        <v>13</v>
      </c>
      <c r="F1" s="103" t="s">
        <v>9</v>
      </c>
      <c r="G1" s="103" t="s">
        <v>36</v>
      </c>
      <c r="H1" s="90" t="s">
        <v>34</v>
      </c>
      <c r="I1" s="75" t="s">
        <v>32</v>
      </c>
      <c r="J1" s="86" t="s">
        <v>996</v>
      </c>
      <c r="K1" s="86" t="s">
        <v>1006</v>
      </c>
    </row>
    <row r="2" spans="1:11" ht="15" customHeight="1">
      <c r="A2" s="57" t="s">
        <v>207</v>
      </c>
      <c r="B2" s="57" t="s">
        <v>208</v>
      </c>
      <c r="C2" s="57" t="s">
        <v>79</v>
      </c>
      <c r="D2" s="104"/>
      <c r="E2" s="104"/>
      <c r="F2" s="63">
        <f>Data[[#This Row],[Import]]+Data[[#This Row],[Last month]]-Data[[#This Row],[Export]]</f>
        <v>24</v>
      </c>
      <c r="G2" s="104">
        <v>24</v>
      </c>
      <c r="H2" s="61" t="s">
        <v>286</v>
      </c>
      <c r="I2" s="73"/>
      <c r="J2" s="72"/>
      <c r="K2" s="87"/>
    </row>
    <row r="3" spans="1:11" ht="15" customHeight="1">
      <c r="A3" s="61" t="s">
        <v>209</v>
      </c>
      <c r="B3" s="61" t="s">
        <v>208</v>
      </c>
      <c r="C3" s="61" t="s">
        <v>79</v>
      </c>
      <c r="D3" s="63"/>
      <c r="E3" s="63"/>
      <c r="F3" s="63">
        <f>Data[[#This Row],[Import]]+Data[[#This Row],[Last month]]-Data[[#This Row],[Export]]</f>
        <v>25</v>
      </c>
      <c r="G3" s="63">
        <v>25</v>
      </c>
      <c r="H3" s="61" t="s">
        <v>287</v>
      </c>
      <c r="I3" s="73"/>
      <c r="J3" s="72"/>
      <c r="K3" s="87"/>
    </row>
    <row r="4" spans="1:11" ht="15" customHeight="1">
      <c r="A4" s="61" t="s">
        <v>210</v>
      </c>
      <c r="B4" s="61" t="s">
        <v>208</v>
      </c>
      <c r="C4" s="61" t="s">
        <v>79</v>
      </c>
      <c r="D4" s="63"/>
      <c r="E4" s="63"/>
      <c r="F4" s="63">
        <f>Data[[#This Row],[Import]]+Data[[#This Row],[Last month]]-Data[[#This Row],[Export]]</f>
        <v>21</v>
      </c>
      <c r="G4" s="63">
        <v>21</v>
      </c>
      <c r="H4" s="61" t="s">
        <v>288</v>
      </c>
      <c r="I4" s="73"/>
      <c r="J4" s="72"/>
      <c r="K4" s="87"/>
    </row>
    <row r="5" spans="1:11" ht="15" customHeight="1">
      <c r="A5" s="61" t="s">
        <v>211</v>
      </c>
      <c r="B5" s="61" t="s">
        <v>208</v>
      </c>
      <c r="C5" s="61" t="s">
        <v>79</v>
      </c>
      <c r="D5" s="63"/>
      <c r="E5" s="63"/>
      <c r="F5" s="63">
        <f>Data[[#This Row],[Import]]+Data[[#This Row],[Last month]]-Data[[#This Row],[Export]]</f>
        <v>22</v>
      </c>
      <c r="G5" s="63">
        <v>22</v>
      </c>
      <c r="H5" s="61" t="s">
        <v>289</v>
      </c>
      <c r="I5" s="73"/>
      <c r="J5" s="72"/>
      <c r="K5" s="87"/>
    </row>
    <row r="6" spans="1:11" ht="15" customHeight="1">
      <c r="A6" s="61" t="s">
        <v>212</v>
      </c>
      <c r="B6" s="61" t="s">
        <v>208</v>
      </c>
      <c r="C6" s="61" t="s">
        <v>79</v>
      </c>
      <c r="D6" s="63"/>
      <c r="E6" s="63"/>
      <c r="F6" s="63">
        <f>Data[[#This Row],[Import]]+Data[[#This Row],[Last month]]-Data[[#This Row],[Export]]</f>
        <v>23</v>
      </c>
      <c r="G6" s="63">
        <v>23</v>
      </c>
      <c r="H6" s="61" t="s">
        <v>290</v>
      </c>
      <c r="I6" s="73"/>
      <c r="J6" s="72"/>
      <c r="K6" s="87"/>
    </row>
    <row r="7" spans="1:11" ht="15" customHeight="1">
      <c r="A7" s="61" t="s">
        <v>213</v>
      </c>
      <c r="B7" s="61" t="s">
        <v>214</v>
      </c>
      <c r="C7" s="61" t="s">
        <v>79</v>
      </c>
      <c r="D7" s="63"/>
      <c r="E7" s="63"/>
      <c r="F7" s="63">
        <f>Data[[#This Row],[Import]]+Data[[#This Row],[Last month]]-Data[[#This Row],[Export]]</f>
        <v>99</v>
      </c>
      <c r="G7" s="63">
        <v>99</v>
      </c>
      <c r="H7" s="61" t="s">
        <v>291</v>
      </c>
      <c r="I7" s="73"/>
      <c r="J7" s="72"/>
      <c r="K7" s="87"/>
    </row>
    <row r="8" spans="1:11" ht="15" customHeight="1">
      <c r="A8" s="61" t="s">
        <v>146</v>
      </c>
      <c r="B8" s="61" t="s">
        <v>147</v>
      </c>
      <c r="C8" s="61" t="s">
        <v>79</v>
      </c>
      <c r="D8" s="63"/>
      <c r="E8" s="63"/>
      <c r="F8" s="63">
        <f>Data[[#This Row],[Import]]+Data[[#This Row],[Last month]]-Data[[#This Row],[Export]]</f>
        <v>3</v>
      </c>
      <c r="G8" s="63">
        <v>3</v>
      </c>
      <c r="H8" s="61" t="s">
        <v>292</v>
      </c>
      <c r="I8" s="73"/>
      <c r="J8" s="72"/>
      <c r="K8" s="87"/>
    </row>
    <row r="9" spans="1:11" ht="15" customHeight="1">
      <c r="A9" s="61" t="s">
        <v>148</v>
      </c>
      <c r="B9" s="61" t="s">
        <v>149</v>
      </c>
      <c r="C9" s="61" t="s">
        <v>79</v>
      </c>
      <c r="D9" s="63"/>
      <c r="E9" s="63"/>
      <c r="F9" s="63">
        <f>Data[[#This Row],[Import]]+Data[[#This Row],[Last month]]-Data[[#This Row],[Export]]</f>
        <v>0</v>
      </c>
      <c r="G9" s="63">
        <v>0</v>
      </c>
      <c r="H9" s="61" t="s">
        <v>293</v>
      </c>
      <c r="I9" s="73"/>
      <c r="J9" s="73"/>
      <c r="K9" s="87"/>
    </row>
    <row r="10" spans="1:11" ht="15" customHeight="1">
      <c r="A10" s="61" t="s">
        <v>156</v>
      </c>
      <c r="B10" s="61" t="s">
        <v>157</v>
      </c>
      <c r="C10" s="61" t="s">
        <v>79</v>
      </c>
      <c r="D10" s="63"/>
      <c r="E10" s="63"/>
      <c r="F10" s="63">
        <f>Data[[#This Row],[Import]]+Data[[#This Row],[Last month]]-Data[[#This Row],[Export]]</f>
        <v>0</v>
      </c>
      <c r="G10" s="63">
        <v>0</v>
      </c>
      <c r="H10" s="61" t="s">
        <v>294</v>
      </c>
      <c r="I10" s="73"/>
      <c r="J10" s="73"/>
      <c r="K10" s="87"/>
    </row>
    <row r="11" spans="1:11" ht="15" customHeight="1">
      <c r="A11" s="61" t="s">
        <v>162</v>
      </c>
      <c r="B11" s="61" t="s">
        <v>163</v>
      </c>
      <c r="C11" s="61" t="s">
        <v>79</v>
      </c>
      <c r="D11" s="63"/>
      <c r="E11" s="63"/>
      <c r="F11" s="63">
        <f>Data[[#This Row],[Import]]+Data[[#This Row],[Last month]]-Data[[#This Row],[Export]]</f>
        <v>3</v>
      </c>
      <c r="G11" s="63">
        <v>3</v>
      </c>
      <c r="H11" s="61" t="s">
        <v>295</v>
      </c>
      <c r="I11" s="73"/>
      <c r="J11" s="73"/>
      <c r="K11" s="87"/>
    </row>
    <row r="12" spans="1:11" ht="15" customHeight="1">
      <c r="A12" s="61" t="s">
        <v>1236</v>
      </c>
      <c r="B12" s="61" t="s">
        <v>165</v>
      </c>
      <c r="C12" s="61" t="s">
        <v>79</v>
      </c>
      <c r="D12" s="63"/>
      <c r="E12" s="63"/>
      <c r="F12" s="63">
        <f>Data[[#This Row],[Import]]+Data[[#This Row],[Last month]]-Data[[#This Row],[Export]]</f>
        <v>0</v>
      </c>
      <c r="G12" s="63">
        <v>0</v>
      </c>
      <c r="H12" s="61" t="s">
        <v>296</v>
      </c>
      <c r="I12" s="73"/>
      <c r="J12" s="73"/>
      <c r="K12" s="87"/>
    </row>
    <row r="13" spans="1:11" ht="15" customHeight="1">
      <c r="A13" s="61" t="s">
        <v>176</v>
      </c>
      <c r="B13" s="61" t="s">
        <v>175</v>
      </c>
      <c r="C13" s="61" t="s">
        <v>79</v>
      </c>
      <c r="D13" s="63"/>
      <c r="E13" s="63"/>
      <c r="F13" s="63">
        <f>Data[[#This Row],[Import]]+Data[[#This Row],[Last month]]-Data[[#This Row],[Export]]</f>
        <v>0</v>
      </c>
      <c r="G13" s="63">
        <v>0</v>
      </c>
      <c r="H13" s="61" t="s">
        <v>297</v>
      </c>
      <c r="I13" s="73"/>
      <c r="J13" s="73"/>
      <c r="K13" s="87"/>
    </row>
    <row r="14" spans="1:11" ht="15" customHeight="1">
      <c r="A14" s="61" t="s">
        <v>152</v>
      </c>
      <c r="B14" s="61" t="s">
        <v>1169</v>
      </c>
      <c r="C14" s="61" t="s">
        <v>79</v>
      </c>
      <c r="D14" s="63"/>
      <c r="E14" s="63"/>
      <c r="F14" s="63">
        <f>Data[[#This Row],[Import]]+Data[[#This Row],[Last month]]-Data[[#This Row],[Export]]</f>
        <v>4</v>
      </c>
      <c r="G14" s="63">
        <v>4</v>
      </c>
      <c r="H14" s="61" t="s">
        <v>298</v>
      </c>
      <c r="I14" s="73"/>
      <c r="J14" s="73"/>
      <c r="K14" s="87"/>
    </row>
    <row r="15" spans="1:11" ht="15" customHeight="1">
      <c r="A15" s="61" t="s">
        <v>158</v>
      </c>
      <c r="B15" s="61" t="s">
        <v>157</v>
      </c>
      <c r="C15" s="61" t="s">
        <v>79</v>
      </c>
      <c r="D15" s="63"/>
      <c r="E15" s="63"/>
      <c r="F15" s="63">
        <f>Data[[#This Row],[Import]]+Data[[#This Row],[Last month]]-Data[[#This Row],[Export]]</f>
        <v>2</v>
      </c>
      <c r="G15" s="63">
        <v>2</v>
      </c>
      <c r="H15" s="61" t="s">
        <v>299</v>
      </c>
      <c r="I15" s="73"/>
      <c r="J15" s="73"/>
      <c r="K15" s="87"/>
    </row>
    <row r="16" spans="1:11" ht="15" customHeight="1">
      <c r="A16" s="61" t="s">
        <v>159</v>
      </c>
      <c r="B16" s="61" t="s">
        <v>160</v>
      </c>
      <c r="C16" s="61" t="s">
        <v>79</v>
      </c>
      <c r="D16" s="63"/>
      <c r="E16" s="63"/>
      <c r="F16" s="63">
        <f>Data[[#This Row],[Import]]+Data[[#This Row],[Last month]]-Data[[#This Row],[Export]]</f>
        <v>0</v>
      </c>
      <c r="G16" s="63">
        <v>0</v>
      </c>
      <c r="H16" s="61" t="s">
        <v>300</v>
      </c>
      <c r="I16" s="73"/>
      <c r="J16" s="73"/>
      <c r="K16" s="87"/>
    </row>
    <row r="17" spans="1:11" ht="15" customHeight="1">
      <c r="A17" s="61" t="s">
        <v>142</v>
      </c>
      <c r="B17" s="61" t="s">
        <v>141</v>
      </c>
      <c r="C17" s="61" t="s">
        <v>79</v>
      </c>
      <c r="D17" s="63"/>
      <c r="E17" s="63"/>
      <c r="F17" s="63">
        <f>Data[[#This Row],[Import]]+Data[[#This Row],[Last month]]-Data[[#This Row],[Export]]</f>
        <v>0</v>
      </c>
      <c r="G17" s="63">
        <v>0</v>
      </c>
      <c r="H17" s="61" t="s">
        <v>301</v>
      </c>
      <c r="I17" s="73"/>
      <c r="J17" s="73"/>
      <c r="K17" s="87"/>
    </row>
    <row r="18" spans="1:11" ht="15" customHeight="1">
      <c r="A18" s="61" t="s">
        <v>169</v>
      </c>
      <c r="B18" s="61" t="s">
        <v>170</v>
      </c>
      <c r="C18" s="61" t="s">
        <v>171</v>
      </c>
      <c r="D18" s="63"/>
      <c r="E18" s="63"/>
      <c r="F18" s="63">
        <f>Data[[#This Row],[Import]]+Data[[#This Row],[Last month]]-Data[[#This Row],[Export]]</f>
        <v>0</v>
      </c>
      <c r="G18" s="63">
        <v>0</v>
      </c>
      <c r="H18" s="61" t="s">
        <v>302</v>
      </c>
      <c r="I18" s="73"/>
      <c r="J18" s="73"/>
      <c r="K18" s="87"/>
    </row>
    <row r="19" spans="1:11" ht="15" customHeight="1">
      <c r="A19" s="61" t="s">
        <v>125</v>
      </c>
      <c r="B19" s="61" t="s">
        <v>126</v>
      </c>
      <c r="C19" s="61" t="s">
        <v>79</v>
      </c>
      <c r="D19" s="63"/>
      <c r="E19" s="63"/>
      <c r="F19" s="63">
        <f>Data[[#This Row],[Import]]+Data[[#This Row],[Last month]]-Data[[#This Row],[Export]]</f>
        <v>10</v>
      </c>
      <c r="G19" s="63">
        <v>10</v>
      </c>
      <c r="H19" s="61" t="s">
        <v>303</v>
      </c>
      <c r="I19" s="73"/>
      <c r="J19" s="73"/>
      <c r="K19" s="87"/>
    </row>
    <row r="20" spans="1:11" ht="15" customHeight="1">
      <c r="A20" s="61" t="s">
        <v>129</v>
      </c>
      <c r="B20" s="61" t="s">
        <v>126</v>
      </c>
      <c r="C20" s="61" t="s">
        <v>171</v>
      </c>
      <c r="D20" s="63"/>
      <c r="E20" s="63"/>
      <c r="F20" s="63">
        <f>Data[[#This Row],[Import]]+Data[[#This Row],[Last month]]-Data[[#This Row],[Export]]</f>
        <v>10</v>
      </c>
      <c r="G20" s="63">
        <v>10</v>
      </c>
      <c r="H20" s="61" t="s">
        <v>304</v>
      </c>
      <c r="I20" s="73"/>
      <c r="J20" s="72"/>
      <c r="K20" s="87"/>
    </row>
    <row r="21" spans="1:11" ht="15" customHeight="1">
      <c r="A21" s="61" t="s">
        <v>1398</v>
      </c>
      <c r="B21" s="61" t="s">
        <v>132</v>
      </c>
      <c r="C21" s="61" t="s">
        <v>79</v>
      </c>
      <c r="D21" s="63"/>
      <c r="E21" s="63"/>
      <c r="F21" s="63">
        <f>Data[[#This Row],[Import]]+Data[[#This Row],[Last month]]-Data[[#This Row],[Export]]</f>
        <v>5</v>
      </c>
      <c r="G21" s="63">
        <v>5</v>
      </c>
      <c r="H21" s="61" t="s">
        <v>305</v>
      </c>
      <c r="I21" s="73"/>
      <c r="J21" s="72"/>
      <c r="K21" s="87"/>
    </row>
    <row r="22" spans="1:11" ht="15" customHeight="1">
      <c r="A22" s="61" t="s">
        <v>133</v>
      </c>
      <c r="B22" s="61" t="s">
        <v>126</v>
      </c>
      <c r="C22" s="61" t="s">
        <v>79</v>
      </c>
      <c r="D22" s="63"/>
      <c r="E22" s="63"/>
      <c r="F22" s="63">
        <f>Data[[#This Row],[Import]]+Data[[#This Row],[Last month]]-Data[[#This Row],[Export]]</f>
        <v>0</v>
      </c>
      <c r="G22" s="63">
        <v>0</v>
      </c>
      <c r="H22" s="61" t="s">
        <v>306</v>
      </c>
      <c r="I22" s="73"/>
      <c r="J22" s="72"/>
      <c r="K22" s="87"/>
    </row>
    <row r="23" spans="1:11" ht="15" customHeight="1">
      <c r="A23" s="61" t="s">
        <v>134</v>
      </c>
      <c r="B23" s="61" t="s">
        <v>135</v>
      </c>
      <c r="C23" s="61" t="s">
        <v>229</v>
      </c>
      <c r="D23" s="63"/>
      <c r="E23" s="63"/>
      <c r="F23" s="63">
        <f>Data[[#This Row],[Import]]+Data[[#This Row],[Last month]]-Data[[#This Row],[Export]]</f>
        <v>1</v>
      </c>
      <c r="G23" s="63">
        <v>1</v>
      </c>
      <c r="H23" s="61" t="s">
        <v>307</v>
      </c>
      <c r="I23" s="73"/>
      <c r="J23" s="72"/>
      <c r="K23" s="87"/>
    </row>
    <row r="24" spans="1:11" ht="15" customHeight="1">
      <c r="A24" s="61" t="s">
        <v>137</v>
      </c>
      <c r="B24" s="61" t="s">
        <v>138</v>
      </c>
      <c r="C24" s="61" t="s">
        <v>139</v>
      </c>
      <c r="D24" s="63"/>
      <c r="E24" s="63"/>
      <c r="F24" s="63">
        <f>Data[[#This Row],[Import]]+Data[[#This Row],[Last month]]-Data[[#This Row],[Export]]</f>
        <v>0</v>
      </c>
      <c r="G24" s="63">
        <v>0</v>
      </c>
      <c r="H24" s="61" t="s">
        <v>308</v>
      </c>
      <c r="I24" s="73"/>
      <c r="J24" s="72"/>
      <c r="K24" s="87"/>
    </row>
    <row r="25" spans="1:11" ht="15" customHeight="1">
      <c r="A25" s="61" t="s">
        <v>140</v>
      </c>
      <c r="B25" s="61" t="s">
        <v>141</v>
      </c>
      <c r="C25" s="61" t="s">
        <v>79</v>
      </c>
      <c r="D25" s="63"/>
      <c r="E25" s="63"/>
      <c r="F25" s="63">
        <f>Data[[#This Row],[Import]]+Data[[#This Row],[Last month]]-Data[[#This Row],[Export]]</f>
        <v>0</v>
      </c>
      <c r="G25" s="63">
        <v>0</v>
      </c>
      <c r="H25" s="61" t="s">
        <v>309</v>
      </c>
      <c r="I25" s="73"/>
      <c r="J25" s="73"/>
      <c r="K25" s="87"/>
    </row>
    <row r="26" spans="1:11" ht="15" customHeight="1">
      <c r="A26" s="61" t="s">
        <v>130</v>
      </c>
      <c r="B26" s="61" t="s">
        <v>131</v>
      </c>
      <c r="C26" s="61" t="s">
        <v>80</v>
      </c>
      <c r="D26" s="63"/>
      <c r="E26" s="63"/>
      <c r="F26" s="63">
        <f>Data[[#This Row],[Import]]+Data[[#This Row],[Last month]]-Data[[#This Row],[Export]]</f>
        <v>0</v>
      </c>
      <c r="G26" s="63">
        <v>0</v>
      </c>
      <c r="H26" s="61" t="s">
        <v>310</v>
      </c>
      <c r="I26" s="73"/>
      <c r="J26" s="73"/>
      <c r="K26" s="87"/>
    </row>
    <row r="27" spans="1:11" ht="15" customHeight="1">
      <c r="A27" s="61" t="s">
        <v>166</v>
      </c>
      <c r="B27" s="61" t="s">
        <v>167</v>
      </c>
      <c r="C27" s="61" t="s">
        <v>79</v>
      </c>
      <c r="D27" s="63"/>
      <c r="E27" s="63"/>
      <c r="F27" s="63">
        <f>Data[[#This Row],[Import]]+Data[[#This Row],[Last month]]-Data[[#This Row],[Export]]</f>
        <v>70</v>
      </c>
      <c r="G27" s="63">
        <v>70</v>
      </c>
      <c r="H27" s="61" t="s">
        <v>311</v>
      </c>
      <c r="I27" s="73"/>
      <c r="J27" s="73"/>
      <c r="K27" s="87"/>
    </row>
    <row r="28" spans="1:11" ht="15" customHeight="1">
      <c r="A28" s="61" t="s">
        <v>172</v>
      </c>
      <c r="B28" s="61" t="s">
        <v>173</v>
      </c>
      <c r="C28" s="61" t="s">
        <v>79</v>
      </c>
      <c r="D28" s="63"/>
      <c r="E28" s="63"/>
      <c r="F28" s="63">
        <f>Data[[#This Row],[Import]]+Data[[#This Row],[Last month]]-Data[[#This Row],[Export]]</f>
        <v>0</v>
      </c>
      <c r="G28" s="63">
        <v>0</v>
      </c>
      <c r="H28" s="61" t="s">
        <v>312</v>
      </c>
      <c r="I28" s="73"/>
      <c r="J28" s="73"/>
      <c r="K28" s="87"/>
    </row>
    <row r="29" spans="1:11" ht="15" customHeight="1">
      <c r="A29" s="61" t="s">
        <v>150</v>
      </c>
      <c r="B29" s="61" t="s">
        <v>151</v>
      </c>
      <c r="C29" s="61" t="s">
        <v>79</v>
      </c>
      <c r="D29" s="63"/>
      <c r="E29" s="63"/>
      <c r="F29" s="63">
        <f>Data[[#This Row],[Import]]+Data[[#This Row],[Last month]]-Data[[#This Row],[Export]]</f>
        <v>0</v>
      </c>
      <c r="G29" s="63">
        <v>0</v>
      </c>
      <c r="H29" s="61" t="s">
        <v>313</v>
      </c>
      <c r="I29" s="73"/>
      <c r="J29" s="73"/>
      <c r="K29" s="87"/>
    </row>
    <row r="30" spans="1:11" ht="15" customHeight="1">
      <c r="A30" s="61" t="s">
        <v>154</v>
      </c>
      <c r="B30" s="61" t="s">
        <v>155</v>
      </c>
      <c r="C30" s="61" t="s">
        <v>79</v>
      </c>
      <c r="D30" s="63"/>
      <c r="E30" s="63"/>
      <c r="F30" s="63">
        <f>Data[[#This Row],[Import]]+Data[[#This Row],[Last month]]-Data[[#This Row],[Export]]</f>
        <v>3</v>
      </c>
      <c r="G30" s="63">
        <v>3</v>
      </c>
      <c r="H30" s="61" t="s">
        <v>314</v>
      </c>
      <c r="I30" s="73"/>
      <c r="J30" s="73"/>
      <c r="K30" s="87"/>
    </row>
    <row r="31" spans="1:11" ht="15" customHeight="1">
      <c r="A31" s="61" t="s">
        <v>161</v>
      </c>
      <c r="B31" s="61" t="s">
        <v>160</v>
      </c>
      <c r="C31" s="61" t="s">
        <v>79</v>
      </c>
      <c r="D31" s="63"/>
      <c r="E31" s="63"/>
      <c r="F31" s="63">
        <f>Data[[#This Row],[Import]]+Data[[#This Row],[Last month]]-Data[[#This Row],[Export]]</f>
        <v>25</v>
      </c>
      <c r="G31" s="63">
        <v>25</v>
      </c>
      <c r="H31" s="61" t="s">
        <v>315</v>
      </c>
      <c r="I31" s="73"/>
      <c r="J31" s="73"/>
      <c r="K31" s="87"/>
    </row>
    <row r="32" spans="1:11" ht="15" customHeight="1">
      <c r="A32" s="61" t="s">
        <v>185</v>
      </c>
      <c r="B32" s="61" t="s">
        <v>186</v>
      </c>
      <c r="C32" s="61" t="s">
        <v>79</v>
      </c>
      <c r="D32" s="63"/>
      <c r="E32" s="63"/>
      <c r="F32" s="63">
        <f>Data[[#This Row],[Import]]+Data[[#This Row],[Last month]]-Data[[#This Row],[Export]]</f>
        <v>9</v>
      </c>
      <c r="G32" s="63">
        <v>9</v>
      </c>
      <c r="H32" s="61" t="s">
        <v>319</v>
      </c>
      <c r="I32" s="73"/>
      <c r="J32" s="73"/>
      <c r="K32" s="87"/>
    </row>
    <row r="33" spans="1:11" ht="15" customHeight="1">
      <c r="A33" s="61" t="s">
        <v>168</v>
      </c>
      <c r="B33" s="61" t="s">
        <v>167</v>
      </c>
      <c r="C33" s="61" t="s">
        <v>79</v>
      </c>
      <c r="D33" s="63"/>
      <c r="E33" s="63"/>
      <c r="F33" s="63">
        <f>Data[[#This Row],[Import]]+Data[[#This Row],[Last month]]-Data[[#This Row],[Export]]</f>
        <v>114</v>
      </c>
      <c r="G33" s="63">
        <v>114</v>
      </c>
      <c r="H33" s="61" t="s">
        <v>316</v>
      </c>
      <c r="I33" s="73"/>
      <c r="J33" s="73"/>
      <c r="K33" s="87"/>
    </row>
    <row r="34" spans="1:11" ht="12.5">
      <c r="A34" s="61" t="s">
        <v>174</v>
      </c>
      <c r="B34" s="61" t="s">
        <v>175</v>
      </c>
      <c r="C34" s="61" t="s">
        <v>79</v>
      </c>
      <c r="D34" s="63"/>
      <c r="E34" s="63"/>
      <c r="F34" s="63">
        <f>Data[[#This Row],[Import]]+Data[[#This Row],[Last month]]-Data[[#This Row],[Export]]</f>
        <v>0</v>
      </c>
      <c r="G34" s="63">
        <v>0</v>
      </c>
      <c r="H34" s="61" t="s">
        <v>317</v>
      </c>
      <c r="I34" s="73"/>
      <c r="J34" s="73"/>
      <c r="K34" s="87"/>
    </row>
    <row r="35" spans="1:11" ht="15" customHeight="1">
      <c r="A35" s="61" t="s">
        <v>349</v>
      </c>
      <c r="B35" s="61" t="s">
        <v>179</v>
      </c>
      <c r="C35" s="61" t="s">
        <v>79</v>
      </c>
      <c r="D35" s="63"/>
      <c r="E35" s="63"/>
      <c r="F35" s="63">
        <f>Data[[#This Row],[Import]]+Data[[#This Row],[Last month]]-Data[[#This Row],[Export]]</f>
        <v>11</v>
      </c>
      <c r="G35" s="63">
        <v>11</v>
      </c>
      <c r="H35" s="61" t="s">
        <v>318</v>
      </c>
      <c r="I35" s="73"/>
      <c r="J35" s="73"/>
      <c r="K35" s="87"/>
    </row>
    <row r="36" spans="1:11" ht="15" customHeight="1">
      <c r="A36" s="61" t="s">
        <v>363</v>
      </c>
      <c r="B36" s="61" t="s">
        <v>266</v>
      </c>
      <c r="C36" s="61" t="s">
        <v>79</v>
      </c>
      <c r="D36" s="63"/>
      <c r="E36" s="63"/>
      <c r="F36" s="63">
        <f>Data[[#This Row],[Import]]+Data[[#This Row],[Last month]]-Data[[#This Row],[Export]]</f>
        <v>59</v>
      </c>
      <c r="G36" s="63">
        <v>59</v>
      </c>
      <c r="H36" s="61" t="s">
        <v>377</v>
      </c>
      <c r="I36" s="73"/>
      <c r="J36" s="72"/>
      <c r="K36" s="87"/>
    </row>
    <row r="37" spans="1:11" ht="15" customHeight="1">
      <c r="A37" s="61" t="s">
        <v>364</v>
      </c>
      <c r="B37" s="61" t="s">
        <v>365</v>
      </c>
      <c r="C37" s="61" t="s">
        <v>79</v>
      </c>
      <c r="D37" s="63"/>
      <c r="E37" s="63"/>
      <c r="F37" s="63">
        <f>Data[[#This Row],[Import]]+Data[[#This Row],[Last month]]-Data[[#This Row],[Export]]</f>
        <v>78</v>
      </c>
      <c r="G37" s="63">
        <v>78</v>
      </c>
      <c r="H37" s="61" t="s">
        <v>378</v>
      </c>
      <c r="I37" s="73"/>
      <c r="J37" s="72"/>
      <c r="K37" s="87"/>
    </row>
    <row r="38" spans="1:11" ht="15" customHeight="1">
      <c r="A38" s="61" t="s">
        <v>397</v>
      </c>
      <c r="B38" s="61" t="s">
        <v>398</v>
      </c>
      <c r="C38" s="61" t="s">
        <v>79</v>
      </c>
      <c r="D38" s="63"/>
      <c r="E38" s="63"/>
      <c r="F38" s="63">
        <f>Data[[#This Row],[Import]]+Data[[#This Row],[Last month]]-Data[[#This Row],[Export]]</f>
        <v>0</v>
      </c>
      <c r="G38" s="63">
        <v>0</v>
      </c>
      <c r="H38" s="61" t="s">
        <v>436</v>
      </c>
      <c r="I38" s="73" t="s">
        <v>538</v>
      </c>
      <c r="J38" s="73"/>
      <c r="K38" s="87"/>
    </row>
    <row r="39" spans="1:11" ht="15" customHeight="1">
      <c r="A39" s="61" t="s">
        <v>399</v>
      </c>
      <c r="B39" s="61" t="s">
        <v>400</v>
      </c>
      <c r="C39" s="61" t="s">
        <v>79</v>
      </c>
      <c r="D39" s="63"/>
      <c r="E39" s="63"/>
      <c r="F39" s="63">
        <f>Data[[#This Row],[Import]]+Data[[#This Row],[Last month]]-Data[[#This Row],[Export]]</f>
        <v>0</v>
      </c>
      <c r="G39" s="63">
        <v>0</v>
      </c>
      <c r="H39" s="61" t="s">
        <v>437</v>
      </c>
      <c r="I39" s="73" t="s">
        <v>538</v>
      </c>
      <c r="J39" s="72"/>
      <c r="K39" s="87"/>
    </row>
    <row r="40" spans="1:11" ht="15" customHeight="1">
      <c r="A40" s="61">
        <v>703169</v>
      </c>
      <c r="B40" s="61" t="s">
        <v>401</v>
      </c>
      <c r="C40" s="61" t="s">
        <v>229</v>
      </c>
      <c r="D40" s="63"/>
      <c r="E40" s="63"/>
      <c r="F40" s="63">
        <f>Data[[#This Row],[Import]]+Data[[#This Row],[Last month]]-Data[[#This Row],[Export]]</f>
        <v>0</v>
      </c>
      <c r="G40" s="63">
        <v>0</v>
      </c>
      <c r="H40" s="61" t="s">
        <v>438</v>
      </c>
      <c r="I40" s="73" t="s">
        <v>539</v>
      </c>
      <c r="J40" s="72"/>
      <c r="K40" s="87"/>
    </row>
    <row r="41" spans="1:11" ht="15" customHeight="1">
      <c r="A41" s="61" t="s">
        <v>402</v>
      </c>
      <c r="B41" s="61" t="s">
        <v>403</v>
      </c>
      <c r="C41" s="61" t="s">
        <v>79</v>
      </c>
      <c r="D41" s="63"/>
      <c r="E41" s="63"/>
      <c r="F41" s="63">
        <f>Data[[#This Row],[Import]]+Data[[#This Row],[Last month]]-Data[[#This Row],[Export]]</f>
        <v>0</v>
      </c>
      <c r="G41" s="63">
        <v>0</v>
      </c>
      <c r="H41" s="61" t="s">
        <v>439</v>
      </c>
      <c r="I41" s="73" t="s">
        <v>538</v>
      </c>
      <c r="J41" s="72"/>
      <c r="K41" s="87"/>
    </row>
    <row r="42" spans="1:11" ht="15" customHeight="1">
      <c r="A42" s="61" t="s">
        <v>411</v>
      </c>
      <c r="B42" s="61" t="s">
        <v>398</v>
      </c>
      <c r="C42" s="61" t="s">
        <v>79</v>
      </c>
      <c r="D42" s="63"/>
      <c r="E42" s="63"/>
      <c r="F42" s="63">
        <f>Data[[#This Row],[Import]]+Data[[#This Row],[Last month]]-Data[[#This Row],[Export]]</f>
        <v>0</v>
      </c>
      <c r="G42" s="63">
        <v>0</v>
      </c>
      <c r="H42" s="61" t="s">
        <v>447</v>
      </c>
      <c r="I42" s="73" t="s">
        <v>538</v>
      </c>
      <c r="J42" s="72"/>
      <c r="K42" s="87"/>
    </row>
    <row r="43" spans="1:11" ht="15" customHeight="1">
      <c r="A43" s="61" t="s">
        <v>414</v>
      </c>
      <c r="B43" s="61" t="s">
        <v>415</v>
      </c>
      <c r="C43" s="61" t="s">
        <v>79</v>
      </c>
      <c r="D43" s="63"/>
      <c r="E43" s="63"/>
      <c r="F43" s="63">
        <f>Data[[#This Row],[Import]]+Data[[#This Row],[Last month]]-Data[[#This Row],[Export]]</f>
        <v>0</v>
      </c>
      <c r="G43" s="63">
        <v>0</v>
      </c>
      <c r="H43" s="61" t="s">
        <v>449</v>
      </c>
      <c r="I43" s="73" t="s">
        <v>538</v>
      </c>
      <c r="J43" s="72"/>
      <c r="K43" s="87"/>
    </row>
    <row r="44" spans="1:11" ht="15" customHeight="1">
      <c r="A44" s="61" t="s">
        <v>463</v>
      </c>
      <c r="B44" s="61" t="s">
        <v>464</v>
      </c>
      <c r="C44" s="61" t="s">
        <v>171</v>
      </c>
      <c r="D44" s="63"/>
      <c r="E44" s="63"/>
      <c r="F44" s="63">
        <f>Data[[#This Row],[Import]]+Data[[#This Row],[Last month]]-Data[[#This Row],[Export]]</f>
        <v>0</v>
      </c>
      <c r="G44" s="63">
        <v>0</v>
      </c>
      <c r="H44" s="61" t="s">
        <v>497</v>
      </c>
      <c r="I44" s="73" t="s">
        <v>538</v>
      </c>
      <c r="J44" s="72"/>
      <c r="K44" s="87"/>
    </row>
    <row r="45" spans="1:11" ht="15" customHeight="1">
      <c r="A45" s="61" t="s">
        <v>178</v>
      </c>
      <c r="B45" s="61" t="s">
        <v>179</v>
      </c>
      <c r="C45" s="61" t="s">
        <v>79</v>
      </c>
      <c r="D45" s="63"/>
      <c r="E45" s="63"/>
      <c r="F45" s="63">
        <f>Data[[#This Row],[Import]]+Data[[#This Row],[Last month]]-Data[[#This Row],[Export]]</f>
        <v>0</v>
      </c>
      <c r="G45" s="63">
        <v>0</v>
      </c>
      <c r="H45" s="61" t="s">
        <v>320</v>
      </c>
      <c r="I45" s="73"/>
      <c r="J45" s="72"/>
      <c r="K45" s="87"/>
    </row>
    <row r="46" spans="1:11" ht="26.5" customHeight="1">
      <c r="A46" s="61" t="s">
        <v>180</v>
      </c>
      <c r="B46" s="61" t="s">
        <v>179</v>
      </c>
      <c r="C46" s="61" t="s">
        <v>79</v>
      </c>
      <c r="D46" s="63"/>
      <c r="E46" s="63"/>
      <c r="F46" s="63">
        <f>Data[[#This Row],[Import]]+Data[[#This Row],[Last month]]-Data[[#This Row],[Export]]</f>
        <v>10</v>
      </c>
      <c r="G46" s="63">
        <v>10</v>
      </c>
      <c r="H46" s="61" t="s">
        <v>321</v>
      </c>
      <c r="I46" s="73"/>
      <c r="J46" s="72"/>
      <c r="K46" s="87"/>
    </row>
    <row r="47" spans="1:11" ht="15" customHeight="1">
      <c r="A47" s="61" t="s">
        <v>181</v>
      </c>
      <c r="B47" s="61" t="s">
        <v>182</v>
      </c>
      <c r="C47" s="61" t="s">
        <v>79</v>
      </c>
      <c r="D47" s="63"/>
      <c r="E47" s="63"/>
      <c r="F47" s="63">
        <f>Data[[#This Row],[Import]]+Data[[#This Row],[Last month]]-Data[[#This Row],[Export]]</f>
        <v>3</v>
      </c>
      <c r="G47" s="63">
        <v>3</v>
      </c>
      <c r="H47" s="61" t="s">
        <v>322</v>
      </c>
      <c r="I47" s="73"/>
      <c r="J47" s="72"/>
      <c r="K47" s="87"/>
    </row>
    <row r="48" spans="1:11" ht="15" customHeight="1">
      <c r="A48" s="61" t="s">
        <v>183</v>
      </c>
      <c r="B48" s="61" t="s">
        <v>184</v>
      </c>
      <c r="C48" s="61" t="s">
        <v>79</v>
      </c>
      <c r="D48" s="63"/>
      <c r="E48" s="63"/>
      <c r="F48" s="63">
        <f>Data[[#This Row],[Import]]+Data[[#This Row],[Last month]]-Data[[#This Row],[Export]]</f>
        <v>8</v>
      </c>
      <c r="G48" s="63">
        <v>8</v>
      </c>
      <c r="H48" s="61" t="s">
        <v>323</v>
      </c>
      <c r="I48" s="73"/>
      <c r="J48" s="72"/>
      <c r="K48" s="87"/>
    </row>
    <row r="49" spans="1:11" ht="15" customHeight="1">
      <c r="A49" s="61" t="s">
        <v>143</v>
      </c>
      <c r="B49" s="61" t="s">
        <v>144</v>
      </c>
      <c r="C49" s="61" t="s">
        <v>171</v>
      </c>
      <c r="D49" s="63"/>
      <c r="E49" s="63"/>
      <c r="F49" s="63">
        <f>Data[[#This Row],[Import]]+Data[[#This Row],[Last month]]-Data[[#This Row],[Export]]</f>
        <v>2</v>
      </c>
      <c r="G49" s="63">
        <v>2</v>
      </c>
      <c r="H49" s="61" t="s">
        <v>324</v>
      </c>
      <c r="I49" s="73"/>
      <c r="J49" s="72"/>
      <c r="K49" s="87"/>
    </row>
    <row r="50" spans="1:11" ht="15" customHeight="1">
      <c r="A50" s="61" t="s">
        <v>249</v>
      </c>
      <c r="B50" s="61" t="s">
        <v>246</v>
      </c>
      <c r="C50" s="61" t="s">
        <v>79</v>
      </c>
      <c r="D50" s="63"/>
      <c r="E50" s="63"/>
      <c r="F50" s="63">
        <f>Data[[#This Row],[Import]]+Data[[#This Row],[Last month]]-Data[[#This Row],[Export]]</f>
        <v>0</v>
      </c>
      <c r="G50" s="63">
        <v>0</v>
      </c>
      <c r="H50" s="61" t="s">
        <v>326</v>
      </c>
      <c r="I50" s="73"/>
      <c r="J50" s="73"/>
      <c r="K50" s="87"/>
    </row>
    <row r="51" spans="1:11" ht="15" customHeight="1">
      <c r="A51" s="61" t="s">
        <v>248</v>
      </c>
      <c r="B51" s="61" t="s">
        <v>247</v>
      </c>
      <c r="C51" s="61" t="s">
        <v>79</v>
      </c>
      <c r="D51" s="63"/>
      <c r="E51" s="63"/>
      <c r="F51" s="63">
        <f>Data[[#This Row],[Import]]+Data[[#This Row],[Last month]]-Data[[#This Row],[Export]]</f>
        <v>0</v>
      </c>
      <c r="G51" s="63">
        <v>0</v>
      </c>
      <c r="H51" s="61" t="s">
        <v>327</v>
      </c>
      <c r="I51" s="73"/>
      <c r="J51" s="73"/>
      <c r="K51" s="87"/>
    </row>
    <row r="52" spans="1:11" ht="15" customHeight="1">
      <c r="A52" s="61" t="s">
        <v>231</v>
      </c>
      <c r="B52" s="61" t="s">
        <v>267</v>
      </c>
      <c r="C52" s="61" t="s">
        <v>79</v>
      </c>
      <c r="D52" s="63"/>
      <c r="E52" s="63"/>
      <c r="F52" s="63">
        <f>Data[[#This Row],[Import]]+Data[[#This Row],[Last month]]-Data[[#This Row],[Export]]</f>
        <v>2</v>
      </c>
      <c r="G52" s="63">
        <v>2</v>
      </c>
      <c r="H52" s="61" t="s">
        <v>328</v>
      </c>
      <c r="I52" s="73"/>
      <c r="J52" s="73"/>
      <c r="K52" s="87"/>
    </row>
    <row r="53" spans="1:11" ht="15" customHeight="1">
      <c r="A53" s="61" t="s">
        <v>233</v>
      </c>
      <c r="B53" s="61" t="s">
        <v>234</v>
      </c>
      <c r="C53" s="61" t="s">
        <v>79</v>
      </c>
      <c r="D53" s="63"/>
      <c r="E53" s="63"/>
      <c r="F53" s="63">
        <f>Data[[#This Row],[Import]]+Data[[#This Row],[Last month]]-Data[[#This Row],[Export]]</f>
        <v>0</v>
      </c>
      <c r="G53" s="63">
        <v>0</v>
      </c>
      <c r="H53" s="61" t="s">
        <v>329</v>
      </c>
      <c r="I53" s="73"/>
      <c r="J53" s="72"/>
      <c r="K53" s="87"/>
    </row>
    <row r="54" spans="1:11" ht="15" customHeight="1">
      <c r="A54" s="61" t="s">
        <v>243</v>
      </c>
      <c r="B54" s="61" t="s">
        <v>268</v>
      </c>
      <c r="C54" s="61" t="s">
        <v>229</v>
      </c>
      <c r="D54" s="105"/>
      <c r="E54" s="105"/>
      <c r="F54" s="63">
        <f>Data[[#This Row],[Import]]+Data[[#This Row],[Last month]]-Data[[#This Row],[Export]]</f>
        <v>0</v>
      </c>
      <c r="G54" s="105">
        <v>0</v>
      </c>
      <c r="H54" s="61" t="s">
        <v>330</v>
      </c>
      <c r="I54" s="106"/>
      <c r="J54" s="73"/>
      <c r="K54" s="87"/>
    </row>
    <row r="55" spans="1:11" ht="15" customHeight="1">
      <c r="A55" s="65" t="s">
        <v>250</v>
      </c>
      <c r="B55" s="65" t="s">
        <v>251</v>
      </c>
      <c r="C55" s="65" t="s">
        <v>79</v>
      </c>
      <c r="D55" s="82"/>
      <c r="E55" s="82"/>
      <c r="F55" s="63">
        <f>Data[[#This Row],[Import]]+Data[[#This Row],[Last month]]-Data[[#This Row],[Export]]</f>
        <v>0</v>
      </c>
      <c r="G55" s="82">
        <v>0</v>
      </c>
      <c r="H55" s="65" t="s">
        <v>331</v>
      </c>
      <c r="I55" s="73" t="s">
        <v>429</v>
      </c>
      <c r="J55" s="73"/>
      <c r="K55" s="87"/>
    </row>
    <row r="56" spans="1:11" ht="15" customHeight="1">
      <c r="A56" s="65" t="s">
        <v>223</v>
      </c>
      <c r="B56" s="61" t="s">
        <v>224</v>
      </c>
      <c r="C56" s="65" t="s">
        <v>79</v>
      </c>
      <c r="D56" s="82"/>
      <c r="E56" s="82"/>
      <c r="F56" s="63">
        <f>Data[[#This Row],[Import]]+Data[[#This Row],[Last month]]-Data[[#This Row],[Export]]</f>
        <v>0</v>
      </c>
      <c r="G56" s="82">
        <v>0</v>
      </c>
      <c r="H56" s="65" t="s">
        <v>332</v>
      </c>
      <c r="I56" s="73" t="s">
        <v>429</v>
      </c>
      <c r="J56" s="73"/>
      <c r="K56" s="87"/>
    </row>
    <row r="57" spans="1:11" ht="12.5">
      <c r="A57" s="65" t="s">
        <v>225</v>
      </c>
      <c r="B57" s="65" t="s">
        <v>226</v>
      </c>
      <c r="C57" s="65" t="s">
        <v>79</v>
      </c>
      <c r="D57" s="82"/>
      <c r="E57" s="82"/>
      <c r="F57" s="63">
        <f>Data[[#This Row],[Import]]+Data[[#This Row],[Last month]]-Data[[#This Row],[Export]]</f>
        <v>0</v>
      </c>
      <c r="G57" s="82">
        <v>0</v>
      </c>
      <c r="H57" s="65" t="s">
        <v>333</v>
      </c>
      <c r="I57" s="73" t="s">
        <v>429</v>
      </c>
      <c r="J57" s="73"/>
      <c r="K57" s="87"/>
    </row>
    <row r="58" spans="1:11" ht="15" customHeight="1">
      <c r="A58" s="61" t="s">
        <v>227</v>
      </c>
      <c r="B58" s="65" t="s">
        <v>228</v>
      </c>
      <c r="C58" s="65" t="s">
        <v>229</v>
      </c>
      <c r="D58" s="82"/>
      <c r="E58" s="82"/>
      <c r="F58" s="63">
        <f>Data[[#This Row],[Import]]+Data[[#This Row],[Last month]]-Data[[#This Row],[Export]]</f>
        <v>3</v>
      </c>
      <c r="G58" s="82">
        <v>3</v>
      </c>
      <c r="H58" s="61" t="s">
        <v>334</v>
      </c>
      <c r="I58" s="73"/>
      <c r="J58" s="73">
        <v>103000</v>
      </c>
      <c r="K58" s="87"/>
    </row>
    <row r="59" spans="1:11" ht="15" customHeight="1">
      <c r="A59" s="61" t="s">
        <v>235</v>
      </c>
      <c r="B59" s="61" t="s">
        <v>236</v>
      </c>
      <c r="C59" s="61" t="s">
        <v>79</v>
      </c>
      <c r="D59" s="63"/>
      <c r="E59" s="63"/>
      <c r="F59" s="63">
        <f>Data[[#This Row],[Import]]+Data[[#This Row],[Last month]]-Data[[#This Row],[Export]]</f>
        <v>1</v>
      </c>
      <c r="G59" s="63">
        <v>1</v>
      </c>
      <c r="H59" s="61" t="s">
        <v>335</v>
      </c>
      <c r="I59" s="73"/>
      <c r="J59" s="73"/>
      <c r="K59" s="87"/>
    </row>
    <row r="60" spans="1:11" ht="12.5">
      <c r="A60" s="61" t="s">
        <v>237</v>
      </c>
      <c r="B60" s="61" t="s">
        <v>238</v>
      </c>
      <c r="C60" s="61" t="s">
        <v>79</v>
      </c>
      <c r="D60" s="63"/>
      <c r="E60" s="63"/>
      <c r="F60" s="63">
        <f>Data[[#This Row],[Import]]+Data[[#This Row],[Last month]]-Data[[#This Row],[Export]]</f>
        <v>0</v>
      </c>
      <c r="G60" s="63">
        <v>0</v>
      </c>
      <c r="H60" s="61" t="s">
        <v>336</v>
      </c>
      <c r="I60" s="73"/>
      <c r="J60" s="73"/>
      <c r="K60" s="87"/>
    </row>
    <row r="61" spans="1:11" ht="15" customHeight="1">
      <c r="A61" s="67" t="s">
        <v>279</v>
      </c>
      <c r="B61" s="67" t="s">
        <v>280</v>
      </c>
      <c r="C61" s="67" t="s">
        <v>79</v>
      </c>
      <c r="D61" s="81"/>
      <c r="E61" s="81"/>
      <c r="F61" s="63">
        <f>Data[[#This Row],[Import]]+Data[[#This Row],[Last month]]-Data[[#This Row],[Export]]</f>
        <v>0</v>
      </c>
      <c r="G61" s="63">
        <v>0</v>
      </c>
      <c r="H61" s="67" t="s">
        <v>350</v>
      </c>
      <c r="I61" s="73"/>
      <c r="J61" s="73"/>
      <c r="K61" s="87"/>
    </row>
    <row r="62" spans="1:11" ht="15" customHeight="1">
      <c r="A62" s="67" t="s">
        <v>281</v>
      </c>
      <c r="B62" s="67" t="s">
        <v>282</v>
      </c>
      <c r="C62" s="67" t="s">
        <v>79</v>
      </c>
      <c r="D62" s="81"/>
      <c r="E62" s="81"/>
      <c r="F62" s="63">
        <f>Data[[#This Row],[Import]]+Data[[#This Row],[Last month]]-Data[[#This Row],[Export]]</f>
        <v>0</v>
      </c>
      <c r="G62" s="63">
        <v>0</v>
      </c>
      <c r="H62" s="67" t="s">
        <v>351</v>
      </c>
      <c r="I62" s="73"/>
      <c r="J62" s="73"/>
      <c r="K62" s="87"/>
    </row>
    <row r="63" spans="1:11" ht="15" customHeight="1">
      <c r="A63" s="67">
        <v>28625</v>
      </c>
      <c r="B63" s="67" t="s">
        <v>113</v>
      </c>
      <c r="C63" s="67" t="s">
        <v>79</v>
      </c>
      <c r="D63" s="81"/>
      <c r="E63" s="81"/>
      <c r="F63" s="63">
        <f>Data[[#This Row],[Import]]+Data[[#This Row],[Last month]]-Data[[#This Row],[Export]]</f>
        <v>1</v>
      </c>
      <c r="G63" s="63">
        <v>1</v>
      </c>
      <c r="H63" s="67" t="s">
        <v>353</v>
      </c>
      <c r="I63" s="73"/>
      <c r="J63" s="73"/>
      <c r="K63" s="87"/>
    </row>
    <row r="64" spans="1:11" ht="15" customHeight="1">
      <c r="A64" s="61" t="s">
        <v>358</v>
      </c>
      <c r="B64" s="61" t="s">
        <v>1185</v>
      </c>
      <c r="C64" s="67" t="s">
        <v>80</v>
      </c>
      <c r="D64" s="81"/>
      <c r="E64" s="81"/>
      <c r="F64" s="63">
        <f>Data[[#This Row],[Import]]+Data[[#This Row],[Last month]]-Data[[#This Row],[Export]]</f>
        <v>24</v>
      </c>
      <c r="G64" s="63">
        <v>24</v>
      </c>
      <c r="H64" s="67" t="s">
        <v>354</v>
      </c>
      <c r="I64" s="73"/>
      <c r="J64" s="73"/>
      <c r="K64" s="87"/>
    </row>
    <row r="65" spans="1:11" ht="15" customHeight="1">
      <c r="A65" s="67" t="s">
        <v>121</v>
      </c>
      <c r="B65" s="61" t="s">
        <v>115</v>
      </c>
      <c r="C65" s="67" t="s">
        <v>80</v>
      </c>
      <c r="D65" s="81"/>
      <c r="E65" s="81"/>
      <c r="F65" s="63">
        <f>Data[[#This Row],[Import]]+Data[[#This Row],[Last month]]-Data[[#This Row],[Export]]</f>
        <v>3</v>
      </c>
      <c r="G65" s="63">
        <v>3</v>
      </c>
      <c r="H65" s="67" t="s">
        <v>355</v>
      </c>
      <c r="I65" s="73"/>
      <c r="J65" s="73"/>
      <c r="K65" s="87"/>
    </row>
    <row r="66" spans="1:11" ht="15" customHeight="1">
      <c r="A66" s="61" t="s">
        <v>359</v>
      </c>
      <c r="B66" s="67" t="s">
        <v>115</v>
      </c>
      <c r="C66" s="67" t="s">
        <v>80</v>
      </c>
      <c r="D66" s="81"/>
      <c r="E66" s="81"/>
      <c r="F66" s="63">
        <f>Data[[#This Row],[Import]]+Data[[#This Row],[Last month]]-Data[[#This Row],[Export]]</f>
        <v>3</v>
      </c>
      <c r="G66" s="63">
        <v>3</v>
      </c>
      <c r="H66" s="67" t="s">
        <v>356</v>
      </c>
      <c r="I66" s="73"/>
      <c r="J66" s="73"/>
      <c r="K66" s="87"/>
    </row>
    <row r="67" spans="1:11" ht="15" customHeight="1">
      <c r="A67" s="61" t="s">
        <v>360</v>
      </c>
      <c r="B67" s="67" t="s">
        <v>115</v>
      </c>
      <c r="C67" s="67" t="s">
        <v>80</v>
      </c>
      <c r="D67" s="81"/>
      <c r="E67" s="81"/>
      <c r="F67" s="63">
        <f>Data[[#This Row],[Import]]+Data[[#This Row],[Last month]]-Data[[#This Row],[Export]]</f>
        <v>2</v>
      </c>
      <c r="G67" s="63">
        <v>2</v>
      </c>
      <c r="H67" s="67" t="s">
        <v>357</v>
      </c>
      <c r="I67" s="73"/>
      <c r="J67" s="72"/>
      <c r="K67" s="87"/>
    </row>
    <row r="68" spans="1:11" ht="15" customHeight="1">
      <c r="A68" s="61" t="s">
        <v>275</v>
      </c>
      <c r="B68" s="61" t="s">
        <v>603</v>
      </c>
      <c r="C68" s="61" t="s">
        <v>79</v>
      </c>
      <c r="D68" s="63"/>
      <c r="E68" s="63"/>
      <c r="F68" s="63">
        <f>Data[[#This Row],[Import]]+Data[[#This Row],[Last month]]-Data[[#This Row],[Export]]</f>
        <v>20</v>
      </c>
      <c r="G68" s="63">
        <v>20</v>
      </c>
      <c r="H68" s="61" t="s">
        <v>366</v>
      </c>
      <c r="I68" s="73"/>
      <c r="J68" s="72"/>
      <c r="K68" s="87"/>
    </row>
    <row r="69" spans="1:11" ht="15" customHeight="1">
      <c r="A69" s="61" t="s">
        <v>277</v>
      </c>
      <c r="B69" s="61" t="s">
        <v>602</v>
      </c>
      <c r="C69" s="61" t="s">
        <v>79</v>
      </c>
      <c r="D69" s="63"/>
      <c r="E69" s="63"/>
      <c r="F69" s="63">
        <f>Data[[#This Row],[Import]]+Data[[#This Row],[Last month]]-Data[[#This Row],[Export]]</f>
        <v>0</v>
      </c>
      <c r="G69" s="63">
        <v>0</v>
      </c>
      <c r="H69" s="61" t="s">
        <v>367</v>
      </c>
      <c r="I69" s="73"/>
      <c r="J69" s="73"/>
      <c r="K69" s="87"/>
    </row>
    <row r="70" spans="1:11" ht="15" customHeight="1">
      <c r="A70" s="61" t="s">
        <v>461</v>
      </c>
      <c r="B70" s="61" t="s">
        <v>462</v>
      </c>
      <c r="C70" s="61" t="s">
        <v>79</v>
      </c>
      <c r="D70" s="63"/>
      <c r="E70" s="63"/>
      <c r="F70" s="63">
        <f>Data[[#This Row],[Import]]+Data[[#This Row],[Last month]]-Data[[#This Row],[Export]]</f>
        <v>0</v>
      </c>
      <c r="G70" s="63">
        <v>0</v>
      </c>
      <c r="H70" s="61" t="s">
        <v>499</v>
      </c>
      <c r="I70" s="73" t="s">
        <v>538</v>
      </c>
      <c r="J70" s="72"/>
      <c r="K70" s="87"/>
    </row>
    <row r="71" spans="1:11" ht="15" customHeight="1">
      <c r="A71" s="61" t="s">
        <v>486</v>
      </c>
      <c r="B71" s="61" t="s">
        <v>488</v>
      </c>
      <c r="C71" s="61" t="s">
        <v>79</v>
      </c>
      <c r="D71" s="63"/>
      <c r="E71" s="63"/>
      <c r="F71" s="63">
        <f>Data[[#This Row],[Import]]+Data[[#This Row],[Last month]]-Data[[#This Row],[Export]]</f>
        <v>0</v>
      </c>
      <c r="G71" s="63">
        <v>0</v>
      </c>
      <c r="H71" s="61" t="s">
        <v>500</v>
      </c>
      <c r="I71" s="73"/>
      <c r="J71" s="73"/>
      <c r="K71" s="87"/>
    </row>
    <row r="72" spans="1:11" ht="15" customHeight="1">
      <c r="A72" s="61" t="s">
        <v>471</v>
      </c>
      <c r="B72" s="61" t="s">
        <v>472</v>
      </c>
      <c r="C72" s="61" t="s">
        <v>79</v>
      </c>
      <c r="D72" s="63"/>
      <c r="E72" s="63"/>
      <c r="F72" s="63">
        <f>Data[[#This Row],[Import]]+Data[[#This Row],[Last month]]-Data[[#This Row],[Export]]</f>
        <v>0</v>
      </c>
      <c r="G72" s="63">
        <v>0</v>
      </c>
      <c r="H72" s="61" t="s">
        <v>501</v>
      </c>
      <c r="I72" s="73" t="s">
        <v>538</v>
      </c>
      <c r="J72" s="73"/>
      <c r="K72" s="87"/>
    </row>
    <row r="73" spans="1:11" ht="15" customHeight="1">
      <c r="A73" s="61" t="s">
        <v>474</v>
      </c>
      <c r="B73" s="61" t="s">
        <v>475</v>
      </c>
      <c r="C73" s="61" t="s">
        <v>79</v>
      </c>
      <c r="D73" s="63"/>
      <c r="E73" s="63"/>
      <c r="F73" s="63">
        <f>Data[[#This Row],[Import]]+Data[[#This Row],[Last month]]-Data[[#This Row],[Export]]</f>
        <v>0</v>
      </c>
      <c r="G73" s="63">
        <v>0</v>
      </c>
      <c r="H73" s="61" t="s">
        <v>502</v>
      </c>
      <c r="I73" s="73" t="s">
        <v>538</v>
      </c>
      <c r="J73" s="73"/>
      <c r="K73" s="87"/>
    </row>
    <row r="74" spans="1:11" ht="15" customHeight="1">
      <c r="A74" s="61" t="s">
        <v>504</v>
      </c>
      <c r="B74" s="61" t="s">
        <v>476</v>
      </c>
      <c r="C74" s="61" t="s">
        <v>79</v>
      </c>
      <c r="D74" s="63"/>
      <c r="E74" s="63"/>
      <c r="F74" s="63">
        <f>Data[[#This Row],[Import]]+Data[[#This Row],[Last month]]-Data[[#This Row],[Export]]</f>
        <v>0</v>
      </c>
      <c r="G74" s="63">
        <v>0</v>
      </c>
      <c r="H74" s="61" t="s">
        <v>503</v>
      </c>
      <c r="I74" s="73" t="s">
        <v>538</v>
      </c>
      <c r="J74" s="73"/>
      <c r="K74" s="87"/>
    </row>
    <row r="75" spans="1:11" ht="15" customHeight="1">
      <c r="A75" s="61" t="s">
        <v>477</v>
      </c>
      <c r="B75" s="61" t="s">
        <v>478</v>
      </c>
      <c r="C75" s="61" t="s">
        <v>79</v>
      </c>
      <c r="D75" s="63"/>
      <c r="E75" s="63"/>
      <c r="F75" s="63">
        <f>Data[[#This Row],[Import]]+Data[[#This Row],[Last month]]-Data[[#This Row],[Export]]</f>
        <v>0</v>
      </c>
      <c r="G75" s="63">
        <v>0</v>
      </c>
      <c r="H75" s="61" t="s">
        <v>506</v>
      </c>
      <c r="I75" s="73" t="s">
        <v>538</v>
      </c>
      <c r="J75" s="73"/>
      <c r="K75" s="87"/>
    </row>
    <row r="76" spans="1:11" ht="15" customHeight="1">
      <c r="A76" s="61" t="s">
        <v>479</v>
      </c>
      <c r="B76" s="61" t="s">
        <v>480</v>
      </c>
      <c r="C76" s="61" t="s">
        <v>79</v>
      </c>
      <c r="D76" s="63"/>
      <c r="E76" s="63"/>
      <c r="F76" s="63">
        <f>Data[[#This Row],[Import]]+Data[[#This Row],[Last month]]-Data[[#This Row],[Export]]</f>
        <v>0</v>
      </c>
      <c r="G76" s="63">
        <v>0</v>
      </c>
      <c r="H76" s="61" t="s">
        <v>507</v>
      </c>
      <c r="I76" s="73" t="s">
        <v>538</v>
      </c>
      <c r="J76" s="73"/>
      <c r="K76" s="87"/>
    </row>
    <row r="77" spans="1:11" ht="15" customHeight="1">
      <c r="A77" s="61" t="s">
        <v>505</v>
      </c>
      <c r="B77" s="61" t="s">
        <v>481</v>
      </c>
      <c r="C77" s="61" t="s">
        <v>79</v>
      </c>
      <c r="D77" s="63"/>
      <c r="E77" s="63"/>
      <c r="F77" s="63">
        <f>Data[[#This Row],[Import]]+Data[[#This Row],[Last month]]-Data[[#This Row],[Export]]</f>
        <v>0</v>
      </c>
      <c r="G77" s="63">
        <v>0</v>
      </c>
      <c r="H77" s="61" t="s">
        <v>508</v>
      </c>
      <c r="I77" s="73" t="s">
        <v>538</v>
      </c>
      <c r="J77" s="73"/>
      <c r="K77" s="87"/>
    </row>
    <row r="78" spans="1:11" ht="15" customHeight="1">
      <c r="A78" s="61" t="s">
        <v>483</v>
      </c>
      <c r="B78" s="61" t="s">
        <v>482</v>
      </c>
      <c r="C78" s="61" t="s">
        <v>171</v>
      </c>
      <c r="D78" s="63"/>
      <c r="E78" s="63"/>
      <c r="F78" s="63">
        <f>Data[[#This Row],[Import]]+Data[[#This Row],[Last month]]-Data[[#This Row],[Export]]</f>
        <v>0</v>
      </c>
      <c r="G78" s="63">
        <v>0</v>
      </c>
      <c r="H78" s="61" t="s">
        <v>509</v>
      </c>
      <c r="I78" s="73" t="s">
        <v>538</v>
      </c>
      <c r="J78" s="73"/>
      <c r="K78" s="87"/>
    </row>
    <row r="79" spans="1:11" ht="15" customHeight="1">
      <c r="A79" s="61" t="s">
        <v>575</v>
      </c>
      <c r="B79" s="61" t="s">
        <v>540</v>
      </c>
      <c r="C79" s="61" t="s">
        <v>88</v>
      </c>
      <c r="D79" s="63"/>
      <c r="E79" s="63"/>
      <c r="F79" s="63">
        <f>Data[[#This Row],[Import]]+Data[[#This Row],[Last month]]-Data[[#This Row],[Export]]</f>
        <v>7</v>
      </c>
      <c r="G79" s="63">
        <v>7</v>
      </c>
      <c r="H79" s="61" t="s">
        <v>576</v>
      </c>
      <c r="J79" s="72"/>
      <c r="K79" s="87"/>
    </row>
    <row r="80" spans="1:11" ht="15" customHeight="1">
      <c r="A80" s="61" t="s">
        <v>549</v>
      </c>
      <c r="B80" s="61" t="s">
        <v>556</v>
      </c>
      <c r="C80" s="61" t="s">
        <v>79</v>
      </c>
      <c r="D80" s="63"/>
      <c r="E80" s="63"/>
      <c r="F80" s="63">
        <f>Data[[#This Row],[Import]]+Data[[#This Row],[Last month]]-Data[[#This Row],[Export]]</f>
        <v>11</v>
      </c>
      <c r="G80" s="63">
        <v>11</v>
      </c>
      <c r="H80" s="61" t="s">
        <v>577</v>
      </c>
      <c r="I80" s="73"/>
      <c r="J80" s="72"/>
      <c r="K80" s="87"/>
    </row>
    <row r="81" spans="1:11" ht="15" customHeight="1">
      <c r="A81" s="61" t="s">
        <v>548</v>
      </c>
      <c r="B81" s="61" t="s">
        <v>555</v>
      </c>
      <c r="C81" s="61" t="s">
        <v>79</v>
      </c>
      <c r="D81" s="63"/>
      <c r="E81" s="63"/>
      <c r="F81" s="63">
        <f>Data[[#This Row],[Import]]+Data[[#This Row],[Last month]]-Data[[#This Row],[Export]]</f>
        <v>7</v>
      </c>
      <c r="G81" s="63">
        <v>7</v>
      </c>
      <c r="H81" s="61" t="s">
        <v>578</v>
      </c>
      <c r="I81" s="73"/>
      <c r="J81" s="72"/>
      <c r="K81" s="87"/>
    </row>
    <row r="82" spans="1:11" ht="15" customHeight="1">
      <c r="A82" s="61" t="s">
        <v>546</v>
      </c>
      <c r="B82" s="61" t="s">
        <v>553</v>
      </c>
      <c r="C82" s="61" t="s">
        <v>79</v>
      </c>
      <c r="D82" s="63"/>
      <c r="E82" s="63"/>
      <c r="F82" s="63">
        <f>Data[[#This Row],[Import]]+Data[[#This Row],[Last month]]-Data[[#This Row],[Export]]</f>
        <v>10</v>
      </c>
      <c r="G82" s="63">
        <v>10</v>
      </c>
      <c r="H82" s="61" t="s">
        <v>579</v>
      </c>
      <c r="I82" s="73"/>
      <c r="J82" s="72"/>
      <c r="K82" s="87"/>
    </row>
    <row r="83" spans="1:11" ht="15" customHeight="1">
      <c r="A83" s="61" t="s">
        <v>545</v>
      </c>
      <c r="B83" s="61" t="s">
        <v>552</v>
      </c>
      <c r="C83" s="61" t="s">
        <v>79</v>
      </c>
      <c r="D83" s="63"/>
      <c r="E83" s="63"/>
      <c r="F83" s="63">
        <f>Data[[#This Row],[Import]]+Data[[#This Row],[Last month]]-Data[[#This Row],[Export]]</f>
        <v>10</v>
      </c>
      <c r="G83" s="63">
        <v>10</v>
      </c>
      <c r="H83" s="61" t="s">
        <v>580</v>
      </c>
      <c r="I83" s="73"/>
      <c r="J83" s="72"/>
      <c r="K83" s="87"/>
    </row>
    <row r="84" spans="1:11" ht="15" customHeight="1">
      <c r="A84" s="61" t="s">
        <v>547</v>
      </c>
      <c r="B84" s="61" t="s">
        <v>554</v>
      </c>
      <c r="C84" s="61" t="s">
        <v>79</v>
      </c>
      <c r="D84" s="63"/>
      <c r="E84" s="63"/>
      <c r="F84" s="63">
        <f>Data[[#This Row],[Import]]+Data[[#This Row],[Last month]]-Data[[#This Row],[Export]]</f>
        <v>9</v>
      </c>
      <c r="G84" s="63">
        <v>9</v>
      </c>
      <c r="H84" s="61" t="s">
        <v>581</v>
      </c>
      <c r="I84" s="73"/>
      <c r="J84" s="72"/>
      <c r="K84" s="87"/>
    </row>
    <row r="85" spans="1:11" ht="15" customHeight="1">
      <c r="A85" s="61" t="s">
        <v>544</v>
      </c>
      <c r="B85" s="61" t="s">
        <v>551</v>
      </c>
      <c r="C85" s="61" t="s">
        <v>79</v>
      </c>
      <c r="D85" s="63"/>
      <c r="E85" s="63"/>
      <c r="F85" s="63">
        <f>Data[[#This Row],[Import]]+Data[[#This Row],[Last month]]-Data[[#This Row],[Export]]</f>
        <v>8</v>
      </c>
      <c r="G85" s="63">
        <v>8</v>
      </c>
      <c r="H85" s="61" t="s">
        <v>582</v>
      </c>
      <c r="I85" s="73"/>
      <c r="J85" s="72"/>
      <c r="K85" s="87"/>
    </row>
    <row r="86" spans="1:11" ht="15" customHeight="1">
      <c r="A86" s="61" t="s">
        <v>550</v>
      </c>
      <c r="B86" s="61" t="s">
        <v>557</v>
      </c>
      <c r="C86" s="61" t="s">
        <v>79</v>
      </c>
      <c r="D86" s="63"/>
      <c r="E86" s="63"/>
      <c r="F86" s="63">
        <f>Data[[#This Row],[Import]]+Data[[#This Row],[Last month]]-Data[[#This Row],[Export]]</f>
        <v>7</v>
      </c>
      <c r="G86" s="63">
        <v>7</v>
      </c>
      <c r="H86" s="61" t="s">
        <v>583</v>
      </c>
      <c r="I86" s="73"/>
      <c r="J86" s="72"/>
      <c r="K86" s="87"/>
    </row>
    <row r="87" spans="1:11" ht="15" customHeight="1">
      <c r="A87" s="61" t="s">
        <v>584</v>
      </c>
      <c r="B87" s="61" t="s">
        <v>586</v>
      </c>
      <c r="C87" s="61" t="s">
        <v>229</v>
      </c>
      <c r="D87" s="63"/>
      <c r="E87" s="63"/>
      <c r="F87" s="63">
        <f>Data[[#This Row],[Import]]+Data[[#This Row],[Last month]]-Data[[#This Row],[Export]]</f>
        <v>0</v>
      </c>
      <c r="G87" s="63">
        <v>0</v>
      </c>
      <c r="H87" s="61" t="s">
        <v>588</v>
      </c>
      <c r="I87" s="73"/>
      <c r="J87" s="73"/>
      <c r="K87" s="87"/>
    </row>
    <row r="88" spans="1:11" ht="15" customHeight="1">
      <c r="A88" s="61" t="s">
        <v>518</v>
      </c>
      <c r="B88" s="61" t="s">
        <v>525</v>
      </c>
      <c r="C88" s="61" t="s">
        <v>79</v>
      </c>
      <c r="D88" s="63"/>
      <c r="E88" s="63"/>
      <c r="F88" s="63">
        <f>Data[[#This Row],[Import]]+Data[[#This Row],[Last month]]-Data[[#This Row],[Export]]</f>
        <v>0</v>
      </c>
      <c r="G88" s="63">
        <v>0</v>
      </c>
      <c r="H88" s="61" t="s">
        <v>595</v>
      </c>
      <c r="I88" s="73"/>
      <c r="J88" s="73"/>
      <c r="K88" s="87"/>
    </row>
    <row r="89" spans="1:11" ht="15" customHeight="1">
      <c r="A89" s="61" t="s">
        <v>519</v>
      </c>
      <c r="B89" s="61" t="s">
        <v>526</v>
      </c>
      <c r="C89" s="61" t="s">
        <v>79</v>
      </c>
      <c r="D89" s="63"/>
      <c r="E89" s="63"/>
      <c r="F89" s="63">
        <f>Data[[#This Row],[Import]]+Data[[#This Row],[Last month]]-Data[[#This Row],[Export]]</f>
        <v>0</v>
      </c>
      <c r="G89" s="63">
        <v>0</v>
      </c>
      <c r="H89" s="61" t="s">
        <v>596</v>
      </c>
      <c r="I89" s="73"/>
      <c r="J89" s="73"/>
      <c r="K89" s="87"/>
    </row>
    <row r="90" spans="1:11" ht="15" customHeight="1">
      <c r="A90" s="61" t="s">
        <v>515</v>
      </c>
      <c r="B90" s="61" t="s">
        <v>524</v>
      </c>
      <c r="C90" s="61" t="s">
        <v>79</v>
      </c>
      <c r="D90" s="63"/>
      <c r="E90" s="63"/>
      <c r="F90" s="63">
        <f>Data[[#This Row],[Import]]+Data[[#This Row],[Last month]]-Data[[#This Row],[Export]]</f>
        <v>0</v>
      </c>
      <c r="G90" s="63">
        <v>0</v>
      </c>
      <c r="H90" s="61" t="s">
        <v>600</v>
      </c>
      <c r="I90" s="73"/>
      <c r="J90" s="73"/>
      <c r="K90" s="87"/>
    </row>
    <row r="91" spans="1:11" ht="15" customHeight="1">
      <c r="A91" s="61" t="s">
        <v>516</v>
      </c>
      <c r="B91" s="61" t="s">
        <v>604</v>
      </c>
      <c r="C91" s="61" t="s">
        <v>79</v>
      </c>
      <c r="D91" s="63"/>
      <c r="E91" s="63"/>
      <c r="F91" s="63">
        <f>Data[[#This Row],[Import]]+Data[[#This Row],[Last month]]-Data[[#This Row],[Export]]</f>
        <v>0</v>
      </c>
      <c r="G91" s="63">
        <v>0</v>
      </c>
      <c r="H91" s="61" t="s">
        <v>601</v>
      </c>
      <c r="I91" s="73"/>
      <c r="J91" s="73"/>
      <c r="K91" s="87"/>
    </row>
    <row r="92" spans="1:11" ht="15" customHeight="1">
      <c r="A92" s="61" t="s">
        <v>569</v>
      </c>
      <c r="B92" s="61" t="s">
        <v>570</v>
      </c>
      <c r="C92" s="61" t="s">
        <v>79</v>
      </c>
      <c r="D92" s="63"/>
      <c r="E92" s="63"/>
      <c r="F92" s="63">
        <f>Data[[#This Row],[Import]]+Data[[#This Row],[Last month]]-Data[[#This Row],[Export]]</f>
        <v>0</v>
      </c>
      <c r="G92" s="63">
        <v>0</v>
      </c>
      <c r="H92" s="61" t="s">
        <v>614</v>
      </c>
      <c r="I92" s="73"/>
      <c r="J92" s="73"/>
      <c r="K92" s="87"/>
    </row>
    <row r="93" spans="1:11" ht="15" customHeight="1">
      <c r="A93" s="61" t="s">
        <v>606</v>
      </c>
      <c r="B93" s="61" t="s">
        <v>605</v>
      </c>
      <c r="C93" s="61" t="s">
        <v>81</v>
      </c>
      <c r="D93" s="63"/>
      <c r="E93" s="63"/>
      <c r="F93" s="63">
        <f>Data[[#This Row],[Import]]+Data[[#This Row],[Last month]]-Data[[#This Row],[Export]]</f>
        <v>4</v>
      </c>
      <c r="G93" s="63">
        <v>4</v>
      </c>
      <c r="H93" s="61" t="s">
        <v>625</v>
      </c>
      <c r="I93" s="73"/>
      <c r="J93" s="73"/>
      <c r="K93" s="87"/>
    </row>
    <row r="94" spans="1:11" ht="15" customHeight="1">
      <c r="A94" s="61" t="s">
        <v>630</v>
      </c>
      <c r="B94" s="77" t="s">
        <v>633</v>
      </c>
      <c r="C94" s="77" t="s">
        <v>79</v>
      </c>
      <c r="D94" s="63"/>
      <c r="E94" s="78"/>
      <c r="F94" s="63">
        <f>Data[[#This Row],[Import]]+Data[[#This Row],[Last month]]-Data[[#This Row],[Export]]</f>
        <v>10</v>
      </c>
      <c r="G94" s="63">
        <v>10</v>
      </c>
      <c r="H94" s="61" t="s">
        <v>639</v>
      </c>
      <c r="J94" s="73"/>
      <c r="K94" s="87"/>
    </row>
    <row r="95" spans="1:11" ht="15" customHeight="1">
      <c r="A95" s="61" t="s">
        <v>589</v>
      </c>
      <c r="B95" s="61" t="s">
        <v>590</v>
      </c>
      <c r="C95" s="61" t="s">
        <v>79</v>
      </c>
      <c r="D95" s="63"/>
      <c r="E95" s="63"/>
      <c r="F95" s="63">
        <f>Data[[#This Row],[Import]]+Data[[#This Row],[Last month]]-Data[[#This Row],[Export]]</f>
        <v>0</v>
      </c>
      <c r="G95" s="63">
        <v>0</v>
      </c>
      <c r="H95" s="61" t="s">
        <v>641</v>
      </c>
      <c r="I95" s="73"/>
      <c r="J95" s="73"/>
      <c r="K95" s="87"/>
    </row>
    <row r="96" spans="1:11" ht="15" customHeight="1">
      <c r="A96" s="61" t="s">
        <v>635</v>
      </c>
      <c r="B96" s="61" t="s">
        <v>636</v>
      </c>
      <c r="C96" s="61" t="s">
        <v>79</v>
      </c>
      <c r="D96" s="63"/>
      <c r="E96" s="63"/>
      <c r="F96" s="63">
        <f>Data[[#This Row],[Import]]+Data[[#This Row],[Last month]]-Data[[#This Row],[Export]]</f>
        <v>0</v>
      </c>
      <c r="G96" s="63">
        <v>0</v>
      </c>
      <c r="H96" s="61" t="s">
        <v>651</v>
      </c>
      <c r="I96" s="73"/>
      <c r="J96" s="73"/>
      <c r="K96" s="87"/>
    </row>
    <row r="97" spans="1:11" ht="15" customHeight="1">
      <c r="A97" s="61" t="s">
        <v>655</v>
      </c>
      <c r="B97" s="61" t="s">
        <v>644</v>
      </c>
      <c r="C97" s="61" t="s">
        <v>88</v>
      </c>
      <c r="D97" s="63"/>
      <c r="E97" s="63"/>
      <c r="F97" s="63">
        <f>Data[[#This Row],[Import]]+Data[[#This Row],[Last month]]-Data[[#This Row],[Export]]</f>
        <v>15</v>
      </c>
      <c r="G97" s="63">
        <v>15</v>
      </c>
      <c r="H97" s="61" t="s">
        <v>652</v>
      </c>
      <c r="I97" s="73"/>
      <c r="J97" s="72"/>
      <c r="K97" s="87"/>
    </row>
    <row r="98" spans="1:11" ht="15" customHeight="1">
      <c r="A98" s="61" t="s">
        <v>647</v>
      </c>
      <c r="B98" s="61" t="s">
        <v>645</v>
      </c>
      <c r="C98" s="61" t="s">
        <v>88</v>
      </c>
      <c r="D98" s="63"/>
      <c r="E98" s="63"/>
      <c r="F98" s="63">
        <f>Data[[#This Row],[Import]]+Data[[#This Row],[Last month]]-Data[[#This Row],[Export]]</f>
        <v>15</v>
      </c>
      <c r="G98" s="63">
        <v>15</v>
      </c>
      <c r="H98" s="61" t="s">
        <v>653</v>
      </c>
      <c r="I98" s="73"/>
      <c r="J98" s="72"/>
      <c r="K98" s="87"/>
    </row>
    <row r="99" spans="1:11" ht="15" customHeight="1">
      <c r="A99" s="61" t="s">
        <v>648</v>
      </c>
      <c r="B99" s="61" t="s">
        <v>646</v>
      </c>
      <c r="C99" s="61" t="s">
        <v>88</v>
      </c>
      <c r="D99" s="63"/>
      <c r="E99" s="63"/>
      <c r="F99" s="63">
        <f>Data[[#This Row],[Import]]+Data[[#This Row],[Last month]]-Data[[#This Row],[Export]]</f>
        <v>8</v>
      </c>
      <c r="G99" s="63">
        <v>8</v>
      </c>
      <c r="H99" s="61" t="s">
        <v>654</v>
      </c>
      <c r="I99" s="73"/>
      <c r="J99" s="72"/>
      <c r="K99" s="87"/>
    </row>
    <row r="100" spans="1:11" ht="15" customHeight="1">
      <c r="A100" s="61" t="s">
        <v>665</v>
      </c>
      <c r="B100" s="61" t="s">
        <v>664</v>
      </c>
      <c r="C100" s="61" t="s">
        <v>79</v>
      </c>
      <c r="D100" s="63"/>
      <c r="E100" s="63"/>
      <c r="F100" s="63">
        <f>Data[[#This Row],[Import]]+Data[[#This Row],[Last month]]-Data[[#This Row],[Export]]</f>
        <v>3</v>
      </c>
      <c r="G100" s="63">
        <v>3</v>
      </c>
      <c r="H100" s="61" t="s">
        <v>671</v>
      </c>
      <c r="I100" s="73"/>
      <c r="J100" s="73"/>
      <c r="K100" s="87"/>
    </row>
    <row r="101" spans="1:11" ht="15" customHeight="1">
      <c r="A101" s="61" t="s">
        <v>667</v>
      </c>
      <c r="B101" s="61" t="s">
        <v>666</v>
      </c>
      <c r="C101" s="61" t="s">
        <v>92</v>
      </c>
      <c r="D101" s="63"/>
      <c r="E101" s="63"/>
      <c r="F101" s="63">
        <f>Data[[#This Row],[Import]]+Data[[#This Row],[Last month]]-Data[[#This Row],[Export]]</f>
        <v>20</v>
      </c>
      <c r="G101" s="63">
        <v>20</v>
      </c>
      <c r="H101" s="61" t="s">
        <v>672</v>
      </c>
      <c r="I101" s="73"/>
      <c r="J101" s="73"/>
      <c r="K101" s="87"/>
    </row>
    <row r="102" spans="1:11" ht="15" customHeight="1">
      <c r="A102" s="61" t="s">
        <v>675</v>
      </c>
      <c r="B102" s="61" t="s">
        <v>656</v>
      </c>
      <c r="C102" s="61" t="s">
        <v>79</v>
      </c>
      <c r="D102" s="63"/>
      <c r="E102" s="63"/>
      <c r="F102" s="63">
        <f>Data[[#This Row],[Import]]+Data[[#This Row],[Last month]]-Data[[#This Row],[Export]]</f>
        <v>8</v>
      </c>
      <c r="G102" s="63">
        <v>8</v>
      </c>
      <c r="H102" s="61" t="s">
        <v>673</v>
      </c>
      <c r="I102" s="73"/>
      <c r="J102" s="72"/>
      <c r="K102" s="87"/>
    </row>
    <row r="103" spans="1:11" ht="15" customHeight="1">
      <c r="A103" s="61" t="s">
        <v>676</v>
      </c>
      <c r="B103" s="61" t="s">
        <v>657</v>
      </c>
      <c r="C103" s="61" t="s">
        <v>79</v>
      </c>
      <c r="D103" s="63"/>
      <c r="E103" s="63"/>
      <c r="F103" s="63">
        <f>Data[[#This Row],[Import]]+Data[[#This Row],[Last month]]-Data[[#This Row],[Export]]</f>
        <v>25</v>
      </c>
      <c r="G103" s="63">
        <v>25</v>
      </c>
      <c r="H103" s="61" t="s">
        <v>674</v>
      </c>
      <c r="I103" s="73"/>
      <c r="J103" s="72"/>
      <c r="K103" s="87"/>
    </row>
    <row r="104" spans="1:11" ht="15" customHeight="1">
      <c r="A104" s="61" t="s">
        <v>678</v>
      </c>
      <c r="B104" s="61" t="s">
        <v>677</v>
      </c>
      <c r="C104" s="61" t="s">
        <v>79</v>
      </c>
      <c r="D104" s="63"/>
      <c r="E104" s="63"/>
      <c r="F104" s="63">
        <f>Data[[#This Row],[Import]]+Data[[#This Row],[Last month]]-Data[[#This Row],[Export]]</f>
        <v>0</v>
      </c>
      <c r="G104" s="63">
        <v>0</v>
      </c>
      <c r="H104" s="61" t="s">
        <v>682</v>
      </c>
      <c r="I104" s="73"/>
      <c r="J104" s="73"/>
      <c r="K104" s="87"/>
    </row>
    <row r="105" spans="1:11" ht="15" customHeight="1">
      <c r="A105" s="61" t="s">
        <v>686</v>
      </c>
      <c r="B105" s="61" t="s">
        <v>690</v>
      </c>
      <c r="C105" s="61" t="s">
        <v>79</v>
      </c>
      <c r="D105" s="63"/>
      <c r="E105" s="63"/>
      <c r="F105" s="63">
        <f>Data[[#This Row],[Import]]+Data[[#This Row],[Last month]]-Data[[#This Row],[Export]]</f>
        <v>4</v>
      </c>
      <c r="G105" s="63">
        <v>4</v>
      </c>
      <c r="H105" s="61" t="s">
        <v>710</v>
      </c>
      <c r="I105" s="73"/>
      <c r="J105" s="72"/>
      <c r="K105" s="87"/>
    </row>
    <row r="106" spans="1:11" ht="15" customHeight="1">
      <c r="A106" s="61" t="s">
        <v>687</v>
      </c>
      <c r="B106" s="61" t="s">
        <v>685</v>
      </c>
      <c r="C106" s="61" t="s">
        <v>79</v>
      </c>
      <c r="D106" s="63"/>
      <c r="E106" s="63"/>
      <c r="F106" s="63">
        <f>Data[[#This Row],[Import]]+Data[[#This Row],[Last month]]-Data[[#This Row],[Export]]</f>
        <v>10</v>
      </c>
      <c r="G106" s="63">
        <v>10</v>
      </c>
      <c r="H106" s="61" t="s">
        <v>711</v>
      </c>
      <c r="I106" s="73"/>
      <c r="J106" s="72"/>
      <c r="K106" s="87"/>
    </row>
    <row r="107" spans="1:11" ht="15" customHeight="1">
      <c r="A107" s="61" t="s">
        <v>692</v>
      </c>
      <c r="B107" s="61" t="s">
        <v>691</v>
      </c>
      <c r="C107" s="61" t="s">
        <v>171</v>
      </c>
      <c r="D107" s="63"/>
      <c r="E107" s="63"/>
      <c r="F107" s="63">
        <f>Data[[#This Row],[Import]]+Data[[#This Row],[Last month]]-Data[[#This Row],[Export]]</f>
        <v>0</v>
      </c>
      <c r="G107" s="63">
        <v>0</v>
      </c>
      <c r="H107" s="61" t="s">
        <v>712</v>
      </c>
      <c r="I107" s="73"/>
      <c r="J107" s="72"/>
      <c r="K107" s="87"/>
    </row>
    <row r="108" spans="1:11" ht="15" customHeight="1">
      <c r="A108" s="61" t="s">
        <v>736</v>
      </c>
      <c r="B108" s="61" t="s">
        <v>734</v>
      </c>
      <c r="C108" s="61" t="s">
        <v>79</v>
      </c>
      <c r="D108" s="63"/>
      <c r="E108" s="63"/>
      <c r="F108" s="63">
        <f>Data[[#This Row],[Import]]+Data[[#This Row],[Last month]]-Data[[#This Row],[Export]]</f>
        <v>21</v>
      </c>
      <c r="G108" s="63">
        <v>21</v>
      </c>
      <c r="H108" s="61" t="s">
        <v>828</v>
      </c>
      <c r="I108" s="73"/>
      <c r="J108" s="72"/>
      <c r="K108" s="87"/>
    </row>
    <row r="109" spans="1:11" ht="15" customHeight="1">
      <c r="A109" s="61" t="s">
        <v>737</v>
      </c>
      <c r="B109" s="61" t="s">
        <v>735</v>
      </c>
      <c r="C109" s="61" t="s">
        <v>81</v>
      </c>
      <c r="D109" s="63"/>
      <c r="E109" s="63"/>
      <c r="F109" s="63">
        <f>Data[[#This Row],[Import]]+Data[[#This Row],[Last month]]-Data[[#This Row],[Export]]</f>
        <v>0</v>
      </c>
      <c r="G109" s="63">
        <v>0</v>
      </c>
      <c r="H109" s="61" t="s">
        <v>829</v>
      </c>
      <c r="I109" s="73"/>
      <c r="J109" s="72"/>
      <c r="K109" s="87"/>
    </row>
    <row r="110" spans="1:11" ht="15" customHeight="1">
      <c r="A110" s="61" t="s">
        <v>738</v>
      </c>
      <c r="B110" s="61" t="s">
        <v>735</v>
      </c>
      <c r="C110" s="61" t="s">
        <v>81</v>
      </c>
      <c r="D110" s="63"/>
      <c r="E110" s="63"/>
      <c r="F110" s="63">
        <f>Data[[#This Row],[Import]]+Data[[#This Row],[Last month]]-Data[[#This Row],[Export]]</f>
        <v>0</v>
      </c>
      <c r="G110" s="63">
        <v>0</v>
      </c>
      <c r="H110" s="61" t="s">
        <v>830</v>
      </c>
      <c r="I110" s="73"/>
      <c r="J110" s="72"/>
      <c r="K110" s="87"/>
    </row>
    <row r="111" spans="1:11" ht="15" customHeight="1">
      <c r="A111" s="61" t="s">
        <v>744</v>
      </c>
      <c r="B111" s="61" t="s">
        <v>745</v>
      </c>
      <c r="C111" s="61" t="s">
        <v>79</v>
      </c>
      <c r="D111" s="63"/>
      <c r="E111" s="63"/>
      <c r="F111" s="63">
        <f>Data[[#This Row],[Import]]+Data[[#This Row],[Last month]]-Data[[#This Row],[Export]]</f>
        <v>0</v>
      </c>
      <c r="G111" s="63">
        <v>0</v>
      </c>
      <c r="H111" s="61" t="s">
        <v>871</v>
      </c>
      <c r="I111" s="73"/>
      <c r="J111" s="72"/>
      <c r="K111" s="87"/>
    </row>
    <row r="112" spans="1:11" ht="15" customHeight="1">
      <c r="A112" s="61" t="s">
        <v>758</v>
      </c>
      <c r="B112" s="61" t="s">
        <v>126</v>
      </c>
      <c r="C112" s="61" t="s">
        <v>79</v>
      </c>
      <c r="D112" s="63"/>
      <c r="E112" s="63"/>
      <c r="F112" s="63">
        <f>Data[[#This Row],[Import]]+Data[[#This Row],[Last month]]-Data[[#This Row],[Export]]</f>
        <v>4</v>
      </c>
      <c r="G112" s="63">
        <v>4</v>
      </c>
      <c r="H112" s="61" t="s">
        <v>872</v>
      </c>
      <c r="I112" s="73"/>
      <c r="J112" s="72"/>
      <c r="K112" s="87"/>
    </row>
    <row r="113" spans="1:11" ht="15" customHeight="1">
      <c r="A113" s="61" t="s">
        <v>804</v>
      </c>
      <c r="B113" s="61" t="s">
        <v>802</v>
      </c>
      <c r="C113" s="61" t="s">
        <v>79</v>
      </c>
      <c r="D113" s="63"/>
      <c r="E113" s="63"/>
      <c r="F113" s="63">
        <f>Data[[#This Row],[Import]]+Data[[#This Row],[Last month]]-Data[[#This Row],[Export]]</f>
        <v>0</v>
      </c>
      <c r="G113" s="63">
        <v>0</v>
      </c>
      <c r="H113" s="61" t="s">
        <v>879</v>
      </c>
      <c r="I113" s="73"/>
      <c r="J113" s="72"/>
      <c r="K113" s="87"/>
    </row>
    <row r="114" spans="1:11" ht="15" customHeight="1">
      <c r="A114" s="61" t="s">
        <v>805</v>
      </c>
      <c r="B114" s="61" t="s">
        <v>802</v>
      </c>
      <c r="C114" s="61" t="s">
        <v>79</v>
      </c>
      <c r="D114" s="63"/>
      <c r="E114" s="63"/>
      <c r="F114" s="63">
        <f>Data[[#This Row],[Import]]+Data[[#This Row],[Last month]]-Data[[#This Row],[Export]]</f>
        <v>0</v>
      </c>
      <c r="G114" s="63">
        <v>0</v>
      </c>
      <c r="H114" s="61" t="s">
        <v>880</v>
      </c>
      <c r="I114" s="73"/>
      <c r="J114" s="72"/>
      <c r="K114" s="87"/>
    </row>
    <row r="115" spans="1:11" ht="15" customHeight="1">
      <c r="A115" s="61" t="s">
        <v>806</v>
      </c>
      <c r="B115" s="61" t="s">
        <v>802</v>
      </c>
      <c r="C115" s="61" t="s">
        <v>79</v>
      </c>
      <c r="D115" s="63"/>
      <c r="E115" s="63"/>
      <c r="F115" s="63">
        <f>Data[[#This Row],[Import]]+Data[[#This Row],[Last month]]-Data[[#This Row],[Export]]</f>
        <v>0</v>
      </c>
      <c r="G115" s="63">
        <v>0</v>
      </c>
      <c r="H115" s="61" t="s">
        <v>881</v>
      </c>
      <c r="I115" s="73"/>
      <c r="J115" s="72"/>
      <c r="K115" s="87"/>
    </row>
    <row r="116" spans="1:11" ht="15" customHeight="1">
      <c r="A116" s="61" t="s">
        <v>781</v>
      </c>
      <c r="B116" s="61" t="s">
        <v>773</v>
      </c>
      <c r="C116" s="61" t="s">
        <v>93</v>
      </c>
      <c r="D116" s="63"/>
      <c r="E116" s="63"/>
      <c r="F116" s="63">
        <f>Data[[#This Row],[Import]]+Data[[#This Row],[Last month]]-Data[[#This Row],[Export]]</f>
        <v>0</v>
      </c>
      <c r="G116" s="63">
        <v>0</v>
      </c>
      <c r="H116" s="61" t="s">
        <v>882</v>
      </c>
      <c r="I116" s="73"/>
      <c r="J116" s="72"/>
      <c r="K116" s="87"/>
    </row>
    <row r="117" spans="1:11" ht="15" customHeight="1">
      <c r="A117" s="61" t="s">
        <v>782</v>
      </c>
      <c r="B117" s="61" t="s">
        <v>774</v>
      </c>
      <c r="C117" s="61" t="s">
        <v>79</v>
      </c>
      <c r="D117" s="63"/>
      <c r="E117" s="63"/>
      <c r="F117" s="63">
        <f>Data[[#This Row],[Import]]+Data[[#This Row],[Last month]]-Data[[#This Row],[Export]]</f>
        <v>0</v>
      </c>
      <c r="G117" s="63">
        <v>0</v>
      </c>
      <c r="H117" s="61" t="s">
        <v>883</v>
      </c>
      <c r="I117" s="73"/>
      <c r="J117" s="72"/>
      <c r="K117" s="87"/>
    </row>
    <row r="118" spans="1:11" ht="15" customHeight="1">
      <c r="A118" s="61" t="s">
        <v>783</v>
      </c>
      <c r="B118" s="61" t="s">
        <v>775</v>
      </c>
      <c r="C118" s="61" t="s">
        <v>79</v>
      </c>
      <c r="D118" s="63"/>
      <c r="E118" s="63"/>
      <c r="F118" s="63">
        <f>Data[[#This Row],[Import]]+Data[[#This Row],[Last month]]-Data[[#This Row],[Export]]</f>
        <v>0</v>
      </c>
      <c r="G118" s="63">
        <v>0</v>
      </c>
      <c r="H118" s="61" t="s">
        <v>884</v>
      </c>
      <c r="I118" s="73"/>
      <c r="J118" s="72"/>
      <c r="K118" s="87"/>
    </row>
    <row r="119" spans="1:11" ht="15" customHeight="1">
      <c r="A119" s="61" t="s">
        <v>784</v>
      </c>
      <c r="B119" s="61" t="s">
        <v>776</v>
      </c>
      <c r="C119" s="61" t="s">
        <v>171</v>
      </c>
      <c r="D119" s="63"/>
      <c r="E119" s="63"/>
      <c r="F119" s="63">
        <f>Data[[#This Row],[Import]]+Data[[#This Row],[Last month]]-Data[[#This Row],[Export]]</f>
        <v>0</v>
      </c>
      <c r="G119" s="63">
        <v>0</v>
      </c>
      <c r="H119" s="61" t="s">
        <v>885</v>
      </c>
      <c r="I119" s="73"/>
      <c r="J119" s="72"/>
      <c r="K119" s="87"/>
    </row>
    <row r="120" spans="1:11" ht="15" customHeight="1">
      <c r="A120" s="61" t="s">
        <v>785</v>
      </c>
      <c r="B120" s="61" t="s">
        <v>777</v>
      </c>
      <c r="C120" s="61" t="s">
        <v>171</v>
      </c>
      <c r="D120" s="63"/>
      <c r="E120" s="63"/>
      <c r="F120" s="63">
        <f>Data[[#This Row],[Import]]+Data[[#This Row],[Last month]]-Data[[#This Row],[Export]]</f>
        <v>0</v>
      </c>
      <c r="G120" s="63">
        <v>0</v>
      </c>
      <c r="H120" s="61" t="s">
        <v>886</v>
      </c>
      <c r="I120" s="73"/>
      <c r="J120" s="72"/>
      <c r="K120" s="87"/>
    </row>
    <row r="121" spans="1:11" ht="15" customHeight="1">
      <c r="A121" s="61" t="s">
        <v>786</v>
      </c>
      <c r="B121" s="61" t="s">
        <v>777</v>
      </c>
      <c r="C121" s="61" t="s">
        <v>171</v>
      </c>
      <c r="D121" s="63"/>
      <c r="E121" s="63"/>
      <c r="F121" s="63">
        <f>Data[[#This Row],[Import]]+Data[[#This Row],[Last month]]-Data[[#This Row],[Export]]</f>
        <v>0</v>
      </c>
      <c r="G121" s="63">
        <v>0</v>
      </c>
      <c r="H121" s="61" t="s">
        <v>887</v>
      </c>
      <c r="I121" s="73"/>
      <c r="J121" s="72"/>
      <c r="K121" s="87"/>
    </row>
    <row r="122" spans="1:11" ht="15" customHeight="1">
      <c r="A122" s="61" t="s">
        <v>787</v>
      </c>
      <c r="B122" s="61" t="s">
        <v>778</v>
      </c>
      <c r="C122" s="61" t="s">
        <v>97</v>
      </c>
      <c r="D122" s="63"/>
      <c r="E122" s="63"/>
      <c r="F122" s="63">
        <f>Data[[#This Row],[Import]]+Data[[#This Row],[Last month]]-Data[[#This Row],[Export]]</f>
        <v>0</v>
      </c>
      <c r="G122" s="63">
        <v>0</v>
      </c>
      <c r="H122" s="61" t="s">
        <v>888</v>
      </c>
      <c r="I122" s="73"/>
      <c r="J122" s="72"/>
      <c r="K122" s="87"/>
    </row>
    <row r="123" spans="1:11" ht="15" customHeight="1">
      <c r="A123" s="61" t="s">
        <v>788</v>
      </c>
      <c r="B123" s="61" t="s">
        <v>779</v>
      </c>
      <c r="C123" s="61" t="s">
        <v>79</v>
      </c>
      <c r="D123" s="63"/>
      <c r="E123" s="63"/>
      <c r="F123" s="63">
        <f>Data[[#This Row],[Import]]+Data[[#This Row],[Last month]]-Data[[#This Row],[Export]]</f>
        <v>50</v>
      </c>
      <c r="G123" s="63">
        <v>50</v>
      </c>
      <c r="H123" s="61" t="s">
        <v>889</v>
      </c>
      <c r="I123" s="73"/>
      <c r="J123" s="72"/>
      <c r="K123" s="87"/>
    </row>
    <row r="124" spans="1:11" ht="15" customHeight="1">
      <c r="A124" s="61" t="s">
        <v>789</v>
      </c>
      <c r="B124" s="61" t="s">
        <v>780</v>
      </c>
      <c r="C124" s="61" t="s">
        <v>79</v>
      </c>
      <c r="D124" s="63"/>
      <c r="E124" s="63"/>
      <c r="F124" s="63">
        <f>Data[[#This Row],[Import]]+Data[[#This Row],[Last month]]-Data[[#This Row],[Export]]</f>
        <v>4</v>
      </c>
      <c r="G124" s="63">
        <v>4</v>
      </c>
      <c r="H124" s="61" t="s">
        <v>890</v>
      </c>
      <c r="I124" s="73"/>
      <c r="J124" s="72">
        <v>300000</v>
      </c>
      <c r="K124" s="87"/>
    </row>
    <row r="125" spans="1:11" ht="15" customHeight="1">
      <c r="A125" s="61" t="s">
        <v>821</v>
      </c>
      <c r="B125" s="61" t="s">
        <v>819</v>
      </c>
      <c r="C125" s="61" t="s">
        <v>79</v>
      </c>
      <c r="D125" s="63"/>
      <c r="E125" s="63"/>
      <c r="F125" s="63">
        <f>Data[[#This Row],[Import]]+Data[[#This Row],[Last month]]-Data[[#This Row],[Export]]</f>
        <v>0</v>
      </c>
      <c r="G125" s="63">
        <v>0</v>
      </c>
      <c r="H125" s="61" t="s">
        <v>891</v>
      </c>
      <c r="I125" s="73"/>
      <c r="J125" s="72">
        <v>701000</v>
      </c>
      <c r="K125" s="87"/>
    </row>
    <row r="126" spans="1:11" ht="15" customHeight="1">
      <c r="A126" s="61" t="s">
        <v>822</v>
      </c>
      <c r="B126" s="61" t="s">
        <v>820</v>
      </c>
      <c r="C126" s="61" t="s">
        <v>79</v>
      </c>
      <c r="D126" s="63"/>
      <c r="E126" s="63"/>
      <c r="F126" s="63">
        <f>Data[[#This Row],[Import]]+Data[[#This Row],[Last month]]-Data[[#This Row],[Export]]</f>
        <v>0</v>
      </c>
      <c r="G126" s="63">
        <v>0</v>
      </c>
      <c r="H126" s="61" t="s">
        <v>892</v>
      </c>
      <c r="I126" s="73"/>
      <c r="J126" s="72">
        <v>233000</v>
      </c>
      <c r="K126" s="87"/>
    </row>
    <row r="127" spans="1:11" ht="15" customHeight="1">
      <c r="A127" s="61" t="s">
        <v>766</v>
      </c>
      <c r="B127" s="61" t="s">
        <v>904</v>
      </c>
      <c r="C127" s="61" t="s">
        <v>88</v>
      </c>
      <c r="D127" s="63"/>
      <c r="E127" s="63"/>
      <c r="F127" s="63">
        <f>Data[[#This Row],[Import]]+Data[[#This Row],[Last month]]-Data[[#This Row],[Export]]</f>
        <v>0</v>
      </c>
      <c r="G127" s="63">
        <v>0</v>
      </c>
      <c r="H127" s="61" t="s">
        <v>899</v>
      </c>
      <c r="I127" s="73" t="s">
        <v>902</v>
      </c>
      <c r="J127" s="72">
        <v>60000</v>
      </c>
      <c r="K127" s="87"/>
    </row>
    <row r="128" spans="1:11" ht="15" customHeight="1">
      <c r="A128" s="61" t="s">
        <v>767</v>
      </c>
      <c r="B128" s="61" t="s">
        <v>903</v>
      </c>
      <c r="C128" s="61" t="s">
        <v>88</v>
      </c>
      <c r="D128" s="63"/>
      <c r="E128" s="63"/>
      <c r="F128" s="63">
        <f>Data[[#This Row],[Import]]+Data[[#This Row],[Last month]]-Data[[#This Row],[Export]]</f>
        <v>0</v>
      </c>
      <c r="G128" s="63">
        <v>0</v>
      </c>
      <c r="H128" s="61" t="s">
        <v>900</v>
      </c>
      <c r="I128" s="73" t="s">
        <v>902</v>
      </c>
      <c r="J128" s="72">
        <v>234000</v>
      </c>
      <c r="K128" s="87"/>
    </row>
    <row r="129" spans="1:11" ht="15" customHeight="1">
      <c r="A129" s="61" t="s">
        <v>768</v>
      </c>
      <c r="B129" s="61" t="s">
        <v>765</v>
      </c>
      <c r="C129" s="61" t="s">
        <v>88</v>
      </c>
      <c r="D129" s="63"/>
      <c r="E129" s="63"/>
      <c r="F129" s="63">
        <f>Data[[#This Row],[Import]]+Data[[#This Row],[Last month]]-Data[[#This Row],[Export]]</f>
        <v>0</v>
      </c>
      <c r="G129" s="63">
        <v>0</v>
      </c>
      <c r="H129" s="61" t="s">
        <v>901</v>
      </c>
      <c r="I129" s="73" t="s">
        <v>902</v>
      </c>
      <c r="J129" s="72">
        <v>1800000</v>
      </c>
      <c r="K129" s="87"/>
    </row>
    <row r="130" spans="1:11" ht="15" customHeight="1">
      <c r="A130" s="61" t="s">
        <v>893</v>
      </c>
      <c r="B130" s="61" t="s">
        <v>1104</v>
      </c>
      <c r="C130" s="108" t="s">
        <v>97</v>
      </c>
      <c r="D130" s="63"/>
      <c r="E130" s="92"/>
      <c r="F130" s="63">
        <f>Data[[#This Row],[Import]]+Data[[#This Row],[Last month]]-Data[[#This Row],[Export]]</f>
        <v>2</v>
      </c>
      <c r="G130" s="63">
        <v>2</v>
      </c>
      <c r="H130" s="61" t="s">
        <v>912</v>
      </c>
      <c r="I130" s="109"/>
      <c r="J130" s="72">
        <v>1890000</v>
      </c>
      <c r="K130" s="87"/>
    </row>
    <row r="131" spans="1:11" ht="15" customHeight="1">
      <c r="A131" s="61" t="s">
        <v>825</v>
      </c>
      <c r="B131" s="61" t="s">
        <v>826</v>
      </c>
      <c r="C131" s="61" t="s">
        <v>79</v>
      </c>
      <c r="D131" s="63"/>
      <c r="E131" s="63"/>
      <c r="F131" s="63">
        <f>Data[[#This Row],[Import]]+Data[[#This Row],[Last month]]-Data[[#This Row],[Export]]</f>
        <v>70</v>
      </c>
      <c r="G131" s="63">
        <v>70</v>
      </c>
      <c r="H131" s="61" t="s">
        <v>959</v>
      </c>
      <c r="I131" s="73"/>
      <c r="J131" s="72">
        <v>149000</v>
      </c>
      <c r="K131" s="87"/>
    </row>
    <row r="132" spans="1:11" ht="15" customHeight="1">
      <c r="A132" s="61" t="s">
        <v>931</v>
      </c>
      <c r="B132" s="61" t="s">
        <v>930</v>
      </c>
      <c r="C132" s="61" t="s">
        <v>79</v>
      </c>
      <c r="D132" s="63"/>
      <c r="E132" s="63"/>
      <c r="F132" s="63">
        <f>Data[[#This Row],[Import]]+Data[[#This Row],[Last month]]-Data[[#This Row],[Export]]</f>
        <v>10</v>
      </c>
      <c r="G132" s="63">
        <v>10</v>
      </c>
      <c r="H132" s="61" t="s">
        <v>961</v>
      </c>
      <c r="I132" s="73"/>
      <c r="J132" s="72">
        <v>117000</v>
      </c>
      <c r="K132" s="87"/>
    </row>
    <row r="133" spans="1:11" ht="15" customHeight="1">
      <c r="A133" s="61" t="s">
        <v>859</v>
      </c>
      <c r="B133" s="61" t="s">
        <v>962</v>
      </c>
      <c r="C133" s="61" t="s">
        <v>79</v>
      </c>
      <c r="D133" s="63"/>
      <c r="E133" s="63"/>
      <c r="F133" s="63">
        <f>Data[[#This Row],[Import]]+Data[[#This Row],[Last month]]-Data[[#This Row],[Export]]</f>
        <v>0</v>
      </c>
      <c r="G133" s="63">
        <v>0</v>
      </c>
      <c r="H133" s="61" t="s">
        <v>963</v>
      </c>
      <c r="I133" s="73"/>
      <c r="J133" s="72">
        <v>1815000</v>
      </c>
      <c r="K133" s="87"/>
    </row>
    <row r="134" spans="1:11" ht="15" customHeight="1">
      <c r="A134" s="61" t="s">
        <v>848</v>
      </c>
      <c r="B134" s="61" t="s">
        <v>852</v>
      </c>
      <c r="C134" s="61" t="s">
        <v>171</v>
      </c>
      <c r="D134" s="63"/>
      <c r="E134" s="63"/>
      <c r="F134" s="63">
        <f>Data[[#This Row],[Import]]+Data[[#This Row],[Last month]]-Data[[#This Row],[Export]]</f>
        <v>0</v>
      </c>
      <c r="G134" s="63">
        <v>0</v>
      </c>
      <c r="H134" s="61" t="s">
        <v>965</v>
      </c>
      <c r="I134" s="73"/>
      <c r="J134" s="72">
        <v>1450000</v>
      </c>
      <c r="K134" s="87"/>
    </row>
    <row r="135" spans="1:11" ht="15" customHeight="1">
      <c r="A135" s="61" t="s">
        <v>849</v>
      </c>
      <c r="B135" s="61" t="s">
        <v>853</v>
      </c>
      <c r="C135" s="61" t="s">
        <v>171</v>
      </c>
      <c r="D135" s="63"/>
      <c r="E135" s="63"/>
      <c r="F135" s="63">
        <f>Data[[#This Row],[Import]]+Data[[#This Row],[Last month]]-Data[[#This Row],[Export]]</f>
        <v>0</v>
      </c>
      <c r="G135" s="63">
        <v>0</v>
      </c>
      <c r="H135" s="61" t="s">
        <v>966</v>
      </c>
      <c r="I135" s="73"/>
      <c r="J135" s="72">
        <v>2039000</v>
      </c>
      <c r="K135" s="87"/>
    </row>
    <row r="136" spans="1:11" ht="15" customHeight="1">
      <c r="A136" s="61" t="s">
        <v>850</v>
      </c>
      <c r="B136" s="61" t="s">
        <v>964</v>
      </c>
      <c r="C136" s="61" t="s">
        <v>171</v>
      </c>
      <c r="D136" s="63"/>
      <c r="E136" s="63"/>
      <c r="F136" s="63">
        <f>Data[[#This Row],[Import]]+Data[[#This Row],[Last month]]-Data[[#This Row],[Export]]</f>
        <v>0</v>
      </c>
      <c r="G136" s="63">
        <v>0</v>
      </c>
      <c r="H136" s="61" t="s">
        <v>967</v>
      </c>
      <c r="I136" s="73"/>
      <c r="J136" s="72">
        <v>1806000</v>
      </c>
      <c r="K136" s="87"/>
    </row>
    <row r="137" spans="1:11" ht="15" customHeight="1">
      <c r="A137" s="61" t="s">
        <v>851</v>
      </c>
      <c r="B137" s="61" t="s">
        <v>855</v>
      </c>
      <c r="C137" s="61" t="s">
        <v>79</v>
      </c>
      <c r="D137" s="63"/>
      <c r="E137" s="63"/>
      <c r="F137" s="63">
        <f>Data[[#This Row],[Import]]+Data[[#This Row],[Last month]]-Data[[#This Row],[Export]]</f>
        <v>2</v>
      </c>
      <c r="G137" s="63">
        <v>2</v>
      </c>
      <c r="H137" s="61" t="s">
        <v>968</v>
      </c>
      <c r="I137" s="73"/>
      <c r="J137" s="72">
        <v>774000</v>
      </c>
      <c r="K137" s="87"/>
    </row>
    <row r="138" spans="1:11" ht="15" customHeight="1">
      <c r="A138" s="61" t="s">
        <v>771</v>
      </c>
      <c r="B138" s="61" t="s">
        <v>770</v>
      </c>
      <c r="C138" s="61" t="s">
        <v>79</v>
      </c>
      <c r="D138" s="63"/>
      <c r="E138" s="63"/>
      <c r="F138" s="63">
        <f>Data[[#This Row],[Import]]+Data[[#This Row],[Last month]]-Data[[#This Row],[Export]]</f>
        <v>0</v>
      </c>
      <c r="G138" s="63">
        <v>0</v>
      </c>
      <c r="H138" s="61" t="s">
        <v>969</v>
      </c>
      <c r="I138" s="73"/>
      <c r="J138" s="72">
        <v>2322000</v>
      </c>
      <c r="K138" s="87"/>
    </row>
    <row r="139" spans="1:11" ht="15" customHeight="1">
      <c r="A139" s="61" t="s">
        <v>873</v>
      </c>
      <c r="B139" s="61" t="s">
        <v>874</v>
      </c>
      <c r="C139" s="61" t="s">
        <v>80</v>
      </c>
      <c r="D139" s="63"/>
      <c r="E139" s="63"/>
      <c r="F139" s="63">
        <f>Data[[#This Row],[Import]]+Data[[#This Row],[Last month]]-Data[[#This Row],[Export]]</f>
        <v>22</v>
      </c>
      <c r="G139" s="63">
        <v>22</v>
      </c>
      <c r="H139" s="61" t="s">
        <v>970</v>
      </c>
      <c r="I139" s="73"/>
      <c r="J139" s="72">
        <v>800000</v>
      </c>
      <c r="K139" s="87"/>
    </row>
    <row r="140" spans="1:11" ht="15" customHeight="1">
      <c r="A140" s="61" t="s">
        <v>977</v>
      </c>
      <c r="B140" s="61" t="s">
        <v>976</v>
      </c>
      <c r="C140" s="61" t="s">
        <v>79</v>
      </c>
      <c r="D140" s="63"/>
      <c r="E140" s="63"/>
      <c r="F140" s="63">
        <f>Data[[#This Row],[Import]]+Data[[#This Row],[Last month]]-Data[[#This Row],[Export]]</f>
        <v>14</v>
      </c>
      <c r="G140" s="63">
        <v>14</v>
      </c>
      <c r="H140" s="61" t="s">
        <v>978</v>
      </c>
      <c r="I140" s="73"/>
      <c r="J140" s="72">
        <v>140000</v>
      </c>
      <c r="K140" s="87"/>
    </row>
    <row r="141" spans="1:11" ht="15" customHeight="1">
      <c r="A141" s="61" t="s">
        <v>982</v>
      </c>
      <c r="B141" s="61" t="s">
        <v>660</v>
      </c>
      <c r="C141" s="61" t="s">
        <v>79</v>
      </c>
      <c r="D141" s="63"/>
      <c r="E141" s="63"/>
      <c r="F141" s="63">
        <f>Data[[#This Row],[Import]]+Data[[#This Row],[Last month]]-Data[[#This Row],[Export]]</f>
        <v>1</v>
      </c>
      <c r="G141" s="63">
        <v>1</v>
      </c>
      <c r="H141" s="61" t="s">
        <v>983</v>
      </c>
      <c r="I141" s="73"/>
      <c r="J141" s="72">
        <v>3188000</v>
      </c>
      <c r="K141" s="87"/>
    </row>
    <row r="142" spans="1:11" ht="15" customHeight="1">
      <c r="A142" s="61" t="s">
        <v>813</v>
      </c>
      <c r="B142" s="61" t="s">
        <v>815</v>
      </c>
      <c r="C142" s="61" t="s">
        <v>79</v>
      </c>
      <c r="D142" s="63"/>
      <c r="E142" s="63"/>
      <c r="F142" s="63">
        <f>Data[[#This Row],[Import]]+Data[[#This Row],[Last month]]-Data[[#This Row],[Export]]</f>
        <v>20</v>
      </c>
      <c r="G142" s="63">
        <v>20</v>
      </c>
      <c r="H142" s="61" t="s">
        <v>984</v>
      </c>
      <c r="I142" s="73"/>
      <c r="J142" s="72">
        <v>4500</v>
      </c>
      <c r="K142" s="87"/>
    </row>
    <row r="143" spans="1:11" ht="15" customHeight="1">
      <c r="A143" s="61" t="s">
        <v>814</v>
      </c>
      <c r="B143" s="61" t="s">
        <v>816</v>
      </c>
      <c r="C143" s="61" t="s">
        <v>80</v>
      </c>
      <c r="D143" s="63"/>
      <c r="E143" s="63"/>
      <c r="F143" s="63">
        <f>Data[[#This Row],[Import]]+Data[[#This Row],[Last month]]-Data[[#This Row],[Export]]</f>
        <v>0</v>
      </c>
      <c r="G143" s="63">
        <v>0</v>
      </c>
      <c r="H143" s="61" t="s">
        <v>985</v>
      </c>
      <c r="I143" s="73"/>
      <c r="J143" s="72">
        <v>100000</v>
      </c>
      <c r="K143" s="87"/>
    </row>
    <row r="144" spans="1:11" ht="15" customHeight="1">
      <c r="A144" s="61" t="s">
        <v>1001</v>
      </c>
      <c r="B144" s="61" t="s">
        <v>1002</v>
      </c>
      <c r="C144" s="61" t="s">
        <v>79</v>
      </c>
      <c r="D144" s="63"/>
      <c r="E144" s="63"/>
      <c r="F144" s="63">
        <f>Data[[#This Row],[Import]]+Data[[#This Row],[Last month]]-Data[[#This Row],[Export]]</f>
        <v>2</v>
      </c>
      <c r="G144" s="63">
        <v>2</v>
      </c>
      <c r="H144" s="61" t="s">
        <v>1000</v>
      </c>
      <c r="I144" s="73"/>
      <c r="J144" s="72">
        <v>413000</v>
      </c>
      <c r="K144" s="87"/>
    </row>
    <row r="145" spans="1:11" ht="15" customHeight="1">
      <c r="A145" s="61" t="s">
        <v>1020</v>
      </c>
      <c r="B145" s="61" t="s">
        <v>1019</v>
      </c>
      <c r="C145" s="61" t="s">
        <v>86</v>
      </c>
      <c r="D145" s="63"/>
      <c r="E145" s="63"/>
      <c r="F145" s="63">
        <f>Data[[#This Row],[Import]]+Data[[#This Row],[Last month]]-Data[[#This Row],[Export]]</f>
        <v>1</v>
      </c>
      <c r="G145" s="63">
        <v>1</v>
      </c>
      <c r="H145" s="61" t="s">
        <v>1017</v>
      </c>
      <c r="I145" s="73"/>
      <c r="J145" s="72">
        <v>742000</v>
      </c>
      <c r="K145" s="87"/>
    </row>
    <row r="146" spans="1:11" ht="15" customHeight="1">
      <c r="A146" s="61" t="s">
        <v>945</v>
      </c>
      <c r="B146" s="61" t="s">
        <v>947</v>
      </c>
      <c r="C146" s="61" t="s">
        <v>80</v>
      </c>
      <c r="D146" s="63"/>
      <c r="E146" s="63"/>
      <c r="F146" s="63">
        <f>Data[[#This Row],[Import]]+Data[[#This Row],[Last month]]-Data[[#This Row],[Export]]</f>
        <v>12</v>
      </c>
      <c r="G146" s="63">
        <v>12</v>
      </c>
      <c r="H146" s="61" t="s">
        <v>1018</v>
      </c>
      <c r="I146" s="73"/>
      <c r="J146" s="72">
        <v>72000</v>
      </c>
      <c r="K146" s="87"/>
    </row>
    <row r="147" spans="1:11" ht="15" customHeight="1">
      <c r="A147" s="61" t="s">
        <v>1032</v>
      </c>
      <c r="B147" s="61" t="s">
        <v>1031</v>
      </c>
      <c r="C147" s="61" t="s">
        <v>79</v>
      </c>
      <c r="D147" s="63"/>
      <c r="E147" s="63"/>
      <c r="F147" s="63">
        <f>Data[[#This Row],[Import]]+Data[[#This Row],[Last month]]-Data[[#This Row],[Export]]</f>
        <v>0</v>
      </c>
      <c r="G147" s="63">
        <v>0</v>
      </c>
      <c r="H147" s="61" t="s">
        <v>1028</v>
      </c>
      <c r="I147" s="73"/>
      <c r="J147" s="72">
        <v>170000</v>
      </c>
      <c r="K147" s="87"/>
    </row>
    <row r="148" spans="1:11" ht="15" customHeight="1">
      <c r="A148" s="61" t="s">
        <v>1026</v>
      </c>
      <c r="B148" s="61" t="s">
        <v>1024</v>
      </c>
      <c r="C148" s="61" t="s">
        <v>79</v>
      </c>
      <c r="D148" s="63"/>
      <c r="E148" s="63"/>
      <c r="F148" s="63">
        <f>Data[[#This Row],[Import]]+Data[[#This Row],[Last month]]-Data[[#This Row],[Export]]</f>
        <v>3</v>
      </c>
      <c r="G148" s="63">
        <v>3</v>
      </c>
      <c r="H148" s="61" t="s">
        <v>1029</v>
      </c>
      <c r="I148" s="73"/>
      <c r="J148" s="72">
        <v>193700</v>
      </c>
      <c r="K148" s="87"/>
    </row>
    <row r="149" spans="1:11" ht="15" customHeight="1">
      <c r="A149" s="61" t="s">
        <v>1027</v>
      </c>
      <c r="B149" s="61" t="s">
        <v>1025</v>
      </c>
      <c r="C149" s="61" t="s">
        <v>79</v>
      </c>
      <c r="D149" s="63"/>
      <c r="E149" s="63"/>
      <c r="F149" s="63">
        <f>Data[[#This Row],[Import]]+Data[[#This Row],[Last month]]-Data[[#This Row],[Export]]</f>
        <v>3</v>
      </c>
      <c r="G149" s="63">
        <v>3</v>
      </c>
      <c r="H149" s="61" t="s">
        <v>1030</v>
      </c>
      <c r="I149" s="73"/>
      <c r="J149" s="72">
        <v>212200</v>
      </c>
      <c r="K149" s="87"/>
    </row>
    <row r="150" spans="1:11" ht="15" customHeight="1">
      <c r="A150" s="61" t="s">
        <v>1034</v>
      </c>
      <c r="B150" s="61" t="s">
        <v>1033</v>
      </c>
      <c r="C150" s="61" t="s">
        <v>79</v>
      </c>
      <c r="D150" s="63"/>
      <c r="E150" s="63"/>
      <c r="F150" s="63">
        <f>Data[[#This Row],[Import]]+Data[[#This Row],[Last month]]-Data[[#This Row],[Export]]</f>
        <v>5</v>
      </c>
      <c r="G150" s="63">
        <v>5</v>
      </c>
      <c r="H150" s="61" t="s">
        <v>1035</v>
      </c>
      <c r="I150" s="73"/>
      <c r="J150" s="72">
        <v>4858000</v>
      </c>
      <c r="K150" s="87"/>
    </row>
    <row r="151" spans="1:11" ht="15" customHeight="1">
      <c r="A151" s="61" t="s">
        <v>1066</v>
      </c>
      <c r="B151" s="61" t="s">
        <v>1065</v>
      </c>
      <c r="C151" s="61" t="s">
        <v>171</v>
      </c>
      <c r="D151" s="63"/>
      <c r="E151" s="63"/>
      <c r="F151" s="63">
        <f>Data[[#This Row],[Import]]+Data[[#This Row],[Last month]]-Data[[#This Row],[Export]]</f>
        <v>2</v>
      </c>
      <c r="G151" s="63">
        <v>2</v>
      </c>
      <c r="H151" s="61" t="s">
        <v>1064</v>
      </c>
      <c r="I151" s="73"/>
      <c r="J151" s="72">
        <v>84000</v>
      </c>
      <c r="K151" s="87"/>
    </row>
    <row r="152" spans="1:11" ht="15" customHeight="1">
      <c r="A152" s="61" t="s">
        <v>1070</v>
      </c>
      <c r="B152" s="61" t="s">
        <v>1068</v>
      </c>
      <c r="C152" s="61" t="s">
        <v>79</v>
      </c>
      <c r="D152" s="63"/>
      <c r="E152" s="63"/>
      <c r="F152" s="63">
        <f>Data[[#This Row],[Import]]+Data[[#This Row],[Last month]]-Data[[#This Row],[Export]]</f>
        <v>22</v>
      </c>
      <c r="G152" s="63">
        <v>22</v>
      </c>
      <c r="H152" s="61" t="s">
        <v>1069</v>
      </c>
      <c r="I152" s="73"/>
      <c r="J152" s="72"/>
      <c r="K152" s="87"/>
    </row>
    <row r="153" spans="1:11" ht="15" customHeight="1">
      <c r="A153" s="61" t="s">
        <v>1077</v>
      </c>
      <c r="B153" s="61" t="s">
        <v>1076</v>
      </c>
      <c r="C153" s="61" t="s">
        <v>79</v>
      </c>
      <c r="D153" s="63"/>
      <c r="E153" s="63"/>
      <c r="F153" s="63">
        <f>Data[[#This Row],[Import]]+Data[[#This Row],[Last month]]-Data[[#This Row],[Export]]</f>
        <v>18</v>
      </c>
      <c r="G153" s="63">
        <v>18</v>
      </c>
      <c r="H153" s="61" t="s">
        <v>1078</v>
      </c>
      <c r="I153" s="73"/>
      <c r="J153" s="72"/>
      <c r="K153" s="87"/>
    </row>
    <row r="154" spans="1:11" ht="15" customHeight="1">
      <c r="A154" s="61" t="s">
        <v>1096</v>
      </c>
      <c r="B154" s="61" t="s">
        <v>1103</v>
      </c>
      <c r="C154" s="61" t="s">
        <v>79</v>
      </c>
      <c r="D154" s="63"/>
      <c r="E154" s="63"/>
      <c r="F154" s="63">
        <f>Data[[#This Row],[Import]]+Data[[#This Row],[Last month]]-Data[[#This Row],[Export]]</f>
        <v>4</v>
      </c>
      <c r="G154" s="63">
        <v>4</v>
      </c>
      <c r="H154" s="61" t="s">
        <v>1099</v>
      </c>
      <c r="I154" s="73"/>
      <c r="J154" s="72"/>
      <c r="K154" s="87"/>
    </row>
    <row r="155" spans="1:11" ht="15" customHeight="1">
      <c r="A155" s="61" t="s">
        <v>1097</v>
      </c>
      <c r="B155" s="61" t="s">
        <v>1102</v>
      </c>
      <c r="C155" s="61" t="s">
        <v>79</v>
      </c>
      <c r="D155" s="63"/>
      <c r="E155" s="63"/>
      <c r="F155" s="63">
        <f>Data[[#This Row],[Import]]+Data[[#This Row],[Last month]]-Data[[#This Row],[Export]]</f>
        <v>10</v>
      </c>
      <c r="G155" s="63">
        <v>10</v>
      </c>
      <c r="H155" s="61" t="s">
        <v>1100</v>
      </c>
      <c r="I155" s="73"/>
      <c r="J155" s="72"/>
      <c r="K155" s="87"/>
    </row>
    <row r="156" spans="1:11" ht="15" customHeight="1">
      <c r="A156" s="61" t="s">
        <v>1098</v>
      </c>
      <c r="B156" s="61" t="s">
        <v>1103</v>
      </c>
      <c r="C156" s="61" t="s">
        <v>79</v>
      </c>
      <c r="D156" s="63"/>
      <c r="E156" s="63"/>
      <c r="F156" s="63">
        <f>Data[[#This Row],[Import]]+Data[[#This Row],[Last month]]-Data[[#This Row],[Export]]</f>
        <v>10</v>
      </c>
      <c r="G156" s="63">
        <v>10</v>
      </c>
      <c r="H156" s="61" t="s">
        <v>1101</v>
      </c>
      <c r="I156" s="73"/>
      <c r="J156" s="72"/>
      <c r="K156" s="87"/>
    </row>
    <row r="157" spans="1:11" ht="15" customHeight="1">
      <c r="A157" s="61" t="s">
        <v>1105</v>
      </c>
      <c r="B157" s="61" t="s">
        <v>1106</v>
      </c>
      <c r="C157" s="61" t="s">
        <v>79</v>
      </c>
      <c r="D157" s="63"/>
      <c r="E157" s="63"/>
      <c r="F157" s="63">
        <f>Data[[#This Row],[Import]]+Data[[#This Row],[Last month]]-Data[[#This Row],[Export]]</f>
        <v>3</v>
      </c>
      <c r="G157" s="63">
        <v>3</v>
      </c>
      <c r="H157" s="61" t="s">
        <v>1107</v>
      </c>
      <c r="I157" s="73"/>
      <c r="J157" s="72"/>
      <c r="K157" s="87"/>
    </row>
    <row r="158" spans="1:11" ht="15" customHeight="1">
      <c r="A158" s="93" t="s">
        <v>1110</v>
      </c>
      <c r="B158" s="93" t="s">
        <v>1060</v>
      </c>
      <c r="C158" s="93" t="s">
        <v>79</v>
      </c>
      <c r="D158" s="63"/>
      <c r="E158" s="110"/>
      <c r="F158" s="63">
        <f>Data[[#This Row],[Import]]+Data[[#This Row],[Last month]]-Data[[#This Row],[Export]]</f>
        <v>0</v>
      </c>
      <c r="G158" s="63">
        <v>0</v>
      </c>
      <c r="H158" s="93" t="s">
        <v>1108</v>
      </c>
      <c r="I158" s="73" t="s">
        <v>1243</v>
      </c>
      <c r="J158" s="94"/>
      <c r="K158" s="95"/>
    </row>
    <row r="159" spans="1:11" ht="15" customHeight="1">
      <c r="A159" s="93" t="s">
        <v>1111</v>
      </c>
      <c r="B159" s="93" t="s">
        <v>1060</v>
      </c>
      <c r="C159" s="93" t="s">
        <v>79</v>
      </c>
      <c r="D159" s="63"/>
      <c r="E159" s="110"/>
      <c r="F159" s="63">
        <f>Data[[#This Row],[Import]]+Data[[#This Row],[Last month]]-Data[[#This Row],[Export]]</f>
        <v>0</v>
      </c>
      <c r="G159" s="63">
        <v>0</v>
      </c>
      <c r="H159" s="61" t="s">
        <v>1109</v>
      </c>
      <c r="I159" s="111"/>
      <c r="J159" s="94"/>
      <c r="K159" s="95"/>
    </row>
    <row r="160" spans="1:11" ht="15" customHeight="1">
      <c r="A160" s="61" t="s">
        <v>1148</v>
      </c>
      <c r="B160" s="61" t="s">
        <v>1149</v>
      </c>
      <c r="C160" s="61" t="s">
        <v>79</v>
      </c>
      <c r="D160" s="63"/>
      <c r="E160" s="63"/>
      <c r="F160" s="63">
        <f>Data[[#This Row],[Import]]+Data[[#This Row],[Last month]]-Data[[#This Row],[Export]]</f>
        <v>9</v>
      </c>
      <c r="G160" s="63">
        <v>9</v>
      </c>
      <c r="H160" s="61" t="s">
        <v>1150</v>
      </c>
      <c r="I160" s="73"/>
      <c r="J160" s="72"/>
      <c r="K160" s="87"/>
    </row>
    <row r="161" spans="1:11" ht="15" customHeight="1">
      <c r="A161" s="61" t="s">
        <v>1152</v>
      </c>
      <c r="B161" s="61" t="s">
        <v>1153</v>
      </c>
      <c r="C161" s="61" t="s">
        <v>79</v>
      </c>
      <c r="D161" s="63"/>
      <c r="E161" s="63"/>
      <c r="F161" s="63">
        <f>Data[[#This Row],[Import]]+Data[[#This Row],[Last month]]-Data[[#This Row],[Export]]</f>
        <v>0</v>
      </c>
      <c r="G161" s="63">
        <v>0</v>
      </c>
      <c r="H161" s="61" t="s">
        <v>1154</v>
      </c>
      <c r="I161" s="73"/>
      <c r="J161" s="72"/>
      <c r="K161" s="87"/>
    </row>
    <row r="162" spans="1:11" ht="15" customHeight="1">
      <c r="A162" s="61" t="s">
        <v>1155</v>
      </c>
      <c r="B162" s="61" t="s">
        <v>1156</v>
      </c>
      <c r="C162" s="61" t="s">
        <v>171</v>
      </c>
      <c r="D162" s="63"/>
      <c r="E162" s="63"/>
      <c r="F162" s="63">
        <f>Data[[#This Row],[Import]]+Data[[#This Row],[Last month]]-Data[[#This Row],[Export]]</f>
        <v>0</v>
      </c>
      <c r="G162" s="63">
        <v>0</v>
      </c>
      <c r="H162" s="61" t="s">
        <v>1157</v>
      </c>
      <c r="I162" s="73"/>
      <c r="J162" s="72"/>
      <c r="K162" s="87"/>
    </row>
    <row r="163" spans="1:11" ht="15" customHeight="1">
      <c r="A163" s="61" t="s">
        <v>1159</v>
      </c>
      <c r="B163" s="61" t="s">
        <v>1160</v>
      </c>
      <c r="C163" s="61" t="s">
        <v>79</v>
      </c>
      <c r="D163" s="63"/>
      <c r="E163" s="63"/>
      <c r="F163" s="63">
        <f>Data[[#This Row],[Import]]+Data[[#This Row],[Last month]]-Data[[#This Row],[Export]]</f>
        <v>130</v>
      </c>
      <c r="G163" s="63">
        <v>130</v>
      </c>
      <c r="H163" s="61" t="s">
        <v>1161</v>
      </c>
      <c r="I163" s="73"/>
      <c r="J163" s="72"/>
      <c r="K163" s="87"/>
    </row>
    <row r="164" spans="1:11" ht="15" customHeight="1">
      <c r="A164" s="61" t="s">
        <v>1165</v>
      </c>
      <c r="B164" s="61" t="s">
        <v>1166</v>
      </c>
      <c r="C164" s="61" t="s">
        <v>79</v>
      </c>
      <c r="D164" s="63"/>
      <c r="E164" s="63"/>
      <c r="F164" s="63">
        <f>Data[[#This Row],[Import]]+Data[[#This Row],[Last month]]-Data[[#This Row],[Export]]</f>
        <v>4</v>
      </c>
      <c r="G164" s="63">
        <v>4</v>
      </c>
      <c r="H164" s="61" t="s">
        <v>1167</v>
      </c>
      <c r="I164" s="73" t="s">
        <v>1168</v>
      </c>
      <c r="J164" s="72"/>
      <c r="K164" s="87"/>
    </row>
    <row r="165" spans="1:11" ht="15" customHeight="1">
      <c r="A165" s="61" t="s">
        <v>1199</v>
      </c>
      <c r="B165" s="61" t="s">
        <v>1200</v>
      </c>
      <c r="C165" s="61" t="s">
        <v>79</v>
      </c>
      <c r="D165" s="63"/>
      <c r="E165" s="63"/>
      <c r="F165" s="63">
        <f>Data[[#This Row],[Import]]+Data[[#This Row],[Last month]]-Data[[#This Row],[Export]]</f>
        <v>2</v>
      </c>
      <c r="G165" s="63">
        <v>2</v>
      </c>
      <c r="H165" s="61" t="s">
        <v>1201</v>
      </c>
      <c r="I165" s="73" t="s">
        <v>990</v>
      </c>
      <c r="J165" s="72"/>
      <c r="K165" s="87"/>
    </row>
    <row r="166" spans="1:11" ht="15" customHeight="1">
      <c r="A166" s="61" t="s">
        <v>1211</v>
      </c>
      <c r="B166" s="61" t="s">
        <v>1205</v>
      </c>
      <c r="C166" s="61" t="s">
        <v>229</v>
      </c>
      <c r="D166" s="63"/>
      <c r="E166" s="63"/>
      <c r="F166" s="63">
        <f>Data[[#This Row],[Import]]+Data[[#This Row],[Last month]]-Data[[#This Row],[Export]]</f>
        <v>4</v>
      </c>
      <c r="G166" s="63">
        <v>4</v>
      </c>
      <c r="H166" s="61" t="s">
        <v>1206</v>
      </c>
      <c r="I166" s="73"/>
      <c r="J166" s="72"/>
      <c r="K166" s="87"/>
    </row>
    <row r="167" spans="1:11" ht="15" customHeight="1">
      <c r="A167" s="61" t="s">
        <v>1213</v>
      </c>
      <c r="B167" s="61" t="s">
        <v>1212</v>
      </c>
      <c r="C167" s="61" t="s">
        <v>79</v>
      </c>
      <c r="D167" s="63"/>
      <c r="E167" s="63"/>
      <c r="F167" s="63">
        <f>Data[[#This Row],[Import]]+Data[[#This Row],[Last month]]-Data[[#This Row],[Export]]</f>
        <v>3</v>
      </c>
      <c r="G167" s="63">
        <v>3</v>
      </c>
      <c r="H167" s="61" t="s">
        <v>1214</v>
      </c>
      <c r="I167" s="73"/>
      <c r="J167" s="72"/>
      <c r="K167" s="87"/>
    </row>
    <row r="168" spans="1:11" ht="15" customHeight="1">
      <c r="A168" s="61" t="s">
        <v>1216</v>
      </c>
      <c r="B168" s="61" t="s">
        <v>1217</v>
      </c>
      <c r="C168" s="61" t="s">
        <v>79</v>
      </c>
      <c r="D168" s="63"/>
      <c r="E168" s="63"/>
      <c r="F168" s="63">
        <f>Data[[#This Row],[Import]]+Data[[#This Row],[Last month]]-Data[[#This Row],[Export]]</f>
        <v>4</v>
      </c>
      <c r="G168" s="63">
        <v>4</v>
      </c>
      <c r="H168" s="61" t="s">
        <v>1215</v>
      </c>
      <c r="I168" s="73"/>
      <c r="J168" s="72"/>
      <c r="K168" s="87"/>
    </row>
    <row r="169" spans="1:11" ht="15" customHeight="1">
      <c r="A169" s="61" t="s">
        <v>1222</v>
      </c>
      <c r="B169" s="61" t="s">
        <v>1223</v>
      </c>
      <c r="C169" s="61" t="s">
        <v>97</v>
      </c>
      <c r="D169" s="63"/>
      <c r="E169" s="63"/>
      <c r="F169" s="63">
        <f>Data[[#This Row],[Import]]+Data[[#This Row],[Last month]]-Data[[#This Row],[Export]]</f>
        <v>13</v>
      </c>
      <c r="G169" s="63">
        <v>13</v>
      </c>
      <c r="H169" s="61" t="s">
        <v>1224</v>
      </c>
      <c r="I169" s="73"/>
      <c r="J169" s="72"/>
      <c r="K169" s="87"/>
    </row>
    <row r="170" spans="1:11" ht="15" customHeight="1">
      <c r="A170" s="61" t="s">
        <v>1225</v>
      </c>
      <c r="B170" s="61" t="s">
        <v>1226</v>
      </c>
      <c r="C170" s="61" t="s">
        <v>229</v>
      </c>
      <c r="D170" s="63"/>
      <c r="E170" s="63"/>
      <c r="F170" s="63">
        <f>Data[[#This Row],[Import]]+Data[[#This Row],[Last month]]-Data[[#This Row],[Export]]</f>
        <v>85</v>
      </c>
      <c r="G170" s="63">
        <v>85</v>
      </c>
      <c r="H170" s="61" t="s">
        <v>1227</v>
      </c>
      <c r="I170" s="73"/>
      <c r="J170" s="72"/>
      <c r="K170" s="87"/>
    </row>
    <row r="171" spans="1:11" ht="15" customHeight="1">
      <c r="A171" s="61" t="s">
        <v>1230</v>
      </c>
      <c r="B171" s="61" t="s">
        <v>1232</v>
      </c>
      <c r="C171" s="61" t="s">
        <v>171</v>
      </c>
      <c r="D171" s="63"/>
      <c r="E171" s="63"/>
      <c r="F171" s="63">
        <f>Data[[#This Row],[Import]]+Data[[#This Row],[Last month]]-Data[[#This Row],[Export]]</f>
        <v>1</v>
      </c>
      <c r="G171" s="63">
        <v>1</v>
      </c>
      <c r="H171" s="61" t="s">
        <v>1231</v>
      </c>
      <c r="I171" s="73"/>
      <c r="J171" s="72"/>
      <c r="K171" s="87"/>
    </row>
    <row r="172" spans="1:11" ht="15" customHeight="1">
      <c r="A172" s="61" t="s">
        <v>1234</v>
      </c>
      <c r="B172" s="61" t="s">
        <v>1233</v>
      </c>
      <c r="C172" s="61" t="s">
        <v>79</v>
      </c>
      <c r="D172" s="63"/>
      <c r="E172" s="63"/>
      <c r="F172" s="63">
        <f>Data[[#This Row],[Import]]+Data[[#This Row],[Last month]]-Data[[#This Row],[Export]]</f>
        <v>1</v>
      </c>
      <c r="G172" s="63">
        <v>1</v>
      </c>
      <c r="H172" s="61" t="s">
        <v>1235</v>
      </c>
      <c r="I172" s="73" t="s">
        <v>1221</v>
      </c>
      <c r="J172" s="72"/>
      <c r="K172" s="87"/>
    </row>
    <row r="173" spans="1:11" ht="15" customHeight="1">
      <c r="A173" s="61">
        <v>51759</v>
      </c>
      <c r="B173" s="61" t="s">
        <v>1237</v>
      </c>
      <c r="C173" s="61" t="s">
        <v>79</v>
      </c>
      <c r="D173" s="63"/>
      <c r="E173" s="63"/>
      <c r="F173" s="63">
        <f>Data[[#This Row],[Import]]+Data[[#This Row],[Last month]]-Data[[#This Row],[Export]]</f>
        <v>1</v>
      </c>
      <c r="G173" s="63">
        <v>1</v>
      </c>
      <c r="H173" s="61" t="s">
        <v>1238</v>
      </c>
      <c r="I173" s="73" t="s">
        <v>1239</v>
      </c>
      <c r="J173" s="72"/>
      <c r="K173" s="87"/>
    </row>
    <row r="174" spans="1:11" ht="15" customHeight="1">
      <c r="A174" s="61" t="s">
        <v>1241</v>
      </c>
      <c r="B174" s="61" t="s">
        <v>1240</v>
      </c>
      <c r="C174" s="61" t="s">
        <v>79</v>
      </c>
      <c r="D174" s="63"/>
      <c r="E174" s="63"/>
      <c r="F174" s="63">
        <f>Data[[#This Row],[Import]]+Data[[#This Row],[Last month]]-Data[[#This Row],[Export]]</f>
        <v>4</v>
      </c>
      <c r="G174" s="63">
        <v>4</v>
      </c>
      <c r="H174" s="61" t="s">
        <v>1242</v>
      </c>
      <c r="I174" s="73"/>
      <c r="J174" s="72"/>
      <c r="K174" s="87"/>
    </row>
    <row r="175" spans="1:11" ht="15" customHeight="1">
      <c r="A175" s="61" t="s">
        <v>1245</v>
      </c>
      <c r="B175" s="61" t="s">
        <v>1246</v>
      </c>
      <c r="C175" s="61" t="s">
        <v>95</v>
      </c>
      <c r="D175" s="63"/>
      <c r="E175" s="63"/>
      <c r="F175" s="63">
        <f>Data[[#This Row],[Import]]+Data[[#This Row],[Last month]]-Data[[#This Row],[Export]]</f>
        <v>3</v>
      </c>
      <c r="G175" s="63">
        <v>3</v>
      </c>
      <c r="H175" s="61" t="s">
        <v>1244</v>
      </c>
      <c r="I175" s="73"/>
      <c r="J175" s="72"/>
      <c r="K175" s="87"/>
    </row>
    <row r="176" spans="1:11" ht="15" customHeight="1">
      <c r="A176" s="61" t="s">
        <v>1248</v>
      </c>
      <c r="B176" s="61" t="s">
        <v>1247</v>
      </c>
      <c r="C176" s="61" t="s">
        <v>79</v>
      </c>
      <c r="D176" s="63"/>
      <c r="E176" s="63"/>
      <c r="F176" s="63">
        <f>Data[[#This Row],[Import]]+Data[[#This Row],[Last month]]-Data[[#This Row],[Export]]</f>
        <v>10</v>
      </c>
      <c r="G176" s="63">
        <v>10</v>
      </c>
      <c r="H176" s="61" t="s">
        <v>1249</v>
      </c>
      <c r="I176" s="73" t="s">
        <v>1250</v>
      </c>
      <c r="J176" s="72"/>
      <c r="K176" s="87"/>
    </row>
    <row r="177" spans="1:11" ht="15" customHeight="1">
      <c r="A177" s="61" t="s">
        <v>1251</v>
      </c>
      <c r="B177" s="61" t="s">
        <v>1252</v>
      </c>
      <c r="C177" s="61" t="s">
        <v>79</v>
      </c>
      <c r="D177" s="63"/>
      <c r="E177" s="63"/>
      <c r="F177" s="63">
        <f>Data[[#This Row],[Import]]+Data[[#This Row],[Last month]]-Data[[#This Row],[Export]]</f>
        <v>30</v>
      </c>
      <c r="G177" s="63">
        <v>30</v>
      </c>
      <c r="H177" s="61" t="s">
        <v>1253</v>
      </c>
      <c r="I177" s="73"/>
      <c r="J177" s="72"/>
      <c r="K177" s="87"/>
    </row>
    <row r="178" spans="1:11" ht="15" customHeight="1">
      <c r="A178" s="61" t="s">
        <v>1261</v>
      </c>
      <c r="B178" s="61" t="s">
        <v>1259</v>
      </c>
      <c r="C178" s="61" t="s">
        <v>79</v>
      </c>
      <c r="D178" s="63"/>
      <c r="E178" s="63"/>
      <c r="F178" s="63">
        <f>Data[[#This Row],[Import]]+Data[[#This Row],[Last month]]-Data[[#This Row],[Export]]</f>
        <v>1</v>
      </c>
      <c r="G178" s="63">
        <v>1</v>
      </c>
      <c r="H178" s="61" t="s">
        <v>1263</v>
      </c>
      <c r="I178" s="73" t="s">
        <v>1265</v>
      </c>
      <c r="J178" s="72"/>
      <c r="K178" s="87"/>
    </row>
    <row r="179" spans="1:11" ht="15" customHeight="1">
      <c r="A179" s="61" t="s">
        <v>1262</v>
      </c>
      <c r="B179" s="61" t="s">
        <v>1260</v>
      </c>
      <c r="C179" s="61" t="s">
        <v>79</v>
      </c>
      <c r="D179" s="63"/>
      <c r="E179" s="63"/>
      <c r="F179" s="63">
        <f>Data[[#This Row],[Import]]+Data[[#This Row],[Last month]]-Data[[#This Row],[Export]]</f>
        <v>1</v>
      </c>
      <c r="G179" s="63">
        <v>1</v>
      </c>
      <c r="H179" s="61" t="s">
        <v>1264</v>
      </c>
      <c r="I179" s="73" t="s">
        <v>1265</v>
      </c>
      <c r="J179" s="72"/>
      <c r="K179" s="87"/>
    </row>
    <row r="180" spans="1:11" ht="15" customHeight="1">
      <c r="A180" s="61" t="s">
        <v>1270</v>
      </c>
      <c r="B180" s="61" t="s">
        <v>1268</v>
      </c>
      <c r="C180" s="61" t="s">
        <v>79</v>
      </c>
      <c r="D180" s="63"/>
      <c r="E180" s="63"/>
      <c r="F180" s="63">
        <f>Data[[#This Row],[Import]]+Data[[#This Row],[Last month]]-Data[[#This Row],[Export]]</f>
        <v>19</v>
      </c>
      <c r="G180" s="63">
        <v>19</v>
      </c>
      <c r="H180" s="61" t="s">
        <v>1272</v>
      </c>
      <c r="I180" s="73" t="s">
        <v>1265</v>
      </c>
      <c r="J180" s="72"/>
      <c r="K180" s="87"/>
    </row>
    <row r="181" spans="1:11" ht="15" customHeight="1">
      <c r="A181" s="61" t="s">
        <v>1271</v>
      </c>
      <c r="B181" s="61" t="s">
        <v>1269</v>
      </c>
      <c r="C181" s="61" t="s">
        <v>79</v>
      </c>
      <c r="D181" s="63"/>
      <c r="E181" s="63"/>
      <c r="F181" s="63">
        <f>Data[[#This Row],[Import]]+Data[[#This Row],[Last month]]-Data[[#This Row],[Export]]</f>
        <v>6</v>
      </c>
      <c r="G181" s="63">
        <v>6</v>
      </c>
      <c r="H181" s="61" t="s">
        <v>1273</v>
      </c>
      <c r="I181" s="73" t="s">
        <v>1265</v>
      </c>
      <c r="J181" s="72"/>
      <c r="K181" s="87"/>
    </row>
    <row r="182" spans="1:11" ht="15" customHeight="1">
      <c r="A182" s="61" t="s">
        <v>1285</v>
      </c>
      <c r="B182" s="61" t="s">
        <v>1286</v>
      </c>
      <c r="C182" s="61" t="s">
        <v>79</v>
      </c>
      <c r="D182" s="63"/>
      <c r="E182" s="63"/>
      <c r="F182" s="63">
        <f>Data[[#This Row],[Import]]+Data[[#This Row],[Last month]]-Data[[#This Row],[Export]]</f>
        <v>4</v>
      </c>
      <c r="G182" s="63">
        <v>4</v>
      </c>
      <c r="H182" s="61" t="s">
        <v>1287</v>
      </c>
      <c r="I182" s="73"/>
      <c r="J182" s="72"/>
      <c r="K182" s="87"/>
    </row>
    <row r="183" spans="1:11" ht="15" customHeight="1">
      <c r="A183" s="61" t="s">
        <v>1289</v>
      </c>
      <c r="B183" s="61" t="s">
        <v>1288</v>
      </c>
      <c r="C183" s="61" t="s">
        <v>88</v>
      </c>
      <c r="D183" s="63"/>
      <c r="E183" s="63"/>
      <c r="F183" s="63">
        <f>Data[[#This Row],[Import]]+Data[[#This Row],[Last month]]-Data[[#This Row],[Export]]</f>
        <v>3</v>
      </c>
      <c r="G183" s="63">
        <v>3</v>
      </c>
      <c r="H183" s="61" t="s">
        <v>1290</v>
      </c>
      <c r="I183" s="73"/>
      <c r="J183" s="72"/>
      <c r="K183" s="87"/>
    </row>
    <row r="184" spans="1:11" ht="15" customHeight="1">
      <c r="A184" s="61" t="s">
        <v>1314</v>
      </c>
      <c r="B184" s="61" t="s">
        <v>1316</v>
      </c>
      <c r="C184" s="61" t="s">
        <v>79</v>
      </c>
      <c r="D184" s="63"/>
      <c r="E184" s="63"/>
      <c r="F184" s="63">
        <f>Data[[#This Row],[Import]]+Data[[#This Row],[Last month]]-Data[[#This Row],[Export]]</f>
        <v>19</v>
      </c>
      <c r="G184" s="63">
        <v>19</v>
      </c>
      <c r="H184" s="61" t="s">
        <v>1318</v>
      </c>
      <c r="I184" s="116"/>
      <c r="J184" s="117"/>
      <c r="K184" s="87"/>
    </row>
    <row r="185" spans="1:11" ht="15" customHeight="1">
      <c r="A185" s="61" t="s">
        <v>1315</v>
      </c>
      <c r="B185" s="61" t="s">
        <v>1317</v>
      </c>
      <c r="C185" s="61" t="s">
        <v>79</v>
      </c>
      <c r="D185" s="63"/>
      <c r="E185" s="63"/>
      <c r="F185" s="63">
        <f>Data[[#This Row],[Import]]+Data[[#This Row],[Last month]]-Data[[#This Row],[Export]]</f>
        <v>19</v>
      </c>
      <c r="G185" s="63">
        <v>19</v>
      </c>
      <c r="H185" s="61" t="s">
        <v>1319</v>
      </c>
      <c r="I185" s="116"/>
      <c r="J185" s="117"/>
      <c r="K185" s="87"/>
    </row>
    <row r="186" spans="1:11" ht="15" customHeight="1">
      <c r="A186" s="61" t="s">
        <v>1331</v>
      </c>
      <c r="B186" s="61" t="s">
        <v>1330</v>
      </c>
      <c r="C186" s="61" t="s">
        <v>79</v>
      </c>
      <c r="D186" s="63"/>
      <c r="E186" s="63"/>
      <c r="F186" s="63">
        <f>Data[[#This Row],[Import]]+Data[[#This Row],[Last month]]-Data[[#This Row],[Export]]</f>
        <v>100</v>
      </c>
      <c r="G186" s="63">
        <v>100</v>
      </c>
      <c r="H186" s="61" t="s">
        <v>1332</v>
      </c>
      <c r="I186" s="116" t="s">
        <v>1430</v>
      </c>
      <c r="J186" s="117"/>
      <c r="K186" s="87"/>
    </row>
    <row r="187" spans="1:11" ht="15" customHeight="1">
      <c r="A187" s="61" t="s">
        <v>1334</v>
      </c>
      <c r="B187" s="61" t="s">
        <v>1333</v>
      </c>
      <c r="C187" s="61" t="s">
        <v>79</v>
      </c>
      <c r="D187" s="63"/>
      <c r="E187" s="63"/>
      <c r="F187" s="63">
        <f>Data[[#This Row],[Import]]+Data[[#This Row],[Last month]]-Data[[#This Row],[Export]]</f>
        <v>20</v>
      </c>
      <c r="G187" s="63">
        <v>20</v>
      </c>
      <c r="H187" s="61" t="s">
        <v>1335</v>
      </c>
      <c r="I187" s="116" t="s">
        <v>1336</v>
      </c>
      <c r="J187" s="117"/>
      <c r="K187" s="87"/>
    </row>
    <row r="188" spans="1:11" ht="15" customHeight="1">
      <c r="A188" s="61" t="s">
        <v>371</v>
      </c>
      <c r="B188" s="61" t="s">
        <v>372</v>
      </c>
      <c r="C188" s="61" t="s">
        <v>79</v>
      </c>
      <c r="D188" s="63"/>
      <c r="E188" s="63"/>
      <c r="F188" s="63">
        <f>Data[[#This Row],[Import]]+Data[[#This Row],[Last month]]-Data[[#This Row],[Export]]</f>
        <v>0</v>
      </c>
      <c r="G188" s="63">
        <v>0</v>
      </c>
      <c r="H188" s="61" t="s">
        <v>374</v>
      </c>
      <c r="I188" s="73"/>
      <c r="J188" s="72"/>
      <c r="K188" s="87"/>
    </row>
    <row r="189" spans="1:11" ht="15" customHeight="1">
      <c r="A189" s="61" t="s">
        <v>270</v>
      </c>
      <c r="B189" s="61" t="s">
        <v>379</v>
      </c>
      <c r="C189" s="61" t="s">
        <v>79</v>
      </c>
      <c r="D189" s="63"/>
      <c r="E189" s="63"/>
      <c r="F189" s="63">
        <f>Data[[#This Row],[Import]]+Data[[#This Row],[Last month]]-Data[[#This Row],[Export]]</f>
        <v>0</v>
      </c>
      <c r="G189" s="63">
        <v>0</v>
      </c>
      <c r="H189" s="61" t="s">
        <v>380</v>
      </c>
      <c r="I189" s="73" t="s">
        <v>431</v>
      </c>
      <c r="J189" s="72"/>
      <c r="K189" s="87"/>
    </row>
    <row r="190" spans="1:11" ht="15" customHeight="1">
      <c r="A190" s="61" t="s">
        <v>337</v>
      </c>
      <c r="B190" s="61" t="s">
        <v>381</v>
      </c>
      <c r="C190" s="61" t="s">
        <v>171</v>
      </c>
      <c r="D190" s="63"/>
      <c r="E190" s="63"/>
      <c r="F190" s="63">
        <f>Data[[#This Row],[Import]]+Data[[#This Row],[Last month]]-Data[[#This Row],[Export]]</f>
        <v>0</v>
      </c>
      <c r="G190" s="63">
        <v>0</v>
      </c>
      <c r="H190" s="61" t="s">
        <v>383</v>
      </c>
      <c r="I190" s="73" t="s">
        <v>431</v>
      </c>
      <c r="J190" s="73"/>
      <c r="K190" s="87"/>
    </row>
    <row r="191" spans="1:11" ht="15" customHeight="1">
      <c r="A191" s="61" t="s">
        <v>339</v>
      </c>
      <c r="B191" s="61" t="s">
        <v>340</v>
      </c>
      <c r="C191" s="61" t="s">
        <v>171</v>
      </c>
      <c r="D191" s="63"/>
      <c r="E191" s="63"/>
      <c r="F191" s="63">
        <f>Data[[#This Row],[Import]]+Data[[#This Row],[Last month]]-Data[[#This Row],[Export]]</f>
        <v>0</v>
      </c>
      <c r="G191" s="63">
        <v>0</v>
      </c>
      <c r="H191" s="61" t="s">
        <v>384</v>
      </c>
      <c r="I191" s="73" t="s">
        <v>431</v>
      </c>
      <c r="J191" s="73"/>
      <c r="K191" s="87"/>
    </row>
    <row r="192" spans="1:11" ht="15" customHeight="1">
      <c r="A192" s="61" t="s">
        <v>341</v>
      </c>
      <c r="B192" s="61" t="s">
        <v>382</v>
      </c>
      <c r="C192" s="61" t="s">
        <v>171</v>
      </c>
      <c r="D192" s="63"/>
      <c r="E192" s="63"/>
      <c r="F192" s="63">
        <f>Data[[#This Row],[Import]]+Data[[#This Row],[Last month]]-Data[[#This Row],[Export]]</f>
        <v>0</v>
      </c>
      <c r="G192" s="63">
        <v>0</v>
      </c>
      <c r="H192" s="61" t="s">
        <v>385</v>
      </c>
      <c r="I192" s="73" t="s">
        <v>431</v>
      </c>
      <c r="J192" s="73"/>
      <c r="K192" s="87"/>
    </row>
    <row r="193" spans="1:11" ht="15" customHeight="1">
      <c r="A193" s="61" t="s">
        <v>345</v>
      </c>
      <c r="B193" s="61" t="s">
        <v>346</v>
      </c>
      <c r="C193" s="61" t="s">
        <v>171</v>
      </c>
      <c r="D193" s="63"/>
      <c r="E193" s="63"/>
      <c r="F193" s="63">
        <f>Data[[#This Row],[Import]]+Data[[#This Row],[Last month]]-Data[[#This Row],[Export]]</f>
        <v>0</v>
      </c>
      <c r="G193" s="63">
        <v>0</v>
      </c>
      <c r="H193" s="61" t="s">
        <v>386</v>
      </c>
      <c r="I193" s="73" t="s">
        <v>431</v>
      </c>
      <c r="J193" s="73"/>
      <c r="K193" s="87"/>
    </row>
    <row r="194" spans="1:11" ht="15" customHeight="1">
      <c r="A194" s="79" t="s">
        <v>220</v>
      </c>
      <c r="B194" s="79" t="s">
        <v>242</v>
      </c>
      <c r="C194" s="79" t="s">
        <v>79</v>
      </c>
      <c r="D194" s="80"/>
      <c r="E194" s="80"/>
      <c r="F194" s="63">
        <f>Data[[#This Row],[Import]]+Data[[#This Row],[Last month]]-Data[[#This Row],[Export]]</f>
        <v>0</v>
      </c>
      <c r="G194" s="63">
        <v>0</v>
      </c>
      <c r="H194" s="61" t="s">
        <v>396</v>
      </c>
      <c r="I194" s="73" t="s">
        <v>431</v>
      </c>
      <c r="J194" s="73"/>
      <c r="K194" s="87"/>
    </row>
    <row r="195" spans="1:11" ht="15" customHeight="1">
      <c r="A195" s="61" t="s">
        <v>405</v>
      </c>
      <c r="B195" s="61" t="s">
        <v>406</v>
      </c>
      <c r="C195" s="61" t="s">
        <v>97</v>
      </c>
      <c r="D195" s="63"/>
      <c r="E195" s="63"/>
      <c r="F195" s="63">
        <f>Data[[#This Row],[Import]]+Data[[#This Row],[Last month]]-Data[[#This Row],[Export]]</f>
        <v>0</v>
      </c>
      <c r="G195" s="63">
        <v>0</v>
      </c>
      <c r="H195" s="61" t="s">
        <v>450</v>
      </c>
      <c r="I195" s="73" t="s">
        <v>538</v>
      </c>
      <c r="J195" s="72"/>
      <c r="K195" s="87"/>
    </row>
    <row r="196" spans="1:11" ht="15" customHeight="1">
      <c r="A196" s="61" t="s">
        <v>407</v>
      </c>
      <c r="B196" s="61" t="s">
        <v>406</v>
      </c>
      <c r="C196" s="61" t="s">
        <v>97</v>
      </c>
      <c r="D196" s="63"/>
      <c r="E196" s="63"/>
      <c r="F196" s="63">
        <f>Data[[#This Row],[Import]]+Data[[#This Row],[Last month]]-Data[[#This Row],[Export]]</f>
        <v>0</v>
      </c>
      <c r="G196" s="63">
        <v>0</v>
      </c>
      <c r="H196" s="61" t="s">
        <v>451</v>
      </c>
      <c r="I196" s="73" t="s">
        <v>538</v>
      </c>
      <c r="J196" s="72"/>
      <c r="K196" s="87"/>
    </row>
    <row r="197" spans="1:11" ht="15" customHeight="1">
      <c r="A197" s="61" t="s">
        <v>408</v>
      </c>
      <c r="B197" s="61" t="s">
        <v>409</v>
      </c>
      <c r="C197" s="61" t="s">
        <v>97</v>
      </c>
      <c r="D197" s="63"/>
      <c r="E197" s="63"/>
      <c r="F197" s="63">
        <f>Data[[#This Row],[Import]]+Data[[#This Row],[Last month]]-Data[[#This Row],[Export]]</f>
        <v>0</v>
      </c>
      <c r="G197" s="63">
        <v>0</v>
      </c>
      <c r="H197" s="61" t="s">
        <v>452</v>
      </c>
      <c r="I197" s="73" t="s">
        <v>538</v>
      </c>
      <c r="J197" s="72"/>
      <c r="K197" s="87"/>
    </row>
    <row r="198" spans="1:11" ht="15" customHeight="1">
      <c r="A198" s="61" t="s">
        <v>410</v>
      </c>
      <c r="B198" s="61" t="s">
        <v>406</v>
      </c>
      <c r="C198" s="61" t="s">
        <v>97</v>
      </c>
      <c r="D198" s="63"/>
      <c r="E198" s="63"/>
      <c r="F198" s="63">
        <f>Data[[#This Row],[Import]]+Data[[#This Row],[Last month]]-Data[[#This Row],[Export]]</f>
        <v>0</v>
      </c>
      <c r="G198" s="63">
        <v>0</v>
      </c>
      <c r="H198" s="61" t="s">
        <v>453</v>
      </c>
      <c r="I198" s="73" t="s">
        <v>538</v>
      </c>
      <c r="J198" s="72"/>
      <c r="K198" s="87"/>
    </row>
    <row r="199" spans="1:11" ht="15" customHeight="1">
      <c r="A199" s="61" t="s">
        <v>468</v>
      </c>
      <c r="B199" s="61" t="s">
        <v>469</v>
      </c>
      <c r="C199" s="61" t="s">
        <v>79</v>
      </c>
      <c r="D199" s="63"/>
      <c r="E199" s="63"/>
      <c r="F199" s="63">
        <f>Data[[#This Row],[Import]]+Data[[#This Row],[Last month]]-Data[[#This Row],[Export]]</f>
        <v>0</v>
      </c>
      <c r="G199" s="63">
        <v>0</v>
      </c>
      <c r="H199" s="61" t="s">
        <v>493</v>
      </c>
      <c r="I199" s="73" t="s">
        <v>538</v>
      </c>
      <c r="J199" s="73"/>
      <c r="K199" s="87"/>
    </row>
    <row r="200" spans="1:11" ht="15" customHeight="1">
      <c r="A200" s="61" t="s">
        <v>465</v>
      </c>
      <c r="B200" s="61" t="s">
        <v>466</v>
      </c>
      <c r="C200" s="61" t="s">
        <v>171</v>
      </c>
      <c r="D200" s="63"/>
      <c r="E200" s="63"/>
      <c r="F200" s="63">
        <f>Data[[#This Row],[Import]]+Data[[#This Row],[Last month]]-Data[[#This Row],[Export]]</f>
        <v>0</v>
      </c>
      <c r="G200" s="63">
        <v>0</v>
      </c>
      <c r="H200" s="61" t="s">
        <v>496</v>
      </c>
      <c r="I200" s="73" t="s">
        <v>538</v>
      </c>
      <c r="J200" s="72"/>
      <c r="K200" s="87"/>
    </row>
    <row r="201" spans="1:11" ht="15" customHeight="1">
      <c r="A201" s="61" t="s">
        <v>510</v>
      </c>
      <c r="B201" s="61" t="s">
        <v>511</v>
      </c>
      <c r="C201" s="61" t="s">
        <v>79</v>
      </c>
      <c r="D201" s="63"/>
      <c r="E201" s="63"/>
      <c r="F201" s="63">
        <f>Data[[#This Row],[Import]]+Data[[#This Row],[Last month]]-Data[[#This Row],[Export]]</f>
        <v>0</v>
      </c>
      <c r="G201" s="63">
        <v>0</v>
      </c>
      <c r="H201" s="61" t="s">
        <v>597</v>
      </c>
      <c r="I201" s="73" t="s">
        <v>563</v>
      </c>
      <c r="J201" s="73"/>
      <c r="K201" s="87"/>
    </row>
    <row r="202" spans="1:11" ht="15" customHeight="1">
      <c r="A202" s="61" t="s">
        <v>609</v>
      </c>
      <c r="B202" s="61" t="s">
        <v>610</v>
      </c>
      <c r="C202" s="61" t="s">
        <v>90</v>
      </c>
      <c r="D202" s="63"/>
      <c r="E202" s="63"/>
      <c r="F202" s="63">
        <f>Data[[#This Row],[Import]]+Data[[#This Row],[Last month]]-Data[[#This Row],[Export]]</f>
        <v>0</v>
      </c>
      <c r="G202" s="63">
        <v>0</v>
      </c>
      <c r="H202" s="61" t="s">
        <v>626</v>
      </c>
      <c r="I202" s="73"/>
      <c r="J202" s="73"/>
      <c r="K202" s="87"/>
    </row>
    <row r="203" spans="1:11" ht="15" customHeight="1">
      <c r="A203" s="61" t="s">
        <v>627</v>
      </c>
      <c r="B203" s="61" t="s">
        <v>628</v>
      </c>
      <c r="C203" s="61" t="s">
        <v>82</v>
      </c>
      <c r="D203" s="63"/>
      <c r="E203" s="63"/>
      <c r="F203" s="63">
        <f>Data[[#This Row],[Import]]+Data[[#This Row],[Last month]]-Data[[#This Row],[Export]]</f>
        <v>0</v>
      </c>
      <c r="G203" s="63">
        <v>0</v>
      </c>
      <c r="H203" s="61" t="s">
        <v>640</v>
      </c>
      <c r="J203" s="73"/>
      <c r="K203" s="87"/>
    </row>
    <row r="204" spans="1:11" ht="15" customHeight="1">
      <c r="A204" s="61" t="s">
        <v>696</v>
      </c>
      <c r="B204" s="61" t="s">
        <v>695</v>
      </c>
      <c r="C204" s="61" t="s">
        <v>79</v>
      </c>
      <c r="D204" s="63"/>
      <c r="E204" s="63"/>
      <c r="F204" s="63">
        <f>Data[[#This Row],[Import]]+Data[[#This Row],[Last month]]-Data[[#This Row],[Export]]</f>
        <v>0</v>
      </c>
      <c r="G204" s="63">
        <v>0</v>
      </c>
      <c r="H204" s="61" t="s">
        <v>812</v>
      </c>
      <c r="I204" s="73" t="s">
        <v>538</v>
      </c>
      <c r="J204" s="72"/>
      <c r="K204" s="87"/>
    </row>
    <row r="205" spans="1:11" ht="15" customHeight="1">
      <c r="A205" s="61" t="s">
        <v>908</v>
      </c>
      <c r="B205" s="61" t="s">
        <v>909</v>
      </c>
      <c r="C205" s="61" t="s">
        <v>82</v>
      </c>
      <c r="D205" s="63"/>
      <c r="E205" s="63"/>
      <c r="F205" s="63">
        <f>Data[[#This Row],[Import]]+Data[[#This Row],[Last month]]-Data[[#This Row],[Export]]</f>
        <v>0</v>
      </c>
      <c r="G205" s="63">
        <v>0</v>
      </c>
      <c r="H205" s="61" t="s">
        <v>952</v>
      </c>
      <c r="I205" s="73" t="s">
        <v>429</v>
      </c>
      <c r="J205" s="72">
        <v>40000</v>
      </c>
      <c r="K205" s="87"/>
    </row>
    <row r="206" spans="1:11" ht="15" customHeight="1">
      <c r="A206" s="61" t="s">
        <v>913</v>
      </c>
      <c r="B206" s="61" t="s">
        <v>914</v>
      </c>
      <c r="C206" s="61" t="s">
        <v>79</v>
      </c>
      <c r="D206" s="63"/>
      <c r="E206" s="63"/>
      <c r="F206" s="63">
        <f>Data[[#This Row],[Import]]+Data[[#This Row],[Last month]]-Data[[#This Row],[Export]]</f>
        <v>0</v>
      </c>
      <c r="G206" s="63">
        <v>0</v>
      </c>
      <c r="H206" s="61" t="s">
        <v>960</v>
      </c>
      <c r="I206" s="73" t="s">
        <v>538</v>
      </c>
      <c r="J206" s="72">
        <v>1500000</v>
      </c>
      <c r="K206" s="87"/>
    </row>
    <row r="207" spans="1:11" ht="15" customHeight="1">
      <c r="A207" s="61" t="s">
        <v>1311</v>
      </c>
      <c r="B207" s="61" t="s">
        <v>1310</v>
      </c>
      <c r="C207" s="61" t="s">
        <v>82</v>
      </c>
      <c r="D207" s="63"/>
      <c r="E207" s="63"/>
      <c r="F207" s="63">
        <f>Data[[#This Row],[Import]]+Data[[#This Row],[Last month]]-Data[[#This Row],[Export]]</f>
        <v>560</v>
      </c>
      <c r="G207" s="63">
        <v>560</v>
      </c>
      <c r="H207" s="61" t="s">
        <v>986</v>
      </c>
      <c r="I207" s="73" t="s">
        <v>1063</v>
      </c>
      <c r="J207" s="72">
        <v>102000</v>
      </c>
      <c r="K207" s="87"/>
    </row>
    <row r="208" spans="1:11" ht="15" customHeight="1">
      <c r="A208" s="61" t="s">
        <v>989</v>
      </c>
      <c r="B208" s="61" t="s">
        <v>988</v>
      </c>
      <c r="C208" s="61" t="s">
        <v>79</v>
      </c>
      <c r="D208" s="63"/>
      <c r="E208" s="63"/>
      <c r="F208" s="63">
        <f>Data[[#This Row],[Import]]+Data[[#This Row],[Last month]]-Data[[#This Row],[Export]]</f>
        <v>1</v>
      </c>
      <c r="G208" s="63">
        <v>1</v>
      </c>
      <c r="H208" s="61" t="s">
        <v>987</v>
      </c>
      <c r="I208" s="73" t="s">
        <v>990</v>
      </c>
      <c r="J208" s="72">
        <v>9134000</v>
      </c>
      <c r="K208" s="87"/>
    </row>
    <row r="209" spans="1:11" ht="15" customHeight="1">
      <c r="A209" s="61" t="s">
        <v>995</v>
      </c>
      <c r="B209" s="61" t="s">
        <v>994</v>
      </c>
      <c r="C209" s="61" t="s">
        <v>229</v>
      </c>
      <c r="D209" s="63"/>
      <c r="E209" s="63"/>
      <c r="F209" s="63">
        <f>Data[[#This Row],[Import]]+Data[[#This Row],[Last month]]-Data[[#This Row],[Export]]</f>
        <v>0</v>
      </c>
      <c r="G209" s="63">
        <v>0</v>
      </c>
      <c r="H209" s="61" t="s">
        <v>993</v>
      </c>
      <c r="I209" s="73"/>
      <c r="J209" s="72">
        <v>4648000</v>
      </c>
      <c r="K209" s="87"/>
    </row>
    <row r="210" spans="1:11" ht="15" customHeight="1">
      <c r="A210" s="61" t="s">
        <v>997</v>
      </c>
      <c r="B210" s="61" t="s">
        <v>998</v>
      </c>
      <c r="C210" s="61" t="s">
        <v>79</v>
      </c>
      <c r="D210" s="63"/>
      <c r="E210" s="63"/>
      <c r="F210" s="63">
        <f>Data[[#This Row],[Import]]+Data[[#This Row],[Last month]]-Data[[#This Row],[Export]]</f>
        <v>8</v>
      </c>
      <c r="G210" s="63">
        <v>8</v>
      </c>
      <c r="H210" s="61" t="s">
        <v>999</v>
      </c>
      <c r="I210" s="73"/>
      <c r="J210" s="72">
        <v>850000</v>
      </c>
      <c r="K210" s="87"/>
    </row>
    <row r="211" spans="1:11" ht="15" customHeight="1">
      <c r="A211" s="61" t="s">
        <v>1014</v>
      </c>
      <c r="B211" s="61" t="s">
        <v>1013</v>
      </c>
      <c r="C211" s="61" t="s">
        <v>79</v>
      </c>
      <c r="D211" s="63"/>
      <c r="E211" s="63"/>
      <c r="F211" s="63">
        <f>Data[[#This Row],[Import]]+Data[[#This Row],[Last month]]-Data[[#This Row],[Export]]</f>
        <v>2</v>
      </c>
      <c r="G211" s="63">
        <v>2</v>
      </c>
      <c r="H211" s="61" t="s">
        <v>1010</v>
      </c>
      <c r="I211" s="73" t="s">
        <v>990</v>
      </c>
      <c r="J211" s="72">
        <v>2965000</v>
      </c>
      <c r="K211" s="87"/>
    </row>
    <row r="212" spans="1:11" ht="15" customHeight="1">
      <c r="A212" s="61" t="s">
        <v>1015</v>
      </c>
      <c r="B212" s="61" t="s">
        <v>1013</v>
      </c>
      <c r="C212" s="61" t="s">
        <v>79</v>
      </c>
      <c r="D212" s="63"/>
      <c r="E212" s="63"/>
      <c r="F212" s="63">
        <f>Data[[#This Row],[Import]]+Data[[#This Row],[Last month]]-Data[[#This Row],[Export]]</f>
        <v>2</v>
      </c>
      <c r="G212" s="63">
        <v>2</v>
      </c>
      <c r="H212" s="61" t="s">
        <v>1011</v>
      </c>
      <c r="I212" s="73" t="s">
        <v>990</v>
      </c>
      <c r="J212" s="72">
        <v>14950000</v>
      </c>
      <c r="K212" s="87"/>
    </row>
    <row r="213" spans="1:11" ht="15" customHeight="1">
      <c r="A213" s="61" t="s">
        <v>1016</v>
      </c>
      <c r="B213" s="61" t="s">
        <v>1013</v>
      </c>
      <c r="C213" s="61" t="s">
        <v>79</v>
      </c>
      <c r="D213" s="63"/>
      <c r="E213" s="63"/>
      <c r="F213" s="63">
        <f>Data[[#This Row],[Import]]+Data[[#This Row],[Last month]]-Data[[#This Row],[Export]]</f>
        <v>1</v>
      </c>
      <c r="G213" s="63">
        <v>1</v>
      </c>
      <c r="H213" s="61" t="s">
        <v>1012</v>
      </c>
      <c r="I213" s="73" t="s">
        <v>990</v>
      </c>
      <c r="J213" s="72">
        <v>1010000</v>
      </c>
      <c r="K213" s="87"/>
    </row>
    <row r="214" spans="1:11" ht="15" customHeight="1">
      <c r="A214" s="61" t="s">
        <v>1037</v>
      </c>
      <c r="B214" s="61" t="s">
        <v>1036</v>
      </c>
      <c r="C214" s="61" t="s">
        <v>79</v>
      </c>
      <c r="D214" s="63"/>
      <c r="E214" s="63"/>
      <c r="F214" s="63">
        <f>Data[[#This Row],[Import]]+Data[[#This Row],[Last month]]-Data[[#This Row],[Export]]</f>
        <v>1</v>
      </c>
      <c r="G214" s="63">
        <v>1</v>
      </c>
      <c r="H214" s="61" t="s">
        <v>1038</v>
      </c>
      <c r="I214" s="73" t="s">
        <v>1039</v>
      </c>
      <c r="J214" s="72">
        <v>38805000</v>
      </c>
      <c r="K214" s="87"/>
    </row>
    <row r="215" spans="1:11" ht="15" customHeight="1">
      <c r="A215" s="61" t="s">
        <v>1049</v>
      </c>
      <c r="B215" s="61" t="s">
        <v>1058</v>
      </c>
      <c r="C215" s="61" t="s">
        <v>79</v>
      </c>
      <c r="D215" s="63"/>
      <c r="E215" s="63"/>
      <c r="F215" s="63">
        <f>Data[[#This Row],[Import]]+Data[[#This Row],[Last month]]-Data[[#This Row],[Export]]</f>
        <v>1</v>
      </c>
      <c r="G215" s="63">
        <v>1</v>
      </c>
      <c r="H215" s="61" t="s">
        <v>1040</v>
      </c>
      <c r="I215" s="73" t="s">
        <v>990</v>
      </c>
      <c r="J215" s="72">
        <v>84870500</v>
      </c>
      <c r="K215" s="87"/>
    </row>
    <row r="216" spans="1:11" ht="15" customHeight="1">
      <c r="A216" s="61" t="s">
        <v>1050</v>
      </c>
      <c r="B216" s="61" t="s">
        <v>1059</v>
      </c>
      <c r="C216" s="61" t="s">
        <v>79</v>
      </c>
      <c r="D216" s="63"/>
      <c r="E216" s="63"/>
      <c r="F216" s="63">
        <f>Data[[#This Row],[Import]]+Data[[#This Row],[Last month]]-Data[[#This Row],[Export]]</f>
        <v>1</v>
      </c>
      <c r="G216" s="63">
        <v>1</v>
      </c>
      <c r="H216" s="61" t="s">
        <v>1041</v>
      </c>
      <c r="I216" s="73" t="s">
        <v>990</v>
      </c>
      <c r="J216" s="72">
        <v>59009600</v>
      </c>
      <c r="K216" s="87"/>
    </row>
    <row r="217" spans="1:11" ht="15" customHeight="1">
      <c r="A217" s="61" t="s">
        <v>1051</v>
      </c>
      <c r="B217" s="61" t="s">
        <v>1060</v>
      </c>
      <c r="C217" s="61" t="s">
        <v>79</v>
      </c>
      <c r="D217" s="63"/>
      <c r="E217" s="63"/>
      <c r="F217" s="63">
        <f>Data[[#This Row],[Import]]+Data[[#This Row],[Last month]]-Data[[#This Row],[Export]]</f>
        <v>1</v>
      </c>
      <c r="G217" s="63">
        <v>1</v>
      </c>
      <c r="H217" s="61" t="s">
        <v>1042</v>
      </c>
      <c r="I217" s="73" t="s">
        <v>990</v>
      </c>
      <c r="J217" s="72">
        <v>2774200</v>
      </c>
      <c r="K217" s="87"/>
    </row>
    <row r="218" spans="1:11" ht="15" customHeight="1">
      <c r="A218" s="61" t="s">
        <v>1052</v>
      </c>
      <c r="B218" s="61" t="s">
        <v>1060</v>
      </c>
      <c r="C218" s="61" t="s">
        <v>79</v>
      </c>
      <c r="D218" s="63"/>
      <c r="E218" s="63"/>
      <c r="F218" s="63">
        <f>Data[[#This Row],[Import]]+Data[[#This Row],[Last month]]-Data[[#This Row],[Export]]</f>
        <v>1</v>
      </c>
      <c r="G218" s="63">
        <v>1</v>
      </c>
      <c r="H218" s="61" t="s">
        <v>1043</v>
      </c>
      <c r="I218" s="73" t="s">
        <v>990</v>
      </c>
      <c r="J218" s="72">
        <v>3984500</v>
      </c>
      <c r="K218" s="87"/>
    </row>
    <row r="219" spans="1:11" ht="15" customHeight="1">
      <c r="A219" s="61" t="s">
        <v>1053</v>
      </c>
      <c r="B219" s="61" t="s">
        <v>1060</v>
      </c>
      <c r="C219" s="61" t="s">
        <v>79</v>
      </c>
      <c r="D219" s="63"/>
      <c r="E219" s="63"/>
      <c r="F219" s="63">
        <f>Data[[#This Row],[Import]]+Data[[#This Row],[Last month]]-Data[[#This Row],[Export]]</f>
        <v>1</v>
      </c>
      <c r="G219" s="63">
        <v>1</v>
      </c>
      <c r="H219" s="61" t="s">
        <v>1044</v>
      </c>
      <c r="I219" s="73" t="s">
        <v>990</v>
      </c>
      <c r="J219" s="72">
        <v>2454400</v>
      </c>
      <c r="K219" s="87"/>
    </row>
    <row r="220" spans="1:11" ht="15" customHeight="1">
      <c r="A220" s="61" t="s">
        <v>1054</v>
      </c>
      <c r="B220" s="61" t="s">
        <v>1060</v>
      </c>
      <c r="C220" s="61" t="s">
        <v>79</v>
      </c>
      <c r="D220" s="63"/>
      <c r="E220" s="63"/>
      <c r="F220" s="63">
        <f>Data[[#This Row],[Import]]+Data[[#This Row],[Last month]]-Data[[#This Row],[Export]]</f>
        <v>1</v>
      </c>
      <c r="G220" s="63">
        <v>1</v>
      </c>
      <c r="H220" s="61" t="s">
        <v>1045</v>
      </c>
      <c r="I220" s="73" t="s">
        <v>990</v>
      </c>
      <c r="J220" s="72">
        <v>5093400</v>
      </c>
      <c r="K220" s="87"/>
    </row>
    <row r="221" spans="1:11" ht="15" customHeight="1">
      <c r="A221" s="61" t="s">
        <v>1055</v>
      </c>
      <c r="B221" s="61" t="s">
        <v>1060</v>
      </c>
      <c r="C221" s="61" t="s">
        <v>79</v>
      </c>
      <c r="D221" s="63"/>
      <c r="E221" s="63"/>
      <c r="F221" s="63">
        <f>Data[[#This Row],[Import]]+Data[[#This Row],[Last month]]-Data[[#This Row],[Export]]</f>
        <v>1</v>
      </c>
      <c r="G221" s="63">
        <v>1</v>
      </c>
      <c r="H221" s="61" t="s">
        <v>1046</v>
      </c>
      <c r="I221" s="73" t="s">
        <v>990</v>
      </c>
      <c r="J221" s="72">
        <v>18661500</v>
      </c>
      <c r="K221" s="87"/>
    </row>
    <row r="222" spans="1:11" ht="15" customHeight="1">
      <c r="A222" s="61" t="s">
        <v>1056</v>
      </c>
      <c r="B222" s="61" t="s">
        <v>1060</v>
      </c>
      <c r="C222" s="61" t="s">
        <v>79</v>
      </c>
      <c r="D222" s="63"/>
      <c r="E222" s="63"/>
      <c r="F222" s="63">
        <f>Data[[#This Row],[Import]]+Data[[#This Row],[Last month]]-Data[[#This Row],[Export]]</f>
        <v>1</v>
      </c>
      <c r="G222" s="63">
        <v>1</v>
      </c>
      <c r="H222" s="61" t="s">
        <v>1047</v>
      </c>
      <c r="I222" s="73" t="s">
        <v>990</v>
      </c>
      <c r="J222" s="72">
        <v>12121200</v>
      </c>
      <c r="K222" s="87"/>
    </row>
    <row r="223" spans="1:11" ht="15" customHeight="1">
      <c r="A223" s="61" t="s">
        <v>1057</v>
      </c>
      <c r="B223" s="61" t="s">
        <v>1060</v>
      </c>
      <c r="C223" s="61" t="s">
        <v>79</v>
      </c>
      <c r="D223" s="63"/>
      <c r="E223" s="63"/>
      <c r="F223" s="63">
        <f>Data[[#This Row],[Import]]+Data[[#This Row],[Last month]]-Data[[#This Row],[Export]]</f>
        <v>1</v>
      </c>
      <c r="G223" s="63">
        <v>1</v>
      </c>
      <c r="H223" s="61" t="s">
        <v>1048</v>
      </c>
      <c r="I223" s="73" t="s">
        <v>990</v>
      </c>
      <c r="J223" s="72">
        <v>2454400</v>
      </c>
      <c r="K223" s="87"/>
    </row>
    <row r="224" spans="1:11" ht="15" customHeight="1">
      <c r="A224" s="61" t="s">
        <v>1072</v>
      </c>
      <c r="B224" s="61" t="s">
        <v>1071</v>
      </c>
      <c r="C224" s="61" t="s">
        <v>79</v>
      </c>
      <c r="D224" s="63"/>
      <c r="E224" s="63"/>
      <c r="F224" s="63">
        <f>Data[[#This Row],[Import]]+Data[[#This Row],[Last month]]-Data[[#This Row],[Export]]</f>
        <v>1</v>
      </c>
      <c r="G224" s="63">
        <v>1</v>
      </c>
      <c r="H224" s="61" t="s">
        <v>1074</v>
      </c>
      <c r="I224" s="73" t="s">
        <v>990</v>
      </c>
      <c r="J224" s="72">
        <v>172537000</v>
      </c>
      <c r="K224" s="87"/>
    </row>
    <row r="225" spans="1:11" ht="15" customHeight="1">
      <c r="A225" s="61" t="s">
        <v>1073</v>
      </c>
      <c r="B225" s="61" t="s">
        <v>1071</v>
      </c>
      <c r="C225" s="61" t="s">
        <v>79</v>
      </c>
      <c r="D225" s="63"/>
      <c r="E225" s="63"/>
      <c r="F225" s="63">
        <f>Data[[#This Row],[Import]]+Data[[#This Row],[Last month]]-Data[[#This Row],[Export]]</f>
        <v>1</v>
      </c>
      <c r="G225" s="63">
        <v>1</v>
      </c>
      <c r="H225" s="61" t="s">
        <v>1075</v>
      </c>
      <c r="I225" s="73" t="s">
        <v>990</v>
      </c>
      <c r="J225" s="72">
        <v>54290000</v>
      </c>
      <c r="K225" s="87"/>
    </row>
    <row r="226" spans="1:11" ht="15" customHeight="1">
      <c r="A226" s="61" t="s">
        <v>1084</v>
      </c>
      <c r="B226" s="61" t="s">
        <v>1083</v>
      </c>
      <c r="C226" s="61" t="s">
        <v>79</v>
      </c>
      <c r="D226" s="63"/>
      <c r="E226" s="63"/>
      <c r="F226" s="63">
        <f>Data[[#This Row],[Import]]+Data[[#This Row],[Last month]]-Data[[#This Row],[Export]]</f>
        <v>1</v>
      </c>
      <c r="G226" s="63">
        <v>1</v>
      </c>
      <c r="H226" s="61" t="s">
        <v>1086</v>
      </c>
      <c r="I226" s="73" t="s">
        <v>1088</v>
      </c>
      <c r="J226" s="72">
        <v>38809000</v>
      </c>
      <c r="K226" s="87"/>
    </row>
    <row r="227" spans="1:11" ht="15" customHeight="1">
      <c r="A227" s="61" t="s">
        <v>1085</v>
      </c>
      <c r="B227" s="61" t="s">
        <v>1083</v>
      </c>
      <c r="C227" s="61" t="s">
        <v>79</v>
      </c>
      <c r="D227" s="63"/>
      <c r="E227" s="63"/>
      <c r="F227" s="63">
        <f>Data[[#This Row],[Import]]+Data[[#This Row],[Last month]]-Data[[#This Row],[Export]]</f>
        <v>1</v>
      </c>
      <c r="G227" s="63">
        <v>1</v>
      </c>
      <c r="H227" s="61" t="s">
        <v>1087</v>
      </c>
      <c r="I227" s="73" t="s">
        <v>1088</v>
      </c>
      <c r="J227" s="72">
        <v>72003000</v>
      </c>
      <c r="K227" s="87"/>
    </row>
    <row r="228" spans="1:11" ht="15" customHeight="1">
      <c r="A228" s="61" t="s">
        <v>1090</v>
      </c>
      <c r="B228" s="61" t="s">
        <v>1092</v>
      </c>
      <c r="C228" s="61" t="s">
        <v>79</v>
      </c>
      <c r="D228" s="63"/>
      <c r="E228" s="63"/>
      <c r="F228" s="63">
        <f>Data[[#This Row],[Import]]+Data[[#This Row],[Last month]]-Data[[#This Row],[Export]]</f>
        <v>4</v>
      </c>
      <c r="G228" s="63">
        <v>4</v>
      </c>
      <c r="H228" s="61" t="s">
        <v>1091</v>
      </c>
      <c r="I228" s="73"/>
      <c r="J228" s="72"/>
      <c r="K228" s="87"/>
    </row>
    <row r="229" spans="1:11" ht="15" customHeight="1">
      <c r="A229" s="61" t="s">
        <v>1093</v>
      </c>
      <c r="B229" s="61" t="s">
        <v>1094</v>
      </c>
      <c r="C229" s="61" t="s">
        <v>79</v>
      </c>
      <c r="D229" s="63"/>
      <c r="E229" s="63"/>
      <c r="F229" s="63">
        <f>Data[[#This Row],[Import]]+Data[[#This Row],[Last month]]-Data[[#This Row],[Export]]</f>
        <v>1</v>
      </c>
      <c r="G229" s="63">
        <v>1</v>
      </c>
      <c r="H229" s="61" t="s">
        <v>1095</v>
      </c>
      <c r="I229" s="73" t="s">
        <v>990</v>
      </c>
      <c r="J229" s="72"/>
      <c r="K229" s="87"/>
    </row>
    <row r="230" spans="1:11" ht="15" customHeight="1">
      <c r="A230" s="61" t="s">
        <v>1114</v>
      </c>
      <c r="B230" s="61" t="s">
        <v>1112</v>
      </c>
      <c r="C230" s="61" t="s">
        <v>79</v>
      </c>
      <c r="D230" s="63"/>
      <c r="E230" s="63"/>
      <c r="F230" s="63">
        <f>Data[[#This Row],[Import]]+Data[[#This Row],[Last month]]-Data[[#This Row],[Export]]</f>
        <v>0</v>
      </c>
      <c r="G230" s="63">
        <v>0</v>
      </c>
      <c r="H230" s="61" t="s">
        <v>1116</v>
      </c>
      <c r="I230" s="73" t="s">
        <v>1170</v>
      </c>
      <c r="J230" s="72"/>
      <c r="K230" s="87"/>
    </row>
    <row r="231" spans="1:11" ht="15" customHeight="1">
      <c r="A231" s="61" t="s">
        <v>1115</v>
      </c>
      <c r="B231" s="61" t="s">
        <v>1113</v>
      </c>
      <c r="C231" s="61" t="s">
        <v>79</v>
      </c>
      <c r="D231" s="63"/>
      <c r="E231" s="63"/>
      <c r="F231" s="63">
        <f>Data[[#This Row],[Import]]+Data[[#This Row],[Last month]]-Data[[#This Row],[Export]]</f>
        <v>0</v>
      </c>
      <c r="G231" s="63">
        <v>0</v>
      </c>
      <c r="H231" s="61" t="s">
        <v>1117</v>
      </c>
      <c r="I231" s="73" t="s">
        <v>1170</v>
      </c>
      <c r="J231" s="72"/>
      <c r="K231" s="87"/>
    </row>
    <row r="232" spans="1:11" ht="15" customHeight="1">
      <c r="A232" s="61" t="s">
        <v>1123</v>
      </c>
      <c r="B232" s="61" t="s">
        <v>1119</v>
      </c>
      <c r="C232" s="61" t="s">
        <v>79</v>
      </c>
      <c r="D232" s="63"/>
      <c r="E232" s="63"/>
      <c r="F232" s="63">
        <f>Data[[#This Row],[Import]]+Data[[#This Row],[Last month]]-Data[[#This Row],[Export]]</f>
        <v>1</v>
      </c>
      <c r="G232" s="63">
        <v>1</v>
      </c>
      <c r="H232" s="61" t="s">
        <v>1118</v>
      </c>
      <c r="I232" s="73" t="s">
        <v>990</v>
      </c>
      <c r="J232" s="72"/>
      <c r="K232" s="87"/>
    </row>
    <row r="233" spans="1:11" ht="15" customHeight="1">
      <c r="A233" s="61" t="s">
        <v>1124</v>
      </c>
      <c r="B233" s="61" t="s">
        <v>1120</v>
      </c>
      <c r="C233" s="61" t="s">
        <v>79</v>
      </c>
      <c r="D233" s="63"/>
      <c r="E233" s="63"/>
      <c r="F233" s="63">
        <f>Data[[#This Row],[Import]]+Data[[#This Row],[Last month]]-Data[[#This Row],[Export]]</f>
        <v>1</v>
      </c>
      <c r="G233" s="63">
        <v>1</v>
      </c>
      <c r="H233" s="61" t="s">
        <v>1133</v>
      </c>
      <c r="I233" s="73" t="s">
        <v>990</v>
      </c>
      <c r="J233" s="72"/>
      <c r="K233" s="87"/>
    </row>
    <row r="234" spans="1:11" ht="15" customHeight="1">
      <c r="A234" s="61" t="s">
        <v>1125</v>
      </c>
      <c r="B234" s="61" t="s">
        <v>1121</v>
      </c>
      <c r="C234" s="61" t="s">
        <v>79</v>
      </c>
      <c r="D234" s="63"/>
      <c r="E234" s="63"/>
      <c r="F234" s="63">
        <f>Data[[#This Row],[Import]]+Data[[#This Row],[Last month]]-Data[[#This Row],[Export]]</f>
        <v>2</v>
      </c>
      <c r="G234" s="63">
        <v>2</v>
      </c>
      <c r="H234" s="61" t="s">
        <v>1134</v>
      </c>
      <c r="I234" s="73" t="s">
        <v>990</v>
      </c>
      <c r="J234" s="72"/>
      <c r="K234" s="87"/>
    </row>
    <row r="235" spans="1:11" ht="15" customHeight="1">
      <c r="A235" s="61" t="s">
        <v>1126</v>
      </c>
      <c r="B235" s="61" t="s">
        <v>1122</v>
      </c>
      <c r="C235" s="61" t="s">
        <v>79</v>
      </c>
      <c r="D235" s="63"/>
      <c r="E235" s="63"/>
      <c r="F235" s="63">
        <f>Data[[#This Row],[Import]]+Data[[#This Row],[Last month]]-Data[[#This Row],[Export]]</f>
        <v>3</v>
      </c>
      <c r="G235" s="63">
        <v>3</v>
      </c>
      <c r="H235" s="61" t="s">
        <v>1135</v>
      </c>
      <c r="I235" s="73" t="s">
        <v>990</v>
      </c>
      <c r="J235" s="72"/>
      <c r="K235" s="87"/>
    </row>
    <row r="236" spans="1:11" ht="15" customHeight="1">
      <c r="A236" s="61" t="s">
        <v>1127</v>
      </c>
      <c r="B236" s="61" t="s">
        <v>1122</v>
      </c>
      <c r="C236" s="61" t="s">
        <v>79</v>
      </c>
      <c r="D236" s="63"/>
      <c r="E236" s="63"/>
      <c r="F236" s="63">
        <f>Data[[#This Row],[Import]]+Data[[#This Row],[Last month]]-Data[[#This Row],[Export]]</f>
        <v>1</v>
      </c>
      <c r="G236" s="63">
        <v>1</v>
      </c>
      <c r="H236" s="61" t="s">
        <v>1136</v>
      </c>
      <c r="I236" s="73" t="s">
        <v>990</v>
      </c>
      <c r="J236" s="72"/>
      <c r="K236" s="87"/>
    </row>
    <row r="237" spans="1:11" ht="15" customHeight="1">
      <c r="A237" s="61" t="s">
        <v>1128</v>
      </c>
      <c r="B237" s="61" t="s">
        <v>1122</v>
      </c>
      <c r="C237" s="61" t="s">
        <v>79</v>
      </c>
      <c r="D237" s="63"/>
      <c r="E237" s="63"/>
      <c r="F237" s="63">
        <f>Data[[#This Row],[Import]]+Data[[#This Row],[Last month]]-Data[[#This Row],[Export]]</f>
        <v>3</v>
      </c>
      <c r="G237" s="63">
        <v>3</v>
      </c>
      <c r="H237" s="61" t="s">
        <v>1137</v>
      </c>
      <c r="I237" s="73" t="s">
        <v>990</v>
      </c>
      <c r="J237" s="72"/>
      <c r="K237" s="87"/>
    </row>
    <row r="238" spans="1:11" ht="15" customHeight="1">
      <c r="A238" s="61" t="s">
        <v>1129</v>
      </c>
      <c r="B238" s="61" t="s">
        <v>1122</v>
      </c>
      <c r="C238" s="61" t="s">
        <v>79</v>
      </c>
      <c r="D238" s="63"/>
      <c r="E238" s="63"/>
      <c r="F238" s="63">
        <f>Data[[#This Row],[Import]]+Data[[#This Row],[Last month]]-Data[[#This Row],[Export]]</f>
        <v>2</v>
      </c>
      <c r="G238" s="63">
        <v>2</v>
      </c>
      <c r="H238" s="61" t="s">
        <v>1138</v>
      </c>
      <c r="I238" s="73" t="s">
        <v>990</v>
      </c>
      <c r="J238" s="72"/>
      <c r="K238" s="87"/>
    </row>
    <row r="239" spans="1:11" ht="15" customHeight="1">
      <c r="A239" s="61" t="s">
        <v>1130</v>
      </c>
      <c r="B239" s="61" t="s">
        <v>1122</v>
      </c>
      <c r="C239" s="61" t="s">
        <v>79</v>
      </c>
      <c r="D239" s="63"/>
      <c r="E239" s="63"/>
      <c r="F239" s="63">
        <f>Data[[#This Row],[Import]]+Data[[#This Row],[Last month]]-Data[[#This Row],[Export]]</f>
        <v>1</v>
      </c>
      <c r="G239" s="63">
        <v>1</v>
      </c>
      <c r="H239" s="61" t="s">
        <v>1139</v>
      </c>
      <c r="I239" s="73" t="s">
        <v>990</v>
      </c>
      <c r="J239" s="72"/>
      <c r="K239" s="87"/>
    </row>
    <row r="240" spans="1:11" ht="15" customHeight="1">
      <c r="A240" s="61" t="s">
        <v>1131</v>
      </c>
      <c r="B240" s="61" t="s">
        <v>1122</v>
      </c>
      <c r="C240" s="61" t="s">
        <v>79</v>
      </c>
      <c r="D240" s="63"/>
      <c r="E240" s="63"/>
      <c r="F240" s="63">
        <f>Data[[#This Row],[Import]]+Data[[#This Row],[Last month]]-Data[[#This Row],[Export]]</f>
        <v>1</v>
      </c>
      <c r="G240" s="63">
        <v>1</v>
      </c>
      <c r="H240" s="61" t="s">
        <v>1140</v>
      </c>
      <c r="I240" s="73" t="s">
        <v>990</v>
      </c>
      <c r="J240" s="72"/>
      <c r="K240" s="87"/>
    </row>
    <row r="241" spans="1:11" ht="15" customHeight="1">
      <c r="A241" s="61" t="s">
        <v>1132</v>
      </c>
      <c r="B241" s="61" t="s">
        <v>1122</v>
      </c>
      <c r="C241" s="61" t="s">
        <v>79</v>
      </c>
      <c r="D241" s="63"/>
      <c r="E241" s="63"/>
      <c r="F241" s="63">
        <f>Data[[#This Row],[Import]]+Data[[#This Row],[Last month]]-Data[[#This Row],[Export]]</f>
        <v>1</v>
      </c>
      <c r="G241" s="63">
        <v>1</v>
      </c>
      <c r="H241" s="61" t="s">
        <v>1141</v>
      </c>
      <c r="I241" s="73" t="s">
        <v>990</v>
      </c>
      <c r="J241" s="72"/>
      <c r="K241" s="87"/>
    </row>
    <row r="242" spans="1:11" ht="15" customHeight="1">
      <c r="A242" s="61" t="s">
        <v>1143</v>
      </c>
      <c r="B242" s="61" t="s">
        <v>1142</v>
      </c>
      <c r="C242" s="61" t="s">
        <v>79</v>
      </c>
      <c r="D242" s="63"/>
      <c r="E242" s="63"/>
      <c r="F242" s="63">
        <f>Data[[#This Row],[Import]]+Data[[#This Row],[Last month]]-Data[[#This Row],[Export]]</f>
        <v>1</v>
      </c>
      <c r="G242" s="63">
        <v>1</v>
      </c>
      <c r="H242" s="61" t="s">
        <v>1144</v>
      </c>
      <c r="I242" s="73" t="s">
        <v>990</v>
      </c>
      <c r="J242" s="72"/>
      <c r="K242" s="87"/>
    </row>
    <row r="243" spans="1:11" ht="15" customHeight="1">
      <c r="A243" s="61" t="s">
        <v>1163</v>
      </c>
      <c r="B243" s="61" t="s">
        <v>1120</v>
      </c>
      <c r="C243" s="61" t="s">
        <v>79</v>
      </c>
      <c r="D243" s="63"/>
      <c r="E243" s="63"/>
      <c r="F243" s="63">
        <f>Data[[#This Row],[Import]]+Data[[#This Row],[Last month]]-Data[[#This Row],[Export]]</f>
        <v>3</v>
      </c>
      <c r="G243" s="63">
        <v>3</v>
      </c>
      <c r="H243" s="61" t="s">
        <v>1164</v>
      </c>
      <c r="I243" s="73" t="s">
        <v>990</v>
      </c>
      <c r="J243" s="72"/>
      <c r="K243" s="87"/>
    </row>
    <row r="244" spans="1:11" ht="15" customHeight="1">
      <c r="A244" s="61" t="s">
        <v>1179</v>
      </c>
      <c r="B244" s="61" t="s">
        <v>1276</v>
      </c>
      <c r="C244" s="61" t="s">
        <v>79</v>
      </c>
      <c r="D244" s="63"/>
      <c r="E244" s="63"/>
      <c r="F244" s="63">
        <f>Data[[#This Row],[Import]]+Data[[#This Row],[Last month]]-Data[[#This Row],[Export]]</f>
        <v>200</v>
      </c>
      <c r="G244" s="63">
        <v>200</v>
      </c>
      <c r="H244" s="61" t="s">
        <v>1171</v>
      </c>
      <c r="I244" s="73" t="s">
        <v>1170</v>
      </c>
      <c r="J244" s="72"/>
      <c r="K244" s="87"/>
    </row>
    <row r="245" spans="1:11" ht="15" customHeight="1">
      <c r="A245" s="61" t="s">
        <v>1180</v>
      </c>
      <c r="B245" s="61" t="s">
        <v>1277</v>
      </c>
      <c r="C245" s="61" t="s">
        <v>79</v>
      </c>
      <c r="D245" s="63"/>
      <c r="E245" s="63"/>
      <c r="F245" s="63">
        <f>Data[[#This Row],[Import]]+Data[[#This Row],[Last month]]-Data[[#This Row],[Export]]</f>
        <v>200</v>
      </c>
      <c r="G245" s="63">
        <v>200</v>
      </c>
      <c r="H245" s="61" t="s">
        <v>1172</v>
      </c>
      <c r="I245" s="73" t="s">
        <v>1170</v>
      </c>
      <c r="J245" s="72"/>
      <c r="K245" s="87"/>
    </row>
    <row r="246" spans="1:11" ht="15" customHeight="1">
      <c r="A246" s="61" t="s">
        <v>1181</v>
      </c>
      <c r="B246" s="61" t="s">
        <v>1278</v>
      </c>
      <c r="C246" s="61" t="s">
        <v>79</v>
      </c>
      <c r="D246" s="63"/>
      <c r="E246" s="63"/>
      <c r="F246" s="63">
        <f>Data[[#This Row],[Import]]+Data[[#This Row],[Last month]]-Data[[#This Row],[Export]]</f>
        <v>185</v>
      </c>
      <c r="G246" s="63">
        <v>185</v>
      </c>
      <c r="H246" s="61" t="s">
        <v>1173</v>
      </c>
      <c r="I246" s="73" t="s">
        <v>1170</v>
      </c>
      <c r="J246" s="72"/>
      <c r="K246" s="87"/>
    </row>
    <row r="247" spans="1:11" ht="15" customHeight="1">
      <c r="A247" s="61" t="s">
        <v>1182</v>
      </c>
      <c r="B247" s="61" t="s">
        <v>1279</v>
      </c>
      <c r="C247" s="61" t="s">
        <v>79</v>
      </c>
      <c r="D247" s="63"/>
      <c r="E247" s="63"/>
      <c r="F247" s="63">
        <f>Data[[#This Row],[Import]]+Data[[#This Row],[Last month]]-Data[[#This Row],[Export]]</f>
        <v>185</v>
      </c>
      <c r="G247" s="63">
        <v>185</v>
      </c>
      <c r="H247" s="61" t="s">
        <v>1174</v>
      </c>
      <c r="I247" s="73" t="s">
        <v>1170</v>
      </c>
      <c r="J247" s="72"/>
      <c r="K247" s="87"/>
    </row>
    <row r="248" spans="1:11" ht="15" customHeight="1">
      <c r="A248" s="61" t="s">
        <v>1183</v>
      </c>
      <c r="B248" s="61" t="s">
        <v>1177</v>
      </c>
      <c r="C248" s="61" t="s">
        <v>79</v>
      </c>
      <c r="D248" s="63"/>
      <c r="E248" s="63"/>
      <c r="F248" s="63">
        <f>Data[[#This Row],[Import]]+Data[[#This Row],[Last month]]-Data[[#This Row],[Export]]</f>
        <v>1350</v>
      </c>
      <c r="G248" s="63">
        <v>1350</v>
      </c>
      <c r="H248" s="61" t="s">
        <v>1175</v>
      </c>
      <c r="I248" s="73" t="s">
        <v>1170</v>
      </c>
      <c r="J248" s="72"/>
      <c r="K248" s="87"/>
    </row>
    <row r="249" spans="1:11" ht="15" customHeight="1">
      <c r="A249" s="61" t="s">
        <v>1184</v>
      </c>
      <c r="B249" s="61" t="s">
        <v>1178</v>
      </c>
      <c r="C249" s="61" t="s">
        <v>79</v>
      </c>
      <c r="D249" s="63"/>
      <c r="E249" s="63"/>
      <c r="F249" s="63">
        <f>Data[[#This Row],[Import]]+Data[[#This Row],[Last month]]-Data[[#This Row],[Export]]</f>
        <v>2450</v>
      </c>
      <c r="G249" s="63">
        <v>2450</v>
      </c>
      <c r="H249" s="61" t="s">
        <v>1176</v>
      </c>
      <c r="I249" s="73" t="s">
        <v>1170</v>
      </c>
      <c r="J249" s="72"/>
      <c r="K249" s="87"/>
    </row>
    <row r="250" spans="1:11" ht="15" customHeight="1">
      <c r="A250" s="99" t="s">
        <v>1190</v>
      </c>
      <c r="B250" s="102" t="s">
        <v>1194</v>
      </c>
      <c r="C250" s="99" t="s">
        <v>79</v>
      </c>
      <c r="D250" s="63"/>
      <c r="E250" s="114"/>
      <c r="F250" s="63">
        <f>Data[[#This Row],[Import]]+Data[[#This Row],[Last month]]-Data[[#This Row],[Export]]</f>
        <v>0</v>
      </c>
      <c r="G250" s="114">
        <v>0</v>
      </c>
      <c r="H250" s="99" t="s">
        <v>1186</v>
      </c>
      <c r="I250" s="73" t="s">
        <v>1170</v>
      </c>
      <c r="J250" s="100"/>
      <c r="K250" s="101"/>
    </row>
    <row r="251" spans="1:11" ht="15" customHeight="1">
      <c r="A251" s="99" t="s">
        <v>1191</v>
      </c>
      <c r="B251" s="102" t="s">
        <v>1195</v>
      </c>
      <c r="C251" s="99" t="s">
        <v>79</v>
      </c>
      <c r="D251" s="63"/>
      <c r="E251" s="114"/>
      <c r="F251" s="63">
        <f>Data[[#This Row],[Import]]+Data[[#This Row],[Last month]]-Data[[#This Row],[Export]]</f>
        <v>0</v>
      </c>
      <c r="G251" s="114">
        <v>0</v>
      </c>
      <c r="H251" s="99" t="s">
        <v>1187</v>
      </c>
      <c r="I251" s="73" t="s">
        <v>1170</v>
      </c>
      <c r="J251" s="100"/>
      <c r="K251" s="101"/>
    </row>
    <row r="252" spans="1:11" ht="15" customHeight="1">
      <c r="A252" s="99" t="s">
        <v>1192</v>
      </c>
      <c r="B252" s="61" t="s">
        <v>1228</v>
      </c>
      <c r="C252" s="99" t="s">
        <v>79</v>
      </c>
      <c r="D252" s="63"/>
      <c r="E252" s="114"/>
      <c r="F252" s="63">
        <f>Data[[#This Row],[Import]]+Data[[#This Row],[Last month]]-Data[[#This Row],[Export]]</f>
        <v>0</v>
      </c>
      <c r="G252" s="114">
        <v>0</v>
      </c>
      <c r="H252" s="99" t="s">
        <v>1188</v>
      </c>
      <c r="I252" s="73" t="s">
        <v>1170</v>
      </c>
      <c r="J252" s="100"/>
      <c r="K252" s="101"/>
    </row>
    <row r="253" spans="1:11" ht="15" customHeight="1">
      <c r="A253" s="99" t="s">
        <v>1193</v>
      </c>
      <c r="B253" s="61" t="s">
        <v>1229</v>
      </c>
      <c r="C253" s="99" t="s">
        <v>79</v>
      </c>
      <c r="D253" s="63"/>
      <c r="E253" s="114"/>
      <c r="F253" s="63">
        <f>Data[[#This Row],[Import]]+Data[[#This Row],[Last month]]-Data[[#This Row],[Export]]</f>
        <v>0</v>
      </c>
      <c r="G253" s="114">
        <v>0</v>
      </c>
      <c r="H253" s="61" t="s">
        <v>1189</v>
      </c>
      <c r="I253" s="73" t="s">
        <v>1170</v>
      </c>
      <c r="J253" s="100"/>
      <c r="K253" s="101"/>
    </row>
    <row r="254" spans="1:11" ht="15" customHeight="1">
      <c r="A254" s="61" t="s">
        <v>1197</v>
      </c>
      <c r="B254" s="61" t="s">
        <v>1196</v>
      </c>
      <c r="C254" s="61" t="s">
        <v>82</v>
      </c>
      <c r="D254" s="63"/>
      <c r="E254" s="63"/>
      <c r="F254" s="63">
        <f>Data[[#This Row],[Import]]+Data[[#This Row],[Last month]]-Data[[#This Row],[Export]]</f>
        <v>400</v>
      </c>
      <c r="G254" s="63">
        <v>400</v>
      </c>
      <c r="H254" s="61" t="s">
        <v>1198</v>
      </c>
      <c r="I254" s="73" t="s">
        <v>1170</v>
      </c>
      <c r="J254" s="72"/>
      <c r="K254" s="87"/>
    </row>
    <row r="255" spans="1:11" ht="15" customHeight="1">
      <c r="A255" s="61" t="s">
        <v>1203</v>
      </c>
      <c r="B255" s="61" t="s">
        <v>1204</v>
      </c>
      <c r="C255" s="61" t="s">
        <v>97</v>
      </c>
      <c r="D255" s="63"/>
      <c r="E255" s="63"/>
      <c r="F255" s="63">
        <f>Data[[#This Row],[Import]]+Data[[#This Row],[Last month]]-Data[[#This Row],[Export]]</f>
        <v>14</v>
      </c>
      <c r="G255" s="63">
        <v>14</v>
      </c>
      <c r="H255" s="61" t="s">
        <v>1202</v>
      </c>
      <c r="I255" s="73" t="s">
        <v>1170</v>
      </c>
      <c r="J255" s="72"/>
      <c r="K255" s="87"/>
    </row>
    <row r="256" spans="1:11" ht="15" customHeight="1">
      <c r="A256" s="61" t="s">
        <v>1081</v>
      </c>
      <c r="B256" s="61" t="s">
        <v>1079</v>
      </c>
      <c r="C256" s="61" t="s">
        <v>97</v>
      </c>
      <c r="D256" s="63"/>
      <c r="E256" s="63"/>
      <c r="F256" s="63">
        <f>Data[[#This Row],[Import]]+Data[[#This Row],[Last month]]-Data[[#This Row],[Export]]</f>
        <v>20</v>
      </c>
      <c r="G256" s="63">
        <v>20</v>
      </c>
      <c r="H256" s="61" t="s">
        <v>1209</v>
      </c>
      <c r="I256" s="73" t="s">
        <v>1170</v>
      </c>
      <c r="J256" s="72"/>
      <c r="K256" s="87"/>
    </row>
    <row r="257" spans="1:11" ht="15" customHeight="1">
      <c r="A257" s="61" t="s">
        <v>1082</v>
      </c>
      <c r="B257" s="61" t="s">
        <v>1080</v>
      </c>
      <c r="C257" s="61" t="s">
        <v>97</v>
      </c>
      <c r="D257" s="63"/>
      <c r="E257" s="63"/>
      <c r="F257" s="63">
        <f>Data[[#This Row],[Import]]+Data[[#This Row],[Last month]]-Data[[#This Row],[Export]]</f>
        <v>20</v>
      </c>
      <c r="G257" s="63">
        <v>20</v>
      </c>
      <c r="H257" s="61" t="s">
        <v>1210</v>
      </c>
      <c r="I257" s="73" t="s">
        <v>1170</v>
      </c>
      <c r="J257" s="72"/>
      <c r="K257" s="87"/>
    </row>
    <row r="258" spans="1:11" ht="15" customHeight="1">
      <c r="A258" s="61" t="s">
        <v>1218</v>
      </c>
      <c r="B258" s="61" t="s">
        <v>1219</v>
      </c>
      <c r="C258" s="61" t="s">
        <v>79</v>
      </c>
      <c r="D258" s="63"/>
      <c r="E258" s="63"/>
      <c r="F258" s="63">
        <f>Data[[#This Row],[Import]]+Data[[#This Row],[Last month]]-Data[[#This Row],[Export]]</f>
        <v>1</v>
      </c>
      <c r="G258" s="63">
        <v>1</v>
      </c>
      <c r="H258" s="61" t="s">
        <v>1220</v>
      </c>
      <c r="I258" s="73" t="s">
        <v>1221</v>
      </c>
      <c r="J258" s="72"/>
      <c r="K258" s="87"/>
    </row>
    <row r="259" spans="1:11" ht="15" customHeight="1">
      <c r="A259" s="61" t="s">
        <v>1293</v>
      </c>
      <c r="B259" s="61" t="s">
        <v>1195</v>
      </c>
      <c r="C259" s="61" t="s">
        <v>79</v>
      </c>
      <c r="D259" s="63"/>
      <c r="E259" s="63"/>
      <c r="F259" s="63">
        <f>Data[[#This Row],[Import]]+Data[[#This Row],[Last month]]-Data[[#This Row],[Export]]</f>
        <v>0</v>
      </c>
      <c r="G259" s="63">
        <v>0</v>
      </c>
      <c r="H259" s="61" t="s">
        <v>1291</v>
      </c>
      <c r="I259" s="73" t="s">
        <v>1170</v>
      </c>
      <c r="J259" s="72"/>
      <c r="K259" s="87"/>
    </row>
    <row r="260" spans="1:11" ht="15" customHeight="1">
      <c r="A260" s="61" t="s">
        <v>1294</v>
      </c>
      <c r="B260" s="61" t="s">
        <v>1295</v>
      </c>
      <c r="C260" s="61" t="s">
        <v>79</v>
      </c>
      <c r="D260" s="63"/>
      <c r="E260" s="63"/>
      <c r="F260" s="63">
        <f>Data[[#This Row],[Import]]+Data[[#This Row],[Last month]]-Data[[#This Row],[Export]]</f>
        <v>0</v>
      </c>
      <c r="G260" s="63">
        <v>0</v>
      </c>
      <c r="H260" s="61" t="s">
        <v>1292</v>
      </c>
      <c r="I260" s="73" t="s">
        <v>1170</v>
      </c>
      <c r="J260" s="72"/>
      <c r="K260" s="87"/>
    </row>
    <row r="261" spans="1:11" ht="15" customHeight="1">
      <c r="A261" s="61" t="s">
        <v>1303</v>
      </c>
      <c r="B261" s="61" t="s">
        <v>1112</v>
      </c>
      <c r="C261" s="61" t="s">
        <v>79</v>
      </c>
      <c r="D261" s="63"/>
      <c r="E261" s="63"/>
      <c r="F261" s="63">
        <f>Data[[#This Row],[Import]]+Data[[#This Row],[Last month]]-Data[[#This Row],[Export]]</f>
        <v>15000</v>
      </c>
      <c r="G261" s="63">
        <v>15000</v>
      </c>
      <c r="H261" s="61" t="s">
        <v>1301</v>
      </c>
      <c r="I261" s="73" t="s">
        <v>1170</v>
      </c>
      <c r="J261" s="117"/>
      <c r="K261" s="87"/>
    </row>
    <row r="262" spans="1:11" ht="15" customHeight="1">
      <c r="A262" s="61" t="s">
        <v>1304</v>
      </c>
      <c r="B262" s="61" t="s">
        <v>1113</v>
      </c>
      <c r="C262" s="61" t="s">
        <v>79</v>
      </c>
      <c r="D262" s="63"/>
      <c r="E262" s="63"/>
      <c r="F262" s="63">
        <f>Data[[#This Row],[Import]]+Data[[#This Row],[Last month]]-Data[[#This Row],[Export]]</f>
        <v>15000</v>
      </c>
      <c r="G262" s="63">
        <v>15000</v>
      </c>
      <c r="H262" s="61" t="s">
        <v>1302</v>
      </c>
      <c r="I262" s="73" t="s">
        <v>1170</v>
      </c>
      <c r="J262" s="117"/>
      <c r="K262" s="87"/>
    </row>
    <row r="263" spans="1:11" ht="15" customHeight="1">
      <c r="A263" s="61" t="s">
        <v>1306</v>
      </c>
      <c r="B263" s="61" t="s">
        <v>1307</v>
      </c>
      <c r="C263" s="61" t="s">
        <v>79</v>
      </c>
      <c r="D263" s="63"/>
      <c r="E263" s="63"/>
      <c r="F263" s="63">
        <f>Data[[#This Row],[Import]]+Data[[#This Row],[Last month]]-Data[[#This Row],[Export]]</f>
        <v>0</v>
      </c>
      <c r="G263" s="63">
        <v>0</v>
      </c>
      <c r="H263" s="61" t="s">
        <v>1305</v>
      </c>
      <c r="I263" s="73" t="s">
        <v>1170</v>
      </c>
      <c r="J263" s="117"/>
      <c r="K263" s="87"/>
    </row>
    <row r="264" spans="1:11" ht="15" customHeight="1">
      <c r="A264" s="61" t="s">
        <v>108</v>
      </c>
      <c r="B264" s="61" t="s">
        <v>116</v>
      </c>
      <c r="C264" s="61" t="s">
        <v>81</v>
      </c>
      <c r="D264" s="63"/>
      <c r="E264" s="63"/>
      <c r="F264" s="63">
        <f>Data[[#This Row],[Import]]+Data[[#This Row],[Last month]]-Data[[#This Row],[Export]]</f>
        <v>415</v>
      </c>
      <c r="G264" s="63">
        <v>415</v>
      </c>
      <c r="H264" s="61" t="s">
        <v>325</v>
      </c>
      <c r="I264" s="116" t="s">
        <v>430</v>
      </c>
      <c r="J264" s="117" t="s">
        <v>1312</v>
      </c>
      <c r="K264" s="87"/>
    </row>
    <row r="265" spans="1:11" ht="15" customHeight="1">
      <c r="A265" s="61" t="s">
        <v>111</v>
      </c>
      <c r="B265" s="61" t="s">
        <v>112</v>
      </c>
      <c r="C265" s="61" t="s">
        <v>84</v>
      </c>
      <c r="D265" s="63"/>
      <c r="E265" s="63"/>
      <c r="F265" s="63">
        <f>Data[[#This Row],[Import]]+Data[[#This Row],[Last month]]-Data[[#This Row],[Export]]</f>
        <v>7</v>
      </c>
      <c r="G265" s="63">
        <v>7</v>
      </c>
      <c r="H265" s="61" t="s">
        <v>1399</v>
      </c>
      <c r="I265" s="116" t="s">
        <v>430</v>
      </c>
      <c r="J265" s="117"/>
      <c r="K265" s="87"/>
    </row>
    <row r="266" spans="1:11" ht="15" customHeight="1">
      <c r="A266" s="61" t="s">
        <v>105</v>
      </c>
      <c r="B266" s="61" t="s">
        <v>616</v>
      </c>
      <c r="C266" s="61" t="s">
        <v>92</v>
      </c>
      <c r="D266" s="63"/>
      <c r="E266" s="63"/>
      <c r="F266" s="63">
        <f>Data[[#This Row],[Import]]+Data[[#This Row],[Last month]]-Data[[#This Row],[Export]]</f>
        <v>1000</v>
      </c>
      <c r="G266" s="63">
        <v>1000</v>
      </c>
      <c r="H266" s="61" t="s">
        <v>352</v>
      </c>
      <c r="I266" s="116" t="s">
        <v>430</v>
      </c>
      <c r="J266" s="117"/>
      <c r="K266" s="87"/>
    </row>
    <row r="267" spans="1:11" ht="15" customHeight="1">
      <c r="A267" s="61" t="s">
        <v>106</v>
      </c>
      <c r="B267" s="61" t="s">
        <v>109</v>
      </c>
      <c r="C267" s="61" t="s">
        <v>229</v>
      </c>
      <c r="D267" s="63"/>
      <c r="E267" s="63"/>
      <c r="F267" s="63">
        <f>Data[[#This Row],[Import]]+Data[[#This Row],[Last month]]-Data[[#This Row],[Export]]</f>
        <v>2</v>
      </c>
      <c r="G267" s="63">
        <v>2</v>
      </c>
      <c r="H267" s="61" t="s">
        <v>1400</v>
      </c>
      <c r="I267" s="116" t="s">
        <v>430</v>
      </c>
      <c r="J267" s="117"/>
      <c r="K267" s="87"/>
    </row>
    <row r="268" spans="1:11" ht="15" customHeight="1">
      <c r="A268" s="68" t="s">
        <v>107</v>
      </c>
      <c r="B268" s="68" t="s">
        <v>110</v>
      </c>
      <c r="C268" s="68" t="s">
        <v>229</v>
      </c>
      <c r="D268" s="107"/>
      <c r="E268" s="107"/>
      <c r="F268" s="63">
        <f>Data[[#This Row],[Import]]+Data[[#This Row],[Last month]]-Data[[#This Row],[Export]]</f>
        <v>2</v>
      </c>
      <c r="G268" s="63">
        <v>2</v>
      </c>
      <c r="H268" s="61" t="s">
        <v>361</v>
      </c>
      <c r="I268" s="73" t="s">
        <v>430</v>
      </c>
      <c r="J268" s="72"/>
      <c r="K268" s="87"/>
    </row>
    <row r="269" spans="1:11" ht="15" customHeight="1">
      <c r="A269" s="61" t="s">
        <v>389</v>
      </c>
      <c r="B269" s="61" t="s">
        <v>432</v>
      </c>
      <c r="C269" s="61" t="s">
        <v>229</v>
      </c>
      <c r="D269" s="63"/>
      <c r="E269" s="63"/>
      <c r="F269" s="63">
        <f>Data[[#This Row],[Import]]+Data[[#This Row],[Last month]]-Data[[#This Row],[Export]]</f>
        <v>4</v>
      </c>
      <c r="G269" s="63">
        <v>4</v>
      </c>
      <c r="H269" s="61" t="s">
        <v>434</v>
      </c>
      <c r="I269" s="73" t="s">
        <v>430</v>
      </c>
      <c r="J269" s="73"/>
      <c r="K269" s="87"/>
    </row>
    <row r="270" spans="1:11" ht="15" customHeight="1">
      <c r="A270" s="61" t="s">
        <v>391</v>
      </c>
      <c r="B270" s="61" t="s">
        <v>433</v>
      </c>
      <c r="C270" s="61" t="s">
        <v>229</v>
      </c>
      <c r="D270" s="63"/>
      <c r="E270" s="63"/>
      <c r="F270" s="63">
        <f>Data[[#This Row],[Import]]+Data[[#This Row],[Last month]]-Data[[#This Row],[Export]]</f>
        <v>6</v>
      </c>
      <c r="G270" s="63">
        <v>6</v>
      </c>
      <c r="H270" s="61" t="s">
        <v>435</v>
      </c>
      <c r="I270" s="73" t="s">
        <v>430</v>
      </c>
      <c r="J270" s="73"/>
      <c r="K270" s="87"/>
    </row>
    <row r="271" spans="1:11" ht="15" customHeight="1">
      <c r="A271" s="61" t="s">
        <v>412</v>
      </c>
      <c r="B271" s="61" t="s">
        <v>413</v>
      </c>
      <c r="C271" s="61" t="s">
        <v>79</v>
      </c>
      <c r="D271" s="63"/>
      <c r="E271" s="63"/>
      <c r="F271" s="63">
        <f>Data[[#This Row],[Import]]+Data[[#This Row],[Last month]]-Data[[#This Row],[Export]]</f>
        <v>2</v>
      </c>
      <c r="G271" s="63">
        <v>2</v>
      </c>
      <c r="H271" s="61" t="s">
        <v>448</v>
      </c>
      <c r="I271" s="73" t="s">
        <v>430</v>
      </c>
      <c r="J271" s="72"/>
      <c r="K271" s="87"/>
    </row>
    <row r="272" spans="1:11" ht="15" customHeight="1">
      <c r="A272" s="61" t="s">
        <v>421</v>
      </c>
      <c r="B272" s="61" t="s">
        <v>422</v>
      </c>
      <c r="C272" s="61" t="s">
        <v>229</v>
      </c>
      <c r="D272" s="63"/>
      <c r="E272" s="63"/>
      <c r="F272" s="63">
        <f>Data[[#This Row],[Import]]+Data[[#This Row],[Last month]]-Data[[#This Row],[Export]]</f>
        <v>0</v>
      </c>
      <c r="G272" s="63">
        <v>0</v>
      </c>
      <c r="H272" s="61" t="s">
        <v>494</v>
      </c>
      <c r="I272" s="73" t="s">
        <v>430</v>
      </c>
      <c r="J272" s="72"/>
      <c r="K272" s="87"/>
    </row>
    <row r="273" spans="1:11" ht="15" customHeight="1">
      <c r="A273" s="61" t="s">
        <v>618</v>
      </c>
      <c r="B273" s="61" t="s">
        <v>621</v>
      </c>
      <c r="C273" s="61" t="s">
        <v>88</v>
      </c>
      <c r="D273" s="63"/>
      <c r="E273" s="63"/>
      <c r="F273" s="63">
        <f>Data[[#This Row],[Import]]+Data[[#This Row],[Last month]]-Data[[#This Row],[Export]]</f>
        <v>0</v>
      </c>
      <c r="G273" s="63">
        <v>0</v>
      </c>
      <c r="H273" s="61" t="s">
        <v>642</v>
      </c>
      <c r="I273" s="73" t="s">
        <v>563</v>
      </c>
      <c r="J273" s="73"/>
      <c r="K273" s="87"/>
    </row>
    <row r="274" spans="1:11" ht="15" customHeight="1">
      <c r="A274" s="61" t="s">
        <v>619</v>
      </c>
      <c r="B274" s="61" t="s">
        <v>620</v>
      </c>
      <c r="C274" s="61" t="s">
        <v>88</v>
      </c>
      <c r="D274" s="63"/>
      <c r="E274" s="63"/>
      <c r="F274" s="63">
        <f>Data[[#This Row],[Import]]+Data[[#This Row],[Last month]]-Data[[#This Row],[Export]]</f>
        <v>0</v>
      </c>
      <c r="G274" s="63">
        <v>0</v>
      </c>
      <c r="H274" s="61" t="s">
        <v>643</v>
      </c>
      <c r="I274" s="73" t="s">
        <v>563</v>
      </c>
      <c r="J274" s="73"/>
      <c r="K274" s="87"/>
    </row>
    <row r="275" spans="1:11" ht="15" customHeight="1">
      <c r="A275" s="61" t="s">
        <v>527</v>
      </c>
      <c r="B275" s="61" t="s">
        <v>528</v>
      </c>
      <c r="C275" s="61" t="s">
        <v>229</v>
      </c>
      <c r="D275" s="63"/>
      <c r="E275" s="63"/>
      <c r="F275" s="63">
        <f>Data[[#This Row],[Import]]+Data[[#This Row],[Last month]]-Data[[#This Row],[Export]]</f>
        <v>2</v>
      </c>
      <c r="G275" s="63">
        <v>2</v>
      </c>
      <c r="H275" s="61" t="s">
        <v>561</v>
      </c>
      <c r="I275" s="73" t="s">
        <v>563</v>
      </c>
      <c r="J275" s="72" t="s">
        <v>1158</v>
      </c>
      <c r="K275" s="87"/>
    </row>
    <row r="276" spans="1:11" ht="15" customHeight="1">
      <c r="A276" s="61" t="s">
        <v>532</v>
      </c>
      <c r="B276" s="61" t="s">
        <v>534</v>
      </c>
      <c r="C276" s="61" t="s">
        <v>229</v>
      </c>
      <c r="D276" s="63">
        <v>2</v>
      </c>
      <c r="E276" s="63"/>
      <c r="F276" s="63">
        <f>Data[[#This Row],[Import]]+Data[[#This Row],[Last month]]-Data[[#This Row],[Export]]</f>
        <v>2</v>
      </c>
      <c r="G276" s="63">
        <v>0</v>
      </c>
      <c r="H276" s="61" t="s">
        <v>562</v>
      </c>
      <c r="I276" s="73" t="s">
        <v>563</v>
      </c>
      <c r="J276" s="72"/>
      <c r="K276" s="87"/>
    </row>
    <row r="277" spans="1:11" ht="15" customHeight="1">
      <c r="A277" s="61" t="s">
        <v>533</v>
      </c>
      <c r="B277" s="61" t="s">
        <v>535</v>
      </c>
      <c r="C277" s="61" t="s">
        <v>229</v>
      </c>
      <c r="D277" s="63"/>
      <c r="E277" s="63"/>
      <c r="F277" s="63">
        <f>Data[[#This Row],[Import]]+Data[[#This Row],[Last month]]-Data[[#This Row],[Export]]</f>
        <v>0</v>
      </c>
      <c r="G277" s="63">
        <v>0</v>
      </c>
      <c r="H277" s="61" t="s">
        <v>560</v>
      </c>
      <c r="I277" s="73" t="s">
        <v>563</v>
      </c>
      <c r="J277" s="72"/>
      <c r="K277" s="87"/>
    </row>
    <row r="278" spans="1:11" ht="15" customHeight="1">
      <c r="A278" s="61" t="s">
        <v>864</v>
      </c>
      <c r="B278" s="61" t="s">
        <v>1465</v>
      </c>
      <c r="C278" s="61" t="s">
        <v>79</v>
      </c>
      <c r="D278" s="63"/>
      <c r="E278" s="63"/>
      <c r="F278" s="63">
        <v>0</v>
      </c>
      <c r="G278" s="63">
        <v>0</v>
      </c>
      <c r="H278" s="61" t="s">
        <v>1466</v>
      </c>
      <c r="I278" s="73" t="s">
        <v>563</v>
      </c>
      <c r="J278" s="72"/>
      <c r="K278" s="87"/>
    </row>
    <row r="279" spans="1:11" ht="15" customHeight="1">
      <c r="A279" s="61" t="s">
        <v>867</v>
      </c>
      <c r="B279" s="61" t="s">
        <v>868</v>
      </c>
      <c r="C279" s="61" t="s">
        <v>229</v>
      </c>
      <c r="D279" s="63"/>
      <c r="E279" s="63"/>
      <c r="F279" s="63">
        <v>0</v>
      </c>
      <c r="G279" s="63">
        <v>0</v>
      </c>
      <c r="H279" s="61" t="s">
        <v>1467</v>
      </c>
      <c r="I279" s="73" t="s">
        <v>563</v>
      </c>
      <c r="J279" s="72">
        <v>4200000</v>
      </c>
      <c r="K279" s="87"/>
    </row>
    <row r="280" spans="1:11" ht="15" customHeight="1">
      <c r="A280" s="61" t="s">
        <v>940</v>
      </c>
      <c r="B280" s="61" t="s">
        <v>939</v>
      </c>
      <c r="C280" s="61" t="s">
        <v>229</v>
      </c>
      <c r="D280" s="63"/>
      <c r="E280" s="63"/>
      <c r="F280" s="63">
        <v>0</v>
      </c>
      <c r="G280" s="63">
        <v>0</v>
      </c>
      <c r="H280" s="61" t="s">
        <v>1468</v>
      </c>
      <c r="I280" s="73" t="s">
        <v>563</v>
      </c>
      <c r="J280" s="72">
        <v>338400</v>
      </c>
      <c r="K280" s="87"/>
    </row>
    <row r="281" spans="1:11" ht="15" customHeight="1">
      <c r="A281" s="61" t="s">
        <v>707</v>
      </c>
      <c r="B281" s="61" t="s">
        <v>708</v>
      </c>
      <c r="C281" s="61" t="s">
        <v>84</v>
      </c>
      <c r="D281" s="63"/>
      <c r="E281" s="63"/>
      <c r="F281" s="63">
        <f>Data[[#This Row],[Import]]+Data[[#This Row],[Last month]]-Data[[#This Row],[Export]]</f>
        <v>0</v>
      </c>
      <c r="G281" s="63">
        <v>0</v>
      </c>
      <c r="H281" s="61" t="s">
        <v>897</v>
      </c>
      <c r="I281" s="73" t="s">
        <v>430</v>
      </c>
      <c r="J281" s="72">
        <v>5980000</v>
      </c>
      <c r="K281" s="87"/>
    </row>
    <row r="282" spans="1:11" ht="15" customHeight="1">
      <c r="A282" s="61" t="s">
        <v>831</v>
      </c>
      <c r="B282" s="61" t="s">
        <v>907</v>
      </c>
      <c r="C282" s="61" t="s">
        <v>87</v>
      </c>
      <c r="D282" s="63"/>
      <c r="E282" s="63"/>
      <c r="F282" s="63">
        <f>Data[[#This Row],[Import]]+Data[[#This Row],[Last month]]-Data[[#This Row],[Export]]</f>
        <v>0</v>
      </c>
      <c r="G282" s="63">
        <v>0</v>
      </c>
      <c r="H282" s="61" t="s">
        <v>906</v>
      </c>
      <c r="I282" s="73" t="s">
        <v>430</v>
      </c>
      <c r="J282" s="72">
        <v>10000000</v>
      </c>
      <c r="K282" s="87"/>
    </row>
    <row r="283" spans="1:11" ht="15" customHeight="1">
      <c r="A283" s="61" t="s">
        <v>684</v>
      </c>
      <c r="B283" s="61" t="s">
        <v>683</v>
      </c>
      <c r="C283" s="61" t="s">
        <v>81</v>
      </c>
      <c r="D283" s="63"/>
      <c r="E283" s="63"/>
      <c r="F283" s="63">
        <f>Data[[#This Row],[Import]]+Data[[#This Row],[Last month]]-Data[[#This Row],[Export]]</f>
        <v>8</v>
      </c>
      <c r="G283" s="63">
        <v>8</v>
      </c>
      <c r="H283" s="61" t="s">
        <v>953</v>
      </c>
      <c r="I283" s="73" t="s">
        <v>1274</v>
      </c>
      <c r="J283" s="62"/>
      <c r="K283" s="89">
        <v>221.75</v>
      </c>
    </row>
    <row r="284" spans="1:11" ht="15" customHeight="1">
      <c r="A284" s="61" t="s">
        <v>980</v>
      </c>
      <c r="B284" s="61" t="s">
        <v>981</v>
      </c>
      <c r="C284" s="61" t="s">
        <v>92</v>
      </c>
      <c r="D284" s="63"/>
      <c r="E284" s="63"/>
      <c r="F284" s="63">
        <f>Data[[#This Row],[Import]]+Data[[#This Row],[Last month]]-Data[[#This Row],[Export]]</f>
        <v>0</v>
      </c>
      <c r="G284" s="63">
        <v>0</v>
      </c>
      <c r="H284" s="61" t="s">
        <v>979</v>
      </c>
      <c r="I284" s="73" t="s">
        <v>430</v>
      </c>
      <c r="J284" s="72">
        <v>40000</v>
      </c>
      <c r="K284" s="87"/>
    </row>
    <row r="285" spans="1:11" ht="15" customHeight="1">
      <c r="A285" s="61" t="s">
        <v>1004</v>
      </c>
      <c r="B285" s="61" t="s">
        <v>1003</v>
      </c>
      <c r="C285" s="61" t="s">
        <v>79</v>
      </c>
      <c r="D285" s="63"/>
      <c r="E285" s="63"/>
      <c r="F285" s="63">
        <f>Data[[#This Row],[Import]]+Data[[#This Row],[Last month]]-Data[[#This Row],[Export]]</f>
        <v>225</v>
      </c>
      <c r="G285" s="63">
        <v>225</v>
      </c>
      <c r="H285" s="61" t="s">
        <v>1005</v>
      </c>
      <c r="I285" s="73" t="s">
        <v>1275</v>
      </c>
      <c r="J285" s="72"/>
      <c r="K285" s="88">
        <v>67.69</v>
      </c>
    </row>
    <row r="286" spans="1:11" ht="15" customHeight="1">
      <c r="A286" s="61" t="s">
        <v>1007</v>
      </c>
      <c r="B286" s="61" t="s">
        <v>1009</v>
      </c>
      <c r="C286" s="61" t="s">
        <v>229</v>
      </c>
      <c r="D286" s="63"/>
      <c r="E286" s="63"/>
      <c r="F286" s="63">
        <f>Data[[#This Row],[Import]]+Data[[#This Row],[Last month]]-Data[[#This Row],[Export]]</f>
        <v>2</v>
      </c>
      <c r="G286" s="63">
        <v>2</v>
      </c>
      <c r="H286" s="61" t="s">
        <v>1008</v>
      </c>
      <c r="I286" s="73" t="s">
        <v>430</v>
      </c>
      <c r="J286" s="72">
        <v>331000</v>
      </c>
      <c r="K286" s="87"/>
    </row>
    <row r="287" spans="1:11" ht="15" customHeight="1">
      <c r="A287" s="61" t="s">
        <v>1022</v>
      </c>
      <c r="B287" s="61" t="s">
        <v>1023</v>
      </c>
      <c r="C287" s="61" t="s">
        <v>229</v>
      </c>
      <c r="D287" s="63"/>
      <c r="E287" s="63"/>
      <c r="F287" s="63">
        <f>Data[[#This Row],[Import]]+Data[[#This Row],[Last month]]-Data[[#This Row],[Export]]</f>
        <v>12</v>
      </c>
      <c r="G287" s="63">
        <v>12</v>
      </c>
      <c r="H287" s="61" t="s">
        <v>1021</v>
      </c>
      <c r="I287" s="73" t="s">
        <v>430</v>
      </c>
      <c r="J287" s="72">
        <v>6750000</v>
      </c>
      <c r="K287" s="87"/>
    </row>
    <row r="288" spans="1:11" ht="15" customHeight="1">
      <c r="A288" s="61" t="s">
        <v>924</v>
      </c>
      <c r="B288" s="61" t="s">
        <v>842</v>
      </c>
      <c r="C288" s="61" t="s">
        <v>82</v>
      </c>
      <c r="D288" s="63"/>
      <c r="E288" s="63"/>
      <c r="F288" s="63">
        <f>Data[[#This Row],[Import]]+Data[[#This Row],[Last month]]-Data[[#This Row],[Export]]</f>
        <v>90</v>
      </c>
      <c r="G288" s="63">
        <v>90</v>
      </c>
      <c r="H288" s="61" t="s">
        <v>1067</v>
      </c>
      <c r="I288" s="73" t="s">
        <v>1313</v>
      </c>
      <c r="J288" s="72"/>
      <c r="K288" s="87"/>
    </row>
    <row r="289" spans="1:11" ht="15" customHeight="1">
      <c r="A289" s="61" t="s">
        <v>1145</v>
      </c>
      <c r="B289" s="61" t="s">
        <v>1146</v>
      </c>
      <c r="C289" s="112" t="s">
        <v>84</v>
      </c>
      <c r="D289" s="63"/>
      <c r="E289" s="113"/>
      <c r="F289" s="63">
        <f>Data[[#This Row],[Import]]+Data[[#This Row],[Last month]]-Data[[#This Row],[Export]]</f>
        <v>2</v>
      </c>
      <c r="G289" s="113">
        <v>2</v>
      </c>
      <c r="H289" s="61" t="s">
        <v>1147</v>
      </c>
      <c r="I289" s="73" t="s">
        <v>1313</v>
      </c>
      <c r="J289" s="96"/>
      <c r="K289" s="97"/>
    </row>
    <row r="290" spans="1:11" ht="15" customHeight="1">
      <c r="A290" s="61" t="s">
        <v>1280</v>
      </c>
      <c r="B290" s="61" t="s">
        <v>1281</v>
      </c>
      <c r="C290" s="61" t="s">
        <v>229</v>
      </c>
      <c r="D290" s="63"/>
      <c r="E290" s="63"/>
      <c r="F290" s="63">
        <f>Data[[#This Row],[Import]]+Data[[#This Row],[Last month]]-Data[[#This Row],[Export]]</f>
        <v>2</v>
      </c>
      <c r="G290" s="63">
        <v>2</v>
      </c>
      <c r="H290" s="61" t="s">
        <v>1282</v>
      </c>
      <c r="I290" s="73" t="s">
        <v>430</v>
      </c>
      <c r="J290" s="72"/>
      <c r="K290" s="87"/>
    </row>
    <row r="291" spans="1:11" ht="15" customHeight="1">
      <c r="A291" s="61" t="s">
        <v>1344</v>
      </c>
      <c r="B291" s="61" t="s">
        <v>1348</v>
      </c>
      <c r="C291" s="61" t="s">
        <v>82</v>
      </c>
      <c r="D291" s="63"/>
      <c r="E291" s="63"/>
      <c r="F291" s="63">
        <f>Data[[#This Row],[Import]]+Data[[#This Row],[Last month]]-Data[[#This Row],[Export]]</f>
        <v>100</v>
      </c>
      <c r="G291" s="63">
        <v>100</v>
      </c>
      <c r="H291" s="61" t="s">
        <v>1353</v>
      </c>
      <c r="I291" s="73" t="s">
        <v>430</v>
      </c>
      <c r="J291" s="117"/>
      <c r="K291" s="87"/>
    </row>
    <row r="292" spans="1:11" ht="15" customHeight="1">
      <c r="A292" s="61" t="s">
        <v>1345</v>
      </c>
      <c r="B292" s="61" t="s">
        <v>1349</v>
      </c>
      <c r="C292" s="61" t="s">
        <v>82</v>
      </c>
      <c r="D292" s="63"/>
      <c r="E292" s="63"/>
      <c r="F292" s="63">
        <f>Data[[#This Row],[Import]]+Data[[#This Row],[Last month]]-Data[[#This Row],[Export]]</f>
        <v>100</v>
      </c>
      <c r="G292" s="63">
        <v>100</v>
      </c>
      <c r="H292" s="61" t="s">
        <v>1354</v>
      </c>
      <c r="I292" s="73" t="s">
        <v>430</v>
      </c>
      <c r="J292" s="117"/>
      <c r="K292" s="87"/>
    </row>
    <row r="293" spans="1:11" ht="15" customHeight="1">
      <c r="A293" s="61" t="s">
        <v>1346</v>
      </c>
      <c r="B293" s="61" t="s">
        <v>1350</v>
      </c>
      <c r="C293" s="61" t="s">
        <v>1352</v>
      </c>
      <c r="D293" s="63"/>
      <c r="E293" s="63"/>
      <c r="F293" s="63">
        <f>Data[[#This Row],[Import]]+Data[[#This Row],[Last month]]-Data[[#This Row],[Export]]</f>
        <v>225</v>
      </c>
      <c r="G293" s="63">
        <v>225</v>
      </c>
      <c r="H293" s="61" t="s">
        <v>1355</v>
      </c>
      <c r="I293" s="73" t="s">
        <v>430</v>
      </c>
      <c r="J293" s="117"/>
      <c r="K293" s="87"/>
    </row>
    <row r="294" spans="1:11" ht="15" customHeight="1">
      <c r="A294" s="61" t="s">
        <v>1347</v>
      </c>
      <c r="B294" s="61" t="s">
        <v>1351</v>
      </c>
      <c r="C294" s="61" t="s">
        <v>82</v>
      </c>
      <c r="D294" s="63"/>
      <c r="E294" s="63"/>
      <c r="F294" s="63">
        <f>Data[[#This Row],[Import]]+Data[[#This Row],[Last month]]-Data[[#This Row],[Export]]</f>
        <v>50</v>
      </c>
      <c r="G294" s="63">
        <v>50</v>
      </c>
      <c r="H294" s="61" t="s">
        <v>1356</v>
      </c>
      <c r="I294" s="73" t="s">
        <v>430</v>
      </c>
      <c r="J294" s="117"/>
      <c r="K294" s="87"/>
    </row>
    <row r="295" spans="1:11" ht="15" customHeight="1">
      <c r="A295" s="61" t="s">
        <v>1382</v>
      </c>
      <c r="B295" s="61" t="s">
        <v>1383</v>
      </c>
      <c r="C295" s="61" t="s">
        <v>79</v>
      </c>
      <c r="D295" s="63"/>
      <c r="E295" s="63"/>
      <c r="F295" s="63">
        <f>Data[[#This Row],[Import]]+Data[[#This Row],[Last month]]-Data[[#This Row],[Export]]</f>
        <v>0</v>
      </c>
      <c r="G295" s="63">
        <v>0</v>
      </c>
      <c r="H295" s="61" t="s">
        <v>285</v>
      </c>
      <c r="I295" s="73"/>
      <c r="J295" s="73"/>
      <c r="K295" s="87"/>
    </row>
    <row r="296" spans="1:11" ht="15" customHeight="1">
      <c r="A296" s="61" t="s">
        <v>1384</v>
      </c>
      <c r="B296" s="61" t="s">
        <v>1385</v>
      </c>
      <c r="C296" s="61" t="s">
        <v>79</v>
      </c>
      <c r="D296" s="63"/>
      <c r="E296" s="63"/>
      <c r="F296" s="63">
        <f>Data[[#This Row],[Import]]+Data[[#This Row],[Last month]]-Data[[#This Row],[Export]]</f>
        <v>0</v>
      </c>
      <c r="G296" s="63">
        <v>0</v>
      </c>
      <c r="H296" s="61" t="s">
        <v>285</v>
      </c>
      <c r="I296" s="73"/>
      <c r="J296" s="72"/>
      <c r="K296" s="87"/>
    </row>
    <row r="297" spans="1:11" ht="15" customHeight="1">
      <c r="A297" s="61" t="s">
        <v>1386</v>
      </c>
      <c r="B297" s="61" t="s">
        <v>1387</v>
      </c>
      <c r="C297" s="61" t="s">
        <v>79</v>
      </c>
      <c r="D297" s="63"/>
      <c r="E297" s="63"/>
      <c r="F297" s="63">
        <f>Data[[#This Row],[Import]]+Data[[#This Row],[Last month]]-Data[[#This Row],[Export]]</f>
        <v>0</v>
      </c>
      <c r="G297" s="63">
        <v>0</v>
      </c>
      <c r="H297" s="61" t="s">
        <v>285</v>
      </c>
      <c r="I297" s="73"/>
      <c r="J297" s="72"/>
      <c r="K297" s="87"/>
    </row>
    <row r="298" spans="1:11" ht="15" customHeight="1">
      <c r="A298" s="61" t="s">
        <v>1388</v>
      </c>
      <c r="B298" s="61" t="s">
        <v>1389</v>
      </c>
      <c r="C298" s="61" t="s">
        <v>79</v>
      </c>
      <c r="D298" s="63"/>
      <c r="E298" s="63"/>
      <c r="F298" s="63">
        <f>Data[[#This Row],[Import]]+Data[[#This Row],[Last month]]-Data[[#This Row],[Export]]</f>
        <v>0</v>
      </c>
      <c r="G298" s="63">
        <v>0</v>
      </c>
      <c r="H298" s="61" t="s">
        <v>285</v>
      </c>
      <c r="I298" s="73"/>
      <c r="J298" s="72"/>
      <c r="K298" s="87"/>
    </row>
    <row r="299" spans="1:11" ht="15" customHeight="1">
      <c r="A299" s="61" t="s">
        <v>1390</v>
      </c>
      <c r="B299" s="61" t="s">
        <v>1391</v>
      </c>
      <c r="C299" s="61" t="s">
        <v>79</v>
      </c>
      <c r="D299" s="63"/>
      <c r="E299" s="63"/>
      <c r="F299" s="63">
        <f>Data[[#This Row],[Import]]+Data[[#This Row],[Last month]]-Data[[#This Row],[Export]]</f>
        <v>0</v>
      </c>
      <c r="G299" s="63">
        <v>0</v>
      </c>
      <c r="H299" s="61" t="s">
        <v>285</v>
      </c>
      <c r="I299" s="73"/>
      <c r="J299" s="72">
        <v>4200000</v>
      </c>
      <c r="K299" s="87"/>
    </row>
    <row r="300" spans="1:11" ht="15" customHeight="1">
      <c r="A300" s="61" t="s">
        <v>1392</v>
      </c>
      <c r="B300" s="61" t="s">
        <v>1393</v>
      </c>
      <c r="C300" s="61" t="s">
        <v>79</v>
      </c>
      <c r="D300" s="63"/>
      <c r="E300" s="63"/>
      <c r="F300" s="63">
        <f>Data[[#This Row],[Import]]+Data[[#This Row],[Last month]]-Data[[#This Row],[Export]]</f>
        <v>0</v>
      </c>
      <c r="G300" s="63">
        <v>0</v>
      </c>
      <c r="H300" s="61" t="s">
        <v>285</v>
      </c>
      <c r="I300" s="73"/>
      <c r="J300" s="72">
        <v>338400</v>
      </c>
      <c r="K300" s="87"/>
    </row>
    <row r="301" spans="1:11" ht="15" customHeight="1">
      <c r="A301" s="61" t="s">
        <v>1394</v>
      </c>
      <c r="B301" s="61" t="s">
        <v>1395</v>
      </c>
      <c r="C301" s="64" t="s">
        <v>79</v>
      </c>
      <c r="D301" s="85"/>
      <c r="E301" s="85"/>
      <c r="F301" s="63">
        <f>Data[[#This Row],[Import]]+Data[[#This Row],[Last month]]-Data[[#This Row],[Export]]</f>
        <v>0</v>
      </c>
      <c r="G301" s="63">
        <v>0</v>
      </c>
      <c r="H301" s="61" t="s">
        <v>285</v>
      </c>
      <c r="I301" s="73"/>
      <c r="J301" s="118"/>
      <c r="K301" s="87"/>
    </row>
    <row r="302" spans="1:11" ht="15" customHeight="1">
      <c r="A302" s="61" t="s">
        <v>1396</v>
      </c>
      <c r="B302" s="61" t="s">
        <v>1397</v>
      </c>
      <c r="C302" s="64" t="s">
        <v>79</v>
      </c>
      <c r="D302" s="85"/>
      <c r="E302" s="85"/>
      <c r="F302" s="63">
        <f>Data[[#This Row],[Import]]+Data[[#This Row],[Last month]]-Data[[#This Row],[Export]]</f>
        <v>0</v>
      </c>
      <c r="G302" s="63">
        <v>0</v>
      </c>
      <c r="H302" s="61" t="s">
        <v>285</v>
      </c>
      <c r="I302" s="73"/>
      <c r="J302" s="73"/>
      <c r="K302" s="87"/>
    </row>
    <row r="303" spans="1:11" ht="15" customHeight="1">
      <c r="A303" s="61" t="s">
        <v>215</v>
      </c>
      <c r="B303" s="61" t="s">
        <v>216</v>
      </c>
      <c r="C303" s="61" t="s">
        <v>79</v>
      </c>
      <c r="D303" s="63"/>
      <c r="E303" s="63"/>
      <c r="F303" s="63">
        <f>Data[[#This Row],[Import]]+Data[[#This Row],[Last month]]-Data[[#This Row],[Export]]</f>
        <v>0</v>
      </c>
      <c r="G303" s="63">
        <v>0</v>
      </c>
      <c r="H303" s="61" t="s">
        <v>285</v>
      </c>
      <c r="I303" s="73"/>
      <c r="J303" s="73"/>
      <c r="K303" s="87"/>
    </row>
    <row r="304" spans="1:11" ht="15" customHeight="1">
      <c r="A304" s="61" t="s">
        <v>200</v>
      </c>
      <c r="B304" s="61" t="s">
        <v>144</v>
      </c>
      <c r="C304" s="61" t="s">
        <v>79</v>
      </c>
      <c r="D304" s="63"/>
      <c r="E304" s="63"/>
      <c r="F304" s="63">
        <f>Data[[#This Row],[Import]]+Data[[#This Row],[Last month]]-Data[[#This Row],[Export]]</f>
        <v>0</v>
      </c>
      <c r="G304" s="63">
        <v>0</v>
      </c>
      <c r="H304" s="61" t="s">
        <v>285</v>
      </c>
      <c r="I304" s="73"/>
      <c r="J304" s="73"/>
      <c r="K304" s="87"/>
    </row>
    <row r="305" spans="1:11" ht="15" customHeight="1">
      <c r="A305" s="61" t="s">
        <v>201</v>
      </c>
      <c r="B305" s="61" t="s">
        <v>144</v>
      </c>
      <c r="C305" s="61" t="s">
        <v>79</v>
      </c>
      <c r="D305" s="63"/>
      <c r="E305" s="63"/>
      <c r="F305" s="63">
        <f>Data[[#This Row],[Import]]+Data[[#This Row],[Last month]]-Data[[#This Row],[Export]]</f>
        <v>0</v>
      </c>
      <c r="G305" s="63">
        <v>0</v>
      </c>
      <c r="H305" s="61" t="s">
        <v>285</v>
      </c>
      <c r="I305" s="73"/>
      <c r="J305" s="73"/>
      <c r="K305" s="87"/>
    </row>
    <row r="306" spans="1:11" ht="15" customHeight="1">
      <c r="A306" s="83" t="s">
        <v>188</v>
      </c>
      <c r="B306" s="83" t="s">
        <v>189</v>
      </c>
      <c r="C306" s="83" t="s">
        <v>79</v>
      </c>
      <c r="D306" s="84"/>
      <c r="E306" s="84"/>
      <c r="F306" s="63">
        <f>Data[[#This Row],[Import]]+Data[[#This Row],[Last month]]-Data[[#This Row],[Export]]</f>
        <v>0</v>
      </c>
      <c r="G306" s="84">
        <v>0</v>
      </c>
      <c r="H306" s="61" t="s">
        <v>285</v>
      </c>
      <c r="I306" s="73"/>
      <c r="J306" s="73"/>
      <c r="K306" s="87"/>
    </row>
    <row r="307" spans="1:11" ht="15" customHeight="1">
      <c r="A307" s="83" t="s">
        <v>190</v>
      </c>
      <c r="B307" s="83" t="s">
        <v>191</v>
      </c>
      <c r="C307" s="83" t="s">
        <v>79</v>
      </c>
      <c r="D307" s="84"/>
      <c r="E307" s="84"/>
      <c r="F307" s="63">
        <f>Data[[#This Row],[Import]]+Data[[#This Row],[Last month]]-Data[[#This Row],[Export]]</f>
        <v>0</v>
      </c>
      <c r="G307" s="84">
        <v>0</v>
      </c>
      <c r="H307" s="83" t="s">
        <v>285</v>
      </c>
      <c r="I307" s="73"/>
      <c r="J307" s="73"/>
      <c r="K307" s="87"/>
    </row>
    <row r="308" spans="1:11" ht="15" customHeight="1">
      <c r="A308" s="65" t="s">
        <v>254</v>
      </c>
      <c r="B308" s="65" t="s">
        <v>255</v>
      </c>
      <c r="C308" s="65" t="s">
        <v>79</v>
      </c>
      <c r="D308" s="82"/>
      <c r="E308" s="82"/>
      <c r="F308" s="63">
        <f>Data[[#This Row],[Import]]+Data[[#This Row],[Last month]]-Data[[#This Row],[Export]]</f>
        <v>0</v>
      </c>
      <c r="G308" s="82">
        <v>0</v>
      </c>
      <c r="H308" s="65" t="s">
        <v>285</v>
      </c>
      <c r="I308" s="73"/>
      <c r="J308" s="73"/>
      <c r="K308" s="87"/>
    </row>
    <row r="309" spans="1:11" ht="15" customHeight="1">
      <c r="A309" s="61" t="s">
        <v>221</v>
      </c>
      <c r="B309" s="61" t="s">
        <v>222</v>
      </c>
      <c r="C309" s="61" t="s">
        <v>79</v>
      </c>
      <c r="D309" s="63"/>
      <c r="E309" s="63"/>
      <c r="F309" s="63">
        <f>Data[[#This Row],[Import]]+Data[[#This Row],[Last month]]-Data[[#This Row],[Export]]</f>
        <v>0</v>
      </c>
      <c r="G309" s="63">
        <v>0</v>
      </c>
      <c r="H309" s="61" t="s">
        <v>285</v>
      </c>
      <c r="I309" s="73"/>
      <c r="J309" s="73"/>
      <c r="K309" s="87"/>
    </row>
    <row r="310" spans="1:11" ht="15" customHeight="1">
      <c r="A310" s="61" t="s">
        <v>343</v>
      </c>
      <c r="B310" s="61" t="s">
        <v>344</v>
      </c>
      <c r="C310" s="61" t="s">
        <v>79</v>
      </c>
      <c r="D310" s="63"/>
      <c r="E310" s="63"/>
      <c r="F310" s="63">
        <f>Data[[#This Row],[Import]]+Data[[#This Row],[Last month]]-Data[[#This Row],[Export]]</f>
        <v>0</v>
      </c>
      <c r="G310" s="63">
        <v>0</v>
      </c>
      <c r="H310" s="61" t="s">
        <v>285</v>
      </c>
      <c r="I310" s="73"/>
      <c r="J310" s="73"/>
      <c r="K310" s="87"/>
    </row>
    <row r="311" spans="1:11" ht="15" customHeight="1">
      <c r="A311" s="61" t="s">
        <v>442</v>
      </c>
      <c r="B311" s="61" t="s">
        <v>440</v>
      </c>
      <c r="C311" s="61" t="s">
        <v>79</v>
      </c>
      <c r="D311" s="63"/>
      <c r="E311" s="63"/>
      <c r="F311" s="63">
        <f>Data[[#This Row],[Import]]+Data[[#This Row],[Last month]]-Data[[#This Row],[Export]]</f>
        <v>0</v>
      </c>
      <c r="G311" s="63">
        <v>0</v>
      </c>
      <c r="H311" s="61" t="s">
        <v>285</v>
      </c>
      <c r="I311" s="73"/>
      <c r="J311" s="73"/>
      <c r="K311" s="87"/>
    </row>
    <row r="312" spans="1:11" ht="15" customHeight="1">
      <c r="A312" s="61" t="s">
        <v>443</v>
      </c>
      <c r="B312" s="61" t="s">
        <v>441</v>
      </c>
      <c r="C312" s="61" t="s">
        <v>79</v>
      </c>
      <c r="D312" s="63"/>
      <c r="E312" s="63"/>
      <c r="F312" s="63">
        <f>Data[[#This Row],[Import]]+Data[[#This Row],[Last month]]-Data[[#This Row],[Export]]</f>
        <v>0</v>
      </c>
      <c r="G312" s="63">
        <v>0</v>
      </c>
      <c r="H312" s="61" t="s">
        <v>285</v>
      </c>
      <c r="I312" s="73"/>
      <c r="J312" s="73"/>
      <c r="K312" s="87"/>
    </row>
    <row r="313" spans="1:11" ht="15" customHeight="1">
      <c r="A313" s="61" t="s">
        <v>498</v>
      </c>
      <c r="B313" s="61" t="s">
        <v>492</v>
      </c>
      <c r="C313" s="61" t="s">
        <v>79</v>
      </c>
      <c r="D313" s="63"/>
      <c r="E313" s="63"/>
      <c r="F313" s="63">
        <f>Data[[#This Row],[Import]]+Data[[#This Row],[Last month]]-Data[[#This Row],[Export]]</f>
        <v>0</v>
      </c>
      <c r="G313" s="63">
        <v>0</v>
      </c>
      <c r="H313" s="61" t="s">
        <v>285</v>
      </c>
      <c r="I313" s="73"/>
      <c r="J313" s="73"/>
      <c r="K313" s="87"/>
    </row>
    <row r="314" spans="1:11" ht="15" customHeight="1">
      <c r="A314" s="61" t="s">
        <v>728</v>
      </c>
      <c r="B314" s="61" t="s">
        <v>726</v>
      </c>
      <c r="C314" s="61" t="s">
        <v>79</v>
      </c>
      <c r="D314" s="63"/>
      <c r="E314" s="63"/>
      <c r="F314" s="63">
        <f>Data[[#This Row],[Import]]+Data[[#This Row],[Last month]]-Data[[#This Row],[Export]]</f>
        <v>0</v>
      </c>
      <c r="G314" s="63">
        <v>0</v>
      </c>
      <c r="H314" s="61" t="s">
        <v>285</v>
      </c>
      <c r="I314" s="73"/>
      <c r="J314" s="72">
        <v>12730000</v>
      </c>
      <c r="K314" s="87"/>
    </row>
    <row r="315" spans="1:11" ht="15" customHeight="1">
      <c r="A315" s="61" t="s">
        <v>729</v>
      </c>
      <c r="B315" s="61" t="s">
        <v>727</v>
      </c>
      <c r="C315" s="61" t="s">
        <v>79</v>
      </c>
      <c r="D315" s="63"/>
      <c r="E315" s="63"/>
      <c r="F315" s="63">
        <f>Data[[#This Row],[Import]]+Data[[#This Row],[Last month]]-Data[[#This Row],[Export]]</f>
        <v>0</v>
      </c>
      <c r="G315" s="63">
        <v>0</v>
      </c>
      <c r="H315" s="61" t="s">
        <v>285</v>
      </c>
      <c r="I315" s="73"/>
      <c r="J315" s="72">
        <v>10900000</v>
      </c>
      <c r="K315" s="87"/>
    </row>
    <row r="316" spans="1:11" ht="15" customHeight="1">
      <c r="A316" s="61" t="s">
        <v>836</v>
      </c>
      <c r="B316" s="61" t="s">
        <v>841</v>
      </c>
      <c r="C316" s="61" t="s">
        <v>82</v>
      </c>
      <c r="D316" s="63"/>
      <c r="E316" s="63"/>
      <c r="F316" s="63">
        <f>Data[[#This Row],[Import]]+Data[[#This Row],[Last month]]-Data[[#This Row],[Export]]</f>
        <v>0</v>
      </c>
      <c r="G316" s="63">
        <v>0</v>
      </c>
      <c r="H316" s="61" t="s">
        <v>285</v>
      </c>
      <c r="I316" s="73"/>
      <c r="J316" s="72">
        <v>248320</v>
      </c>
      <c r="K316" s="87"/>
    </row>
    <row r="317" spans="1:11" ht="15" customHeight="1">
      <c r="A317" s="61" t="s">
        <v>837</v>
      </c>
      <c r="B317" s="61" t="s">
        <v>843</v>
      </c>
      <c r="C317" s="61" t="s">
        <v>82</v>
      </c>
      <c r="D317" s="63"/>
      <c r="E317" s="63"/>
      <c r="F317" s="63">
        <f>Data[[#This Row],[Import]]+Data[[#This Row],[Last month]]-Data[[#This Row],[Export]]</f>
        <v>0</v>
      </c>
      <c r="G317" s="63">
        <v>0</v>
      </c>
      <c r="H317" s="61" t="s">
        <v>285</v>
      </c>
      <c r="I317" s="73"/>
      <c r="J317" s="72">
        <v>2056400</v>
      </c>
      <c r="K317" s="87"/>
    </row>
    <row r="318" spans="1:11" ht="15" customHeight="1">
      <c r="A318" s="61" t="s">
        <v>838</v>
      </c>
      <c r="B318" s="61" t="s">
        <v>844</v>
      </c>
      <c r="C318" s="61" t="s">
        <v>82</v>
      </c>
      <c r="D318" s="63"/>
      <c r="E318" s="63"/>
      <c r="F318" s="63">
        <f>Data[[#This Row],[Import]]+Data[[#This Row],[Last month]]-Data[[#This Row],[Export]]</f>
        <v>0</v>
      </c>
      <c r="G318" s="63">
        <v>0</v>
      </c>
      <c r="H318" s="61" t="s">
        <v>285</v>
      </c>
      <c r="I318" s="73"/>
      <c r="J318" s="72">
        <v>2390080</v>
      </c>
      <c r="K318" s="87"/>
    </row>
    <row r="319" spans="1:11" ht="15" customHeight="1">
      <c r="A319" s="61" t="s">
        <v>839</v>
      </c>
      <c r="B319" s="61" t="s">
        <v>845</v>
      </c>
      <c r="C319" s="61" t="s">
        <v>92</v>
      </c>
      <c r="D319" s="63"/>
      <c r="E319" s="63"/>
      <c r="F319" s="63">
        <f>Data[[#This Row],[Import]]+Data[[#This Row],[Last month]]-Data[[#This Row],[Export]]</f>
        <v>0</v>
      </c>
      <c r="G319" s="63">
        <v>0</v>
      </c>
      <c r="H319" s="61" t="s">
        <v>285</v>
      </c>
      <c r="I319" s="73"/>
      <c r="J319" s="72">
        <v>181390</v>
      </c>
      <c r="K319" s="87"/>
    </row>
    <row r="320" spans="1:11" ht="15" customHeight="1">
      <c r="A320" s="61" t="s">
        <v>925</v>
      </c>
      <c r="B320" s="61" t="s">
        <v>942</v>
      </c>
      <c r="C320" s="61" t="s">
        <v>92</v>
      </c>
      <c r="D320" s="63"/>
      <c r="E320" s="63"/>
      <c r="F320" s="63">
        <f>Data[[#This Row],[Import]]+Data[[#This Row],[Last month]]-Data[[#This Row],[Export]]</f>
        <v>0</v>
      </c>
      <c r="G320" s="63">
        <v>0</v>
      </c>
      <c r="H320" s="61" t="s">
        <v>285</v>
      </c>
      <c r="I320" s="73"/>
      <c r="J320" s="72">
        <v>82450</v>
      </c>
      <c r="K320" s="87"/>
    </row>
    <row r="321" spans="1:11" ht="15" customHeight="1">
      <c r="A321" s="61" t="s">
        <v>840</v>
      </c>
      <c r="B321" s="61" t="s">
        <v>943</v>
      </c>
      <c r="C321" s="61" t="s">
        <v>92</v>
      </c>
      <c r="D321" s="63"/>
      <c r="E321" s="63"/>
      <c r="F321" s="63">
        <f>Data[[#This Row],[Import]]+Data[[#This Row],[Last month]]-Data[[#This Row],[Export]]</f>
        <v>0</v>
      </c>
      <c r="G321" s="63">
        <v>0</v>
      </c>
      <c r="H321" s="61" t="s">
        <v>285</v>
      </c>
      <c r="I321" s="73"/>
      <c r="J321" s="72">
        <v>79540</v>
      </c>
      <c r="K321" s="87"/>
    </row>
    <row r="322" spans="1:11" ht="15" customHeight="1">
      <c r="A322" s="61" t="s">
        <v>950</v>
      </c>
      <c r="B322" s="61" t="s">
        <v>951</v>
      </c>
      <c r="C322" s="61" t="s">
        <v>79</v>
      </c>
      <c r="D322" s="63"/>
      <c r="E322" s="63"/>
      <c r="F322" s="63">
        <f>Data[[#This Row],[Import]]+Data[[#This Row],[Last month]]-Data[[#This Row],[Export]]</f>
        <v>0</v>
      </c>
      <c r="G322" s="63">
        <v>0</v>
      </c>
      <c r="H322" s="61" t="s">
        <v>285</v>
      </c>
      <c r="I322" s="73"/>
      <c r="J322" s="72">
        <v>780000</v>
      </c>
      <c r="K322" s="87"/>
    </row>
    <row r="323" spans="1:11" ht="15" customHeight="1">
      <c r="A323" s="61" t="s">
        <v>917</v>
      </c>
      <c r="B323" s="61" t="s">
        <v>918</v>
      </c>
      <c r="C323" s="61" t="s">
        <v>79</v>
      </c>
      <c r="D323" s="63"/>
      <c r="E323" s="63"/>
      <c r="F323" s="63">
        <f>Data[[#This Row],[Import]]+Data[[#This Row],[Last month]]-Data[[#This Row],[Export]]</f>
        <v>0</v>
      </c>
      <c r="G323" s="63">
        <v>0</v>
      </c>
      <c r="H323" s="61" t="s">
        <v>285</v>
      </c>
      <c r="I323" s="73"/>
      <c r="J323" s="72">
        <v>64000</v>
      </c>
      <c r="K323" s="87"/>
    </row>
    <row r="324" spans="1:11" ht="15" customHeight="1">
      <c r="A324" s="61" t="s">
        <v>992</v>
      </c>
      <c r="B324" s="61" t="s">
        <v>991</v>
      </c>
      <c r="C324" s="61" t="s">
        <v>79</v>
      </c>
      <c r="D324" s="63"/>
      <c r="E324" s="63"/>
      <c r="F324" s="63">
        <f>Data[[#This Row],[Import]]+Data[[#This Row],[Last month]]-Data[[#This Row],[Export]]</f>
        <v>0</v>
      </c>
      <c r="G324" s="63">
        <v>0</v>
      </c>
      <c r="H324" s="61" t="s">
        <v>285</v>
      </c>
      <c r="I324" s="73"/>
      <c r="J324" s="72">
        <v>768000</v>
      </c>
      <c r="K324" s="87"/>
    </row>
    <row r="325" spans="1:11" ht="15" customHeight="1">
      <c r="A325" s="61" t="s">
        <v>1062</v>
      </c>
      <c r="B325" s="61" t="s">
        <v>1061</v>
      </c>
      <c r="C325" s="61" t="s">
        <v>79</v>
      </c>
      <c r="D325" s="63"/>
      <c r="E325" s="63"/>
      <c r="F325" s="63">
        <f>Data[[#This Row],[Import]]+Data[[#This Row],[Last month]]-Data[[#This Row],[Export]]</f>
        <v>0</v>
      </c>
      <c r="G325" s="63">
        <v>0</v>
      </c>
      <c r="H325" s="61" t="s">
        <v>285</v>
      </c>
      <c r="I325" s="73"/>
      <c r="J325" s="72"/>
      <c r="K325" s="87"/>
    </row>
    <row r="326" spans="1:11" ht="15" customHeight="1">
      <c r="A326" s="61" t="s">
        <v>1089</v>
      </c>
      <c r="B326" s="61" t="s">
        <v>691</v>
      </c>
      <c r="C326" s="61" t="s">
        <v>171</v>
      </c>
      <c r="D326" s="63"/>
      <c r="E326" s="63"/>
      <c r="F326" s="63">
        <f>Data[[#This Row],[Import]]+Data[[#This Row],[Last month]]-Data[[#This Row],[Export]]</f>
        <v>0</v>
      </c>
      <c r="G326" s="63">
        <v>0</v>
      </c>
      <c r="H326" s="61" t="s">
        <v>285</v>
      </c>
      <c r="I326" s="73"/>
      <c r="J326" s="72"/>
      <c r="K326" s="87"/>
    </row>
    <row r="327" spans="1:11" ht="15" customHeight="1">
      <c r="A327" s="61" t="s">
        <v>1151</v>
      </c>
      <c r="B327" s="61" t="s">
        <v>1162</v>
      </c>
      <c r="C327" s="61" t="s">
        <v>79</v>
      </c>
      <c r="D327" s="63"/>
      <c r="E327" s="63"/>
      <c r="F327" s="63">
        <f>Data[[#This Row],[Import]]+Data[[#This Row],[Last month]]-Data[[#This Row],[Export]]</f>
        <v>0</v>
      </c>
      <c r="G327" s="63">
        <v>0</v>
      </c>
      <c r="H327" s="61" t="s">
        <v>285</v>
      </c>
      <c r="I327" s="73"/>
      <c r="J327" s="72"/>
      <c r="K327" s="87"/>
    </row>
    <row r="328" spans="1:11" ht="15" customHeight="1">
      <c r="A328" s="121" t="s">
        <v>1207</v>
      </c>
      <c r="B328" s="121" t="s">
        <v>1208</v>
      </c>
      <c r="C328" s="121" t="s">
        <v>80</v>
      </c>
      <c r="D328" s="63"/>
      <c r="E328" s="63"/>
      <c r="F328" s="63">
        <f>Data[[#This Row],[Import]]+Data[[#This Row],[Last month]]-Data[[#This Row],[Export]]</f>
        <v>0</v>
      </c>
      <c r="G328" s="63">
        <v>0</v>
      </c>
      <c r="H328" s="61" t="s">
        <v>285</v>
      </c>
      <c r="I328" s="73"/>
      <c r="J328" s="72"/>
      <c r="K328" s="87"/>
    </row>
    <row r="329" spans="1:11" ht="15" customHeight="1">
      <c r="A329" s="61" t="s">
        <v>1257</v>
      </c>
      <c r="B329" s="61" t="s">
        <v>1254</v>
      </c>
      <c r="C329" s="61" t="s">
        <v>79</v>
      </c>
      <c r="D329" s="63"/>
      <c r="E329" s="63"/>
      <c r="F329" s="63">
        <f>Data[[#This Row],[Import]]+Data[[#This Row],[Last month]]-Data[[#This Row],[Export]]</f>
        <v>0</v>
      </c>
      <c r="G329" s="63">
        <v>0</v>
      </c>
      <c r="H329" s="61" t="s">
        <v>285</v>
      </c>
      <c r="I329" s="73"/>
      <c r="J329" s="72"/>
      <c r="K329" s="87"/>
    </row>
    <row r="330" spans="1:11" ht="15" customHeight="1">
      <c r="A330" s="61" t="s">
        <v>1258</v>
      </c>
      <c r="B330" s="61" t="s">
        <v>1255</v>
      </c>
      <c r="C330" s="61" t="s">
        <v>79</v>
      </c>
      <c r="D330" s="63"/>
      <c r="E330" s="63"/>
      <c r="F330" s="63">
        <f>Data[[#This Row],[Import]]+Data[[#This Row],[Last month]]-Data[[#This Row],[Export]]</f>
        <v>0</v>
      </c>
      <c r="G330" s="63">
        <v>0</v>
      </c>
      <c r="H330" s="61" t="s">
        <v>285</v>
      </c>
      <c r="I330" s="73"/>
      <c r="J330" s="72"/>
      <c r="K330" s="87"/>
    </row>
    <row r="331" spans="1:11" ht="15" customHeight="1">
      <c r="A331" s="61">
        <v>437</v>
      </c>
      <c r="B331" s="61" t="s">
        <v>1256</v>
      </c>
      <c r="C331" s="61" t="s">
        <v>79</v>
      </c>
      <c r="D331" s="63"/>
      <c r="E331" s="63"/>
      <c r="F331" s="63">
        <f>Data[[#This Row],[Import]]+Data[[#This Row],[Last month]]-Data[[#This Row],[Export]]</f>
        <v>0</v>
      </c>
      <c r="G331" s="63">
        <v>0</v>
      </c>
      <c r="H331" s="61" t="s">
        <v>285</v>
      </c>
      <c r="I331" s="73"/>
      <c r="J331" s="72"/>
      <c r="K331" s="87"/>
    </row>
    <row r="332" spans="1:11" ht="15" customHeight="1">
      <c r="A332" s="61" t="s">
        <v>1267</v>
      </c>
      <c r="B332" s="61" t="s">
        <v>1266</v>
      </c>
      <c r="C332" s="61" t="s">
        <v>80</v>
      </c>
      <c r="D332" s="63"/>
      <c r="E332" s="63"/>
      <c r="F332" s="63">
        <f>Data[[#This Row],[Import]]+Data[[#This Row],[Last month]]-Data[[#This Row],[Export]]</f>
        <v>0</v>
      </c>
      <c r="G332" s="63">
        <v>0</v>
      </c>
      <c r="H332" s="61" t="s">
        <v>285</v>
      </c>
      <c r="I332" s="73"/>
      <c r="J332" s="72"/>
      <c r="K332" s="87"/>
    </row>
    <row r="333" spans="1:11" ht="15" customHeight="1">
      <c r="A333" s="61" t="s">
        <v>1283</v>
      </c>
      <c r="B333" s="61" t="s">
        <v>1284</v>
      </c>
      <c r="C333" s="61" t="s">
        <v>79</v>
      </c>
      <c r="D333" s="63"/>
      <c r="E333" s="63"/>
      <c r="F333" s="63">
        <f>Data[[#This Row],[Import]]+Data[[#This Row],[Last month]]-Data[[#This Row],[Export]]</f>
        <v>0</v>
      </c>
      <c r="G333" s="63">
        <v>0</v>
      </c>
      <c r="H333" s="61" t="s">
        <v>285</v>
      </c>
      <c r="I333" s="73"/>
      <c r="J333" s="72"/>
      <c r="K333" s="87"/>
    </row>
    <row r="334" spans="1:11" ht="15" customHeight="1">
      <c r="A334" s="61" t="s">
        <v>1297</v>
      </c>
      <c r="B334" s="61" t="s">
        <v>1296</v>
      </c>
      <c r="C334" s="61" t="s">
        <v>79</v>
      </c>
      <c r="D334" s="63"/>
      <c r="E334" s="63"/>
      <c r="F334" s="63">
        <f>Data[[#This Row],[Import]]+Data[[#This Row],[Last month]]-Data[[#This Row],[Export]]</f>
        <v>0</v>
      </c>
      <c r="G334" s="63">
        <v>0</v>
      </c>
      <c r="H334" s="61" t="s">
        <v>285</v>
      </c>
      <c r="I334" s="116" t="s">
        <v>1298</v>
      </c>
      <c r="J334" s="117"/>
      <c r="K334" s="87"/>
    </row>
    <row r="335" spans="1:11" ht="15" customHeight="1">
      <c r="A335" s="61" t="s">
        <v>1300</v>
      </c>
      <c r="B335" s="61" t="s">
        <v>1299</v>
      </c>
      <c r="C335" s="61" t="s">
        <v>97</v>
      </c>
      <c r="D335" s="63"/>
      <c r="E335" s="63"/>
      <c r="F335" s="63">
        <f>Data[[#This Row],[Import]]+Data[[#This Row],[Last month]]-Data[[#This Row],[Export]]</f>
        <v>0</v>
      </c>
      <c r="G335" s="63">
        <v>0</v>
      </c>
      <c r="H335" s="61" t="s">
        <v>285</v>
      </c>
      <c r="I335" s="116"/>
      <c r="J335" s="117"/>
      <c r="K335" s="87"/>
    </row>
    <row r="336" spans="1:11" ht="15" customHeight="1">
      <c r="A336" s="61" t="s">
        <v>1309</v>
      </c>
      <c r="B336" s="61" t="s">
        <v>1308</v>
      </c>
      <c r="C336" s="61" t="s">
        <v>90</v>
      </c>
      <c r="D336" s="63"/>
      <c r="E336" s="63"/>
      <c r="F336" s="63">
        <f>Data[[#This Row],[Import]]+Data[[#This Row],[Last month]]-Data[[#This Row],[Export]]</f>
        <v>0</v>
      </c>
      <c r="G336" s="63">
        <v>0</v>
      </c>
      <c r="H336" s="61" t="s">
        <v>285</v>
      </c>
      <c r="I336" s="116"/>
      <c r="J336" s="117"/>
      <c r="K336" s="87"/>
    </row>
    <row r="337" spans="1:11" ht="15" customHeight="1">
      <c r="A337" s="61" t="s">
        <v>1320</v>
      </c>
      <c r="B337" s="61" t="s">
        <v>1324</v>
      </c>
      <c r="C337" s="61" t="s">
        <v>79</v>
      </c>
      <c r="D337" s="63"/>
      <c r="E337" s="63"/>
      <c r="F337" s="63">
        <f>Data[[#This Row],[Import]]+Data[[#This Row],[Last month]]-Data[[#This Row],[Export]]</f>
        <v>0</v>
      </c>
      <c r="G337" s="63">
        <v>0</v>
      </c>
      <c r="H337" s="61" t="s">
        <v>285</v>
      </c>
      <c r="I337" s="116" t="s">
        <v>1328</v>
      </c>
      <c r="J337" s="117"/>
      <c r="K337" s="87"/>
    </row>
    <row r="338" spans="1:11" ht="15" customHeight="1">
      <c r="A338" s="61" t="s">
        <v>1321</v>
      </c>
      <c r="B338" s="61" t="s">
        <v>1325</v>
      </c>
      <c r="C338" s="61" t="s">
        <v>79</v>
      </c>
      <c r="D338" s="63"/>
      <c r="E338" s="63"/>
      <c r="F338" s="63">
        <f>Data[[#This Row],[Import]]+Data[[#This Row],[Last month]]-Data[[#This Row],[Export]]</f>
        <v>0</v>
      </c>
      <c r="G338" s="63">
        <v>0</v>
      </c>
      <c r="H338" s="61" t="s">
        <v>285</v>
      </c>
      <c r="I338" s="116" t="s">
        <v>1328</v>
      </c>
      <c r="J338" s="117"/>
      <c r="K338" s="87"/>
    </row>
    <row r="339" spans="1:11" ht="15" customHeight="1">
      <c r="A339" s="61" t="s">
        <v>1322</v>
      </c>
      <c r="B339" s="61" t="s">
        <v>1326</v>
      </c>
      <c r="C339" s="61" t="s">
        <v>79</v>
      </c>
      <c r="D339" s="63"/>
      <c r="E339" s="63"/>
      <c r="F339" s="63">
        <f>Data[[#This Row],[Import]]+Data[[#This Row],[Last month]]-Data[[#This Row],[Export]]</f>
        <v>0</v>
      </c>
      <c r="G339" s="63">
        <v>0</v>
      </c>
      <c r="H339" s="61" t="s">
        <v>285</v>
      </c>
      <c r="I339" s="116" t="s">
        <v>1328</v>
      </c>
      <c r="J339" s="117"/>
      <c r="K339" s="87"/>
    </row>
    <row r="340" spans="1:11" ht="15" customHeight="1">
      <c r="A340" s="61" t="s">
        <v>1323</v>
      </c>
      <c r="B340" s="61" t="s">
        <v>1327</v>
      </c>
      <c r="C340" s="61" t="s">
        <v>79</v>
      </c>
      <c r="D340" s="63"/>
      <c r="E340" s="63"/>
      <c r="F340" s="63">
        <f>Data[[#This Row],[Import]]+Data[[#This Row],[Last month]]-Data[[#This Row],[Export]]</f>
        <v>0</v>
      </c>
      <c r="G340" s="63">
        <v>0</v>
      </c>
      <c r="H340" s="61" t="s">
        <v>285</v>
      </c>
      <c r="I340" s="116" t="s">
        <v>1328</v>
      </c>
      <c r="J340" s="117"/>
      <c r="K340" s="87"/>
    </row>
    <row r="341" spans="1:11" ht="15" customHeight="1">
      <c r="A341" s="61">
        <v>701611</v>
      </c>
      <c r="B341" s="61" t="s">
        <v>1329</v>
      </c>
      <c r="C341" s="61" t="s">
        <v>80</v>
      </c>
      <c r="D341" s="63"/>
      <c r="E341" s="63"/>
      <c r="F341" s="63">
        <f>Data[[#This Row],[Import]]+Data[[#This Row],[Last month]]-Data[[#This Row],[Export]]</f>
        <v>0</v>
      </c>
      <c r="G341" s="63">
        <v>0</v>
      </c>
      <c r="H341" s="61" t="s">
        <v>285</v>
      </c>
      <c r="I341" s="116"/>
      <c r="J341" s="117"/>
      <c r="K341" s="87"/>
    </row>
    <row r="342" spans="1:11" ht="15" customHeight="1">
      <c r="A342" s="61" t="s">
        <v>1340</v>
      </c>
      <c r="B342" s="61" t="s">
        <v>1337</v>
      </c>
      <c r="C342" s="61" t="s">
        <v>79</v>
      </c>
      <c r="D342" s="63"/>
      <c r="E342" s="63"/>
      <c r="F342" s="63">
        <f>Data[[#This Row],[Import]]+Data[[#This Row],[Last month]]-Data[[#This Row],[Export]]</f>
        <v>0</v>
      </c>
      <c r="G342" s="63">
        <v>0</v>
      </c>
      <c r="H342" s="61" t="s">
        <v>285</v>
      </c>
      <c r="I342" s="116" t="s">
        <v>1328</v>
      </c>
      <c r="J342" s="117"/>
      <c r="K342" s="87"/>
    </row>
    <row r="343" spans="1:11" ht="15" customHeight="1">
      <c r="A343" s="61" t="s">
        <v>1341</v>
      </c>
      <c r="B343" s="61" t="s">
        <v>1338</v>
      </c>
      <c r="C343" s="61" t="s">
        <v>79</v>
      </c>
      <c r="D343" s="63"/>
      <c r="E343" s="63"/>
      <c r="F343" s="63">
        <f>Data[[#This Row],[Import]]+Data[[#This Row],[Last month]]-Data[[#This Row],[Export]]</f>
        <v>0</v>
      </c>
      <c r="G343" s="63">
        <v>0</v>
      </c>
      <c r="H343" s="61" t="s">
        <v>285</v>
      </c>
      <c r="I343" s="116" t="s">
        <v>1343</v>
      </c>
      <c r="J343" s="117"/>
      <c r="K343" s="87"/>
    </row>
    <row r="344" spans="1:11" ht="15" customHeight="1">
      <c r="A344" s="61" t="s">
        <v>1342</v>
      </c>
      <c r="B344" s="61" t="s">
        <v>1339</v>
      </c>
      <c r="C344" s="61" t="s">
        <v>79</v>
      </c>
      <c r="D344" s="63"/>
      <c r="E344" s="63"/>
      <c r="F344" s="63">
        <f>Data[[#This Row],[Import]]+Data[[#This Row],[Last month]]-Data[[#This Row],[Export]]</f>
        <v>0</v>
      </c>
      <c r="G344" s="63">
        <v>0</v>
      </c>
      <c r="H344" s="61" t="s">
        <v>285</v>
      </c>
      <c r="I344" s="116" t="s">
        <v>1328</v>
      </c>
      <c r="J344" s="117"/>
      <c r="K344" s="87"/>
    </row>
    <row r="345" spans="1:11" ht="15" customHeight="1">
      <c r="A345" s="119" t="s">
        <v>1357</v>
      </c>
      <c r="B345" s="119" t="s">
        <v>1358</v>
      </c>
      <c r="C345" s="119" t="s">
        <v>772</v>
      </c>
      <c r="D345" s="63"/>
      <c r="E345" s="63"/>
      <c r="F345" s="63">
        <f>Data[[#This Row],[Import]]+Data[[#This Row],[Last month]]-Data[[#This Row],[Export]]</f>
        <v>0</v>
      </c>
      <c r="G345" s="63">
        <v>0</v>
      </c>
      <c r="H345" s="119" t="s">
        <v>285</v>
      </c>
      <c r="I345" s="116"/>
      <c r="J345" s="117"/>
      <c r="K345" s="120"/>
    </row>
    <row r="346" spans="1:11" ht="15" customHeight="1">
      <c r="A346" s="119" t="s">
        <v>1359</v>
      </c>
      <c r="B346" s="119" t="s">
        <v>1358</v>
      </c>
      <c r="C346" s="119" t="s">
        <v>772</v>
      </c>
      <c r="D346" s="63"/>
      <c r="E346" s="63"/>
      <c r="F346" s="63">
        <f>Data[[#This Row],[Import]]+Data[[#This Row],[Last month]]-Data[[#This Row],[Export]]</f>
        <v>0</v>
      </c>
      <c r="G346" s="63">
        <v>0</v>
      </c>
      <c r="H346" s="119" t="s">
        <v>285</v>
      </c>
      <c r="I346" s="116"/>
      <c r="J346" s="117"/>
      <c r="K346" s="120"/>
    </row>
    <row r="347" spans="1:11" ht="15" customHeight="1">
      <c r="A347" s="119" t="s">
        <v>1360</v>
      </c>
      <c r="B347" s="119" t="s">
        <v>1358</v>
      </c>
      <c r="C347" s="119" t="s">
        <v>772</v>
      </c>
      <c r="D347" s="63"/>
      <c r="E347" s="63"/>
      <c r="F347" s="63">
        <f>Data[[#This Row],[Import]]+Data[[#This Row],[Last month]]-Data[[#This Row],[Export]]</f>
        <v>0</v>
      </c>
      <c r="G347" s="63">
        <v>0</v>
      </c>
      <c r="H347" s="119" t="s">
        <v>285</v>
      </c>
      <c r="I347" s="116"/>
      <c r="J347" s="117"/>
      <c r="K347" s="120"/>
    </row>
    <row r="348" spans="1:11" ht="15" customHeight="1">
      <c r="A348" s="119" t="s">
        <v>1361</v>
      </c>
      <c r="B348" s="119" t="s">
        <v>1358</v>
      </c>
      <c r="C348" s="119" t="s">
        <v>772</v>
      </c>
      <c r="D348" s="63"/>
      <c r="E348" s="63"/>
      <c r="F348" s="63">
        <f>Data[[#This Row],[Import]]+Data[[#This Row],[Last month]]-Data[[#This Row],[Export]]</f>
        <v>0</v>
      </c>
      <c r="G348" s="63">
        <v>0</v>
      </c>
      <c r="H348" s="119" t="s">
        <v>285</v>
      </c>
      <c r="I348" s="116"/>
      <c r="J348" s="117"/>
      <c r="K348" s="120"/>
    </row>
    <row r="349" spans="1:11" ht="15" customHeight="1">
      <c r="A349" s="119" t="s">
        <v>1362</v>
      </c>
      <c r="B349" s="119" t="s">
        <v>1358</v>
      </c>
      <c r="C349" s="119" t="s">
        <v>772</v>
      </c>
      <c r="D349" s="63"/>
      <c r="E349" s="63"/>
      <c r="F349" s="63">
        <f>Data[[#This Row],[Import]]+Data[[#This Row],[Last month]]-Data[[#This Row],[Export]]</f>
        <v>0</v>
      </c>
      <c r="G349" s="63">
        <v>0</v>
      </c>
      <c r="H349" s="119" t="s">
        <v>285</v>
      </c>
      <c r="I349" s="116"/>
      <c r="J349" s="117"/>
      <c r="K349" s="120"/>
    </row>
    <row r="350" spans="1:11" ht="15" customHeight="1">
      <c r="A350" s="119" t="s">
        <v>1363</v>
      </c>
      <c r="B350" s="119" t="s">
        <v>1358</v>
      </c>
      <c r="C350" s="119" t="s">
        <v>772</v>
      </c>
      <c r="D350" s="63"/>
      <c r="E350" s="63"/>
      <c r="F350" s="63">
        <f>Data[[#This Row],[Import]]+Data[[#This Row],[Last month]]-Data[[#This Row],[Export]]</f>
        <v>0</v>
      </c>
      <c r="G350" s="63">
        <v>0</v>
      </c>
      <c r="H350" s="119" t="s">
        <v>285</v>
      </c>
      <c r="I350" s="116"/>
      <c r="J350" s="117"/>
      <c r="K350" s="120"/>
    </row>
    <row r="351" spans="1:11" ht="15" customHeight="1">
      <c r="A351" s="119" t="s">
        <v>1364</v>
      </c>
      <c r="B351" s="119" t="s">
        <v>1365</v>
      </c>
      <c r="C351" s="119" t="s">
        <v>772</v>
      </c>
      <c r="D351" s="63"/>
      <c r="E351" s="63"/>
      <c r="F351" s="63">
        <f>Data[[#This Row],[Import]]+Data[[#This Row],[Last month]]-Data[[#This Row],[Export]]</f>
        <v>0</v>
      </c>
      <c r="G351" s="63">
        <v>0</v>
      </c>
      <c r="H351" s="119" t="s">
        <v>285</v>
      </c>
      <c r="I351" s="116"/>
      <c r="J351" s="117"/>
      <c r="K351" s="120"/>
    </row>
    <row r="352" spans="1:11" ht="15" customHeight="1">
      <c r="A352" s="119" t="s">
        <v>1366</v>
      </c>
      <c r="B352" s="119" t="s">
        <v>1367</v>
      </c>
      <c r="C352" s="119" t="s">
        <v>772</v>
      </c>
      <c r="D352" s="63"/>
      <c r="E352" s="63"/>
      <c r="F352" s="63">
        <f>Data[[#This Row],[Import]]+Data[[#This Row],[Last month]]-Data[[#This Row],[Export]]</f>
        <v>0</v>
      </c>
      <c r="G352" s="63">
        <v>0</v>
      </c>
      <c r="H352" s="119" t="s">
        <v>285</v>
      </c>
      <c r="I352" s="116"/>
      <c r="J352" s="117"/>
      <c r="K352" s="120"/>
    </row>
    <row r="353" spans="1:11" ht="15" customHeight="1">
      <c r="A353" s="119" t="s">
        <v>1368</v>
      </c>
      <c r="B353" s="119" t="s">
        <v>1367</v>
      </c>
      <c r="C353" s="119" t="s">
        <v>772</v>
      </c>
      <c r="D353" s="63"/>
      <c r="E353" s="63"/>
      <c r="F353" s="63">
        <f>Data[[#This Row],[Import]]+Data[[#This Row],[Last month]]-Data[[#This Row],[Export]]</f>
        <v>0</v>
      </c>
      <c r="G353" s="63">
        <v>0</v>
      </c>
      <c r="H353" s="119" t="s">
        <v>285</v>
      </c>
      <c r="I353" s="116"/>
      <c r="J353" s="117"/>
      <c r="K353" s="120"/>
    </row>
    <row r="354" spans="1:11" ht="15" customHeight="1">
      <c r="A354" s="119" t="s">
        <v>1369</v>
      </c>
      <c r="B354" s="119" t="s">
        <v>1367</v>
      </c>
      <c r="C354" s="119" t="s">
        <v>772</v>
      </c>
      <c r="D354" s="63"/>
      <c r="E354" s="63"/>
      <c r="F354" s="63">
        <f>Data[[#This Row],[Import]]+Data[[#This Row],[Last month]]-Data[[#This Row],[Export]]</f>
        <v>0</v>
      </c>
      <c r="G354" s="63">
        <v>0</v>
      </c>
      <c r="H354" s="119" t="s">
        <v>285</v>
      </c>
      <c r="I354" s="116"/>
      <c r="J354" s="117"/>
      <c r="K354" s="120"/>
    </row>
    <row r="355" spans="1:11" ht="15" customHeight="1">
      <c r="A355" s="119" t="s">
        <v>1370</v>
      </c>
      <c r="B355" s="119" t="s">
        <v>1367</v>
      </c>
      <c r="C355" s="119" t="s">
        <v>772</v>
      </c>
      <c r="D355" s="63"/>
      <c r="E355" s="63"/>
      <c r="F355" s="63">
        <f>Data[[#This Row],[Import]]+Data[[#This Row],[Last month]]-Data[[#This Row],[Export]]</f>
        <v>0</v>
      </c>
      <c r="G355" s="63">
        <v>0</v>
      </c>
      <c r="H355" s="119" t="s">
        <v>285</v>
      </c>
      <c r="I355" s="116"/>
      <c r="J355" s="117"/>
      <c r="K355" s="120"/>
    </row>
    <row r="356" spans="1:11" ht="15" customHeight="1">
      <c r="A356" s="119" t="s">
        <v>1371</v>
      </c>
      <c r="B356" s="119" t="s">
        <v>1367</v>
      </c>
      <c r="C356" s="119" t="s">
        <v>772</v>
      </c>
      <c r="D356" s="63"/>
      <c r="E356" s="63"/>
      <c r="F356" s="63">
        <f>Data[[#This Row],[Import]]+Data[[#This Row],[Last month]]-Data[[#This Row],[Export]]</f>
        <v>0</v>
      </c>
      <c r="G356" s="63">
        <v>0</v>
      </c>
      <c r="H356" s="119" t="s">
        <v>285</v>
      </c>
      <c r="I356" s="116"/>
      <c r="J356" s="117"/>
      <c r="K356" s="120"/>
    </row>
    <row r="357" spans="1:11" ht="15" customHeight="1">
      <c r="A357" s="119" t="s">
        <v>1372</v>
      </c>
      <c r="B357" s="119" t="s">
        <v>1367</v>
      </c>
      <c r="C357" s="119" t="s">
        <v>772</v>
      </c>
      <c r="D357" s="63"/>
      <c r="E357" s="63"/>
      <c r="F357" s="63">
        <f>Data[[#This Row],[Import]]+Data[[#This Row],[Last month]]-Data[[#This Row],[Export]]</f>
        <v>0</v>
      </c>
      <c r="G357" s="63">
        <v>0</v>
      </c>
      <c r="H357" s="119" t="s">
        <v>285</v>
      </c>
      <c r="I357" s="116"/>
      <c r="J357" s="117"/>
      <c r="K357" s="120"/>
    </row>
    <row r="358" spans="1:11" ht="15" customHeight="1">
      <c r="A358" s="119" t="s">
        <v>1373</v>
      </c>
      <c r="B358" s="119" t="s">
        <v>1374</v>
      </c>
      <c r="C358" s="119" t="s">
        <v>1403</v>
      </c>
      <c r="D358" s="63"/>
      <c r="E358" s="63"/>
      <c r="F358" s="63">
        <f>Data[[#This Row],[Import]]+Data[[#This Row],[Last month]]-Data[[#This Row],[Export]]</f>
        <v>0</v>
      </c>
      <c r="G358" s="63">
        <v>0</v>
      </c>
      <c r="H358" s="119" t="s">
        <v>285</v>
      </c>
      <c r="I358" s="116"/>
      <c r="J358" s="117"/>
      <c r="K358" s="120"/>
    </row>
    <row r="359" spans="1:11" ht="15" customHeight="1">
      <c r="A359" s="119" t="s">
        <v>1375</v>
      </c>
      <c r="B359" s="119" t="s">
        <v>1374</v>
      </c>
      <c r="C359" s="119" t="s">
        <v>1403</v>
      </c>
      <c r="D359" s="63">
        <v>200</v>
      </c>
      <c r="E359" s="63"/>
      <c r="F359" s="63">
        <f>Data[[#This Row],[Import]]+Data[[#This Row],[Last month]]-Data[[#This Row],[Export]]</f>
        <v>200</v>
      </c>
      <c r="G359" s="63">
        <v>0</v>
      </c>
      <c r="H359" s="119" t="s">
        <v>285</v>
      </c>
      <c r="I359" s="116"/>
      <c r="J359" s="117"/>
      <c r="K359" s="120"/>
    </row>
    <row r="360" spans="1:11" ht="15" customHeight="1">
      <c r="A360" s="119" t="s">
        <v>1376</v>
      </c>
      <c r="B360" s="119" t="s">
        <v>1374</v>
      </c>
      <c r="C360" s="119" t="s">
        <v>1403</v>
      </c>
      <c r="D360" s="63">
        <v>100</v>
      </c>
      <c r="E360" s="63"/>
      <c r="F360" s="63">
        <f>Data[[#This Row],[Import]]+Data[[#This Row],[Last month]]-Data[[#This Row],[Export]]</f>
        <v>100</v>
      </c>
      <c r="G360" s="63">
        <v>0</v>
      </c>
      <c r="H360" s="119" t="s">
        <v>285</v>
      </c>
      <c r="I360" s="116"/>
      <c r="J360" s="117"/>
      <c r="K360" s="120"/>
    </row>
    <row r="361" spans="1:11" ht="15" customHeight="1">
      <c r="A361" s="119" t="s">
        <v>1377</v>
      </c>
      <c r="B361" s="119" t="s">
        <v>1374</v>
      </c>
      <c r="C361" s="119" t="s">
        <v>1403</v>
      </c>
      <c r="D361" s="63"/>
      <c r="E361" s="63"/>
      <c r="F361" s="63">
        <f>Data[[#This Row],[Import]]+Data[[#This Row],[Last month]]-Data[[#This Row],[Export]]</f>
        <v>0</v>
      </c>
      <c r="G361" s="63">
        <v>0</v>
      </c>
      <c r="H361" s="119" t="s">
        <v>285</v>
      </c>
      <c r="I361" s="116"/>
      <c r="J361" s="117"/>
      <c r="K361" s="120"/>
    </row>
    <row r="362" spans="1:11" ht="15" customHeight="1">
      <c r="A362" s="119" t="s">
        <v>1378</v>
      </c>
      <c r="B362" s="119" t="s">
        <v>1374</v>
      </c>
      <c r="C362" s="119" t="s">
        <v>1403</v>
      </c>
      <c r="D362" s="63"/>
      <c r="E362" s="63"/>
      <c r="F362" s="63">
        <f>Data[[#This Row],[Import]]+Data[[#This Row],[Last month]]-Data[[#This Row],[Export]]</f>
        <v>0</v>
      </c>
      <c r="G362" s="63">
        <v>0</v>
      </c>
      <c r="H362" s="119" t="s">
        <v>285</v>
      </c>
      <c r="I362" s="116"/>
      <c r="J362" s="117"/>
      <c r="K362" s="120"/>
    </row>
    <row r="363" spans="1:11" ht="15" customHeight="1">
      <c r="A363" s="119" t="s">
        <v>1379</v>
      </c>
      <c r="B363" s="119" t="s">
        <v>1374</v>
      </c>
      <c r="C363" s="119" t="s">
        <v>1403</v>
      </c>
      <c r="D363" s="63"/>
      <c r="E363" s="63"/>
      <c r="F363" s="63">
        <f>Data[[#This Row],[Import]]+Data[[#This Row],[Last month]]-Data[[#This Row],[Export]]</f>
        <v>0</v>
      </c>
      <c r="G363" s="63">
        <v>0</v>
      </c>
      <c r="H363" s="119" t="s">
        <v>285</v>
      </c>
      <c r="I363" s="116"/>
      <c r="J363" s="117"/>
      <c r="K363" s="120"/>
    </row>
    <row r="364" spans="1:11" ht="15" customHeight="1">
      <c r="A364" s="119" t="s">
        <v>1380</v>
      </c>
      <c r="B364" s="119" t="s">
        <v>1381</v>
      </c>
      <c r="C364" s="119" t="s">
        <v>1403</v>
      </c>
      <c r="D364" s="63"/>
      <c r="E364" s="63"/>
      <c r="F364" s="63">
        <f>Data[[#This Row],[Import]]+Data[[#This Row],[Last month]]-Data[[#This Row],[Export]]</f>
        <v>0</v>
      </c>
      <c r="G364" s="63">
        <v>0</v>
      </c>
      <c r="H364" s="119" t="s">
        <v>285</v>
      </c>
      <c r="I364" s="116"/>
      <c r="J364" s="117"/>
      <c r="K364" s="120"/>
    </row>
    <row r="365" spans="1:11" ht="15" customHeight="1">
      <c r="A365" s="119" t="s">
        <v>1401</v>
      </c>
      <c r="B365" s="119" t="s">
        <v>1402</v>
      </c>
      <c r="C365" s="119" t="s">
        <v>772</v>
      </c>
      <c r="D365" s="63"/>
      <c r="E365" s="63"/>
      <c r="F365" s="63">
        <f>Data[[#This Row],[Import]]+Data[[#This Row],[Last month]]-Data[[#This Row],[Export]]</f>
        <v>0</v>
      </c>
      <c r="G365" s="63">
        <v>0</v>
      </c>
      <c r="H365" s="119" t="s">
        <v>285</v>
      </c>
      <c r="I365" s="116"/>
      <c r="J365" s="117"/>
      <c r="K365" s="120"/>
    </row>
    <row r="366" spans="1:11" ht="15" customHeight="1">
      <c r="A366" s="119" t="s">
        <v>1404</v>
      </c>
      <c r="B366" s="119" t="s">
        <v>1405</v>
      </c>
      <c r="C366" s="119" t="s">
        <v>79</v>
      </c>
      <c r="D366" s="63"/>
      <c r="E366" s="63"/>
      <c r="F366" s="63">
        <f>Data[[#This Row],[Import]]+Data[[#This Row],[Last month]]-Data[[#This Row],[Export]]</f>
        <v>0</v>
      </c>
      <c r="G366" s="63">
        <v>0</v>
      </c>
      <c r="H366" s="119" t="s">
        <v>285</v>
      </c>
      <c r="I366" s="116"/>
      <c r="J366" s="117"/>
      <c r="K366" s="120"/>
    </row>
    <row r="367" spans="1:11" ht="15" customHeight="1">
      <c r="A367" s="119" t="s">
        <v>1406</v>
      </c>
      <c r="B367" s="119" t="s">
        <v>1407</v>
      </c>
      <c r="C367" s="119" t="s">
        <v>79</v>
      </c>
      <c r="D367" s="63"/>
      <c r="E367" s="63"/>
      <c r="F367" s="63">
        <f>Data[[#This Row],[Import]]+Data[[#This Row],[Last month]]-Data[[#This Row],[Export]]</f>
        <v>2</v>
      </c>
      <c r="G367" s="63">
        <v>2</v>
      </c>
      <c r="H367" s="119" t="s">
        <v>1408</v>
      </c>
      <c r="I367" s="116"/>
      <c r="J367" s="117"/>
      <c r="K367" s="120"/>
    </row>
    <row r="368" spans="1:11" ht="15" customHeight="1">
      <c r="A368" s="119" t="s">
        <v>1409</v>
      </c>
      <c r="B368" s="119" t="s">
        <v>1410</v>
      </c>
      <c r="C368" s="119" t="s">
        <v>79</v>
      </c>
      <c r="D368" s="63"/>
      <c r="E368" s="63"/>
      <c r="F368" s="63">
        <f>Data[[#This Row],[Import]]+Data[[#This Row],[Last month]]-Data[[#This Row],[Export]]</f>
        <v>0</v>
      </c>
      <c r="G368" s="63">
        <v>0</v>
      </c>
      <c r="H368" s="119" t="s">
        <v>285</v>
      </c>
      <c r="I368" s="116"/>
      <c r="J368" s="117"/>
      <c r="K368" s="120"/>
    </row>
    <row r="369" spans="1:11" ht="15" customHeight="1">
      <c r="A369" s="119" t="s">
        <v>1411</v>
      </c>
      <c r="B369" s="119" t="s">
        <v>1412</v>
      </c>
      <c r="C369" s="119" t="s">
        <v>79</v>
      </c>
      <c r="D369" s="63"/>
      <c r="E369" s="63"/>
      <c r="F369" s="63">
        <f>Data[[#This Row],[Import]]+Data[[#This Row],[Last month]]-Data[[#This Row],[Export]]</f>
        <v>0</v>
      </c>
      <c r="G369" s="63">
        <v>0</v>
      </c>
      <c r="H369" s="119" t="s">
        <v>285</v>
      </c>
      <c r="I369" s="116"/>
      <c r="J369" s="117"/>
      <c r="K369" s="120"/>
    </row>
    <row r="370" spans="1:11" ht="15" customHeight="1">
      <c r="A370" s="119" t="s">
        <v>1413</v>
      </c>
      <c r="B370" s="119" t="s">
        <v>1414</v>
      </c>
      <c r="C370" s="119" t="s">
        <v>79</v>
      </c>
      <c r="D370" s="63"/>
      <c r="E370" s="63"/>
      <c r="F370" s="63">
        <f>Data[[#This Row],[Import]]+Data[[#This Row],[Last month]]-Data[[#This Row],[Export]]</f>
        <v>0</v>
      </c>
      <c r="G370" s="63">
        <v>0</v>
      </c>
      <c r="H370" s="119" t="s">
        <v>285</v>
      </c>
      <c r="I370" s="116"/>
      <c r="J370" s="117"/>
      <c r="K370" s="120"/>
    </row>
    <row r="371" spans="1:11" ht="15" customHeight="1">
      <c r="A371" s="119" t="s">
        <v>1415</v>
      </c>
      <c r="B371" s="119" t="s">
        <v>1416</v>
      </c>
      <c r="C371" s="119" t="s">
        <v>79</v>
      </c>
      <c r="D371" s="63"/>
      <c r="E371" s="63"/>
      <c r="F371" s="63">
        <f>Data[[#This Row],[Import]]+Data[[#This Row],[Last month]]-Data[[#This Row],[Export]]</f>
        <v>0</v>
      </c>
      <c r="G371" s="63">
        <v>0</v>
      </c>
      <c r="H371" s="119" t="s">
        <v>285</v>
      </c>
      <c r="I371" s="116"/>
      <c r="J371" s="117"/>
      <c r="K371" s="120"/>
    </row>
    <row r="372" spans="1:11" ht="15" customHeight="1">
      <c r="A372" s="119" t="s">
        <v>1417</v>
      </c>
      <c r="B372" s="119" t="s">
        <v>1418</v>
      </c>
      <c r="C372" s="119" t="s">
        <v>79</v>
      </c>
      <c r="D372" s="63"/>
      <c r="E372" s="63"/>
      <c r="F372" s="63">
        <f>Data[[#This Row],[Import]]+Data[[#This Row],[Last month]]-Data[[#This Row],[Export]]</f>
        <v>0</v>
      </c>
      <c r="G372" s="63">
        <v>0</v>
      </c>
      <c r="H372" s="119" t="s">
        <v>285</v>
      </c>
      <c r="I372" s="116"/>
      <c r="J372" s="117"/>
      <c r="K372" s="120"/>
    </row>
    <row r="373" spans="1:11" ht="15" customHeight="1">
      <c r="A373" s="119" t="s">
        <v>1419</v>
      </c>
      <c r="B373" s="119" t="s">
        <v>1420</v>
      </c>
      <c r="C373" s="119" t="s">
        <v>79</v>
      </c>
      <c r="D373" s="63"/>
      <c r="E373" s="63"/>
      <c r="F373" s="63">
        <f>Data[[#This Row],[Import]]+Data[[#This Row],[Last month]]-Data[[#This Row],[Export]]</f>
        <v>5</v>
      </c>
      <c r="G373" s="63">
        <v>5</v>
      </c>
      <c r="H373" s="119" t="s">
        <v>1421</v>
      </c>
      <c r="I373" s="116"/>
      <c r="J373" s="117"/>
      <c r="K373" s="120"/>
    </row>
    <row r="374" spans="1:11" ht="15" customHeight="1">
      <c r="A374" s="119" t="s">
        <v>1422</v>
      </c>
      <c r="B374" s="119" t="s">
        <v>1423</v>
      </c>
      <c r="C374" s="119" t="s">
        <v>79</v>
      </c>
      <c r="D374" s="63"/>
      <c r="E374" s="63"/>
      <c r="F374" s="63">
        <f>Data[[#This Row],[Import]]+Data[[#This Row],[Last month]]-Data[[#This Row],[Export]]</f>
        <v>5</v>
      </c>
      <c r="G374" s="63">
        <v>5</v>
      </c>
      <c r="H374" s="119" t="s">
        <v>1424</v>
      </c>
      <c r="I374" s="116"/>
      <c r="J374" s="117"/>
      <c r="K374" s="120"/>
    </row>
    <row r="375" spans="1:11" ht="15" customHeight="1">
      <c r="A375" s="119" t="s">
        <v>1425</v>
      </c>
      <c r="B375" s="128" t="s">
        <v>1427</v>
      </c>
      <c r="C375" s="119" t="s">
        <v>97</v>
      </c>
      <c r="D375" s="63"/>
      <c r="E375" s="63"/>
      <c r="F375" s="63">
        <f>Data[[#This Row],[Import]]+Data[[#This Row],[Last month]]-Data[[#This Row],[Export]]</f>
        <v>100</v>
      </c>
      <c r="G375" s="63">
        <v>100</v>
      </c>
      <c r="H375" s="119" t="s">
        <v>1426</v>
      </c>
      <c r="I375" s="116" t="s">
        <v>1170</v>
      </c>
      <c r="J375" s="117"/>
      <c r="K375" s="120"/>
    </row>
    <row r="376" spans="1:11" ht="15" customHeight="1">
      <c r="A376" s="119" t="s">
        <v>1428</v>
      </c>
      <c r="B376" s="119" t="s">
        <v>1429</v>
      </c>
      <c r="C376" s="119" t="s">
        <v>171</v>
      </c>
      <c r="D376" s="63"/>
      <c r="E376" s="63"/>
      <c r="F376" s="63">
        <f>Data[[#This Row],[Import]]+Data[[#This Row],[Last month]]-Data[[#This Row],[Export]]</f>
        <v>0</v>
      </c>
      <c r="G376" s="63">
        <v>0</v>
      </c>
      <c r="H376" s="119" t="s">
        <v>285</v>
      </c>
      <c r="I376" s="116"/>
      <c r="J376" s="117"/>
      <c r="K376" s="120"/>
    </row>
    <row r="377" spans="1:11" ht="15" customHeight="1">
      <c r="A377" s="119" t="s">
        <v>1431</v>
      </c>
      <c r="B377" s="119" t="s">
        <v>1433</v>
      </c>
      <c r="C377" s="119" t="s">
        <v>79</v>
      </c>
      <c r="D377" s="63"/>
      <c r="E377" s="63"/>
      <c r="F377" s="63">
        <f>Data[[#This Row],[Import]]+Data[[#This Row],[Last month]]-Data[[#This Row],[Export]]</f>
        <v>0</v>
      </c>
      <c r="G377" s="63">
        <v>0</v>
      </c>
      <c r="H377" s="119" t="s">
        <v>285</v>
      </c>
      <c r="I377" s="116"/>
      <c r="J377" s="117"/>
      <c r="K377" s="120"/>
    </row>
    <row r="378" spans="1:11" ht="15" customHeight="1">
      <c r="A378" s="119" t="s">
        <v>1432</v>
      </c>
      <c r="B378" s="119" t="s">
        <v>1434</v>
      </c>
      <c r="C378" s="119" t="s">
        <v>79</v>
      </c>
      <c r="D378" s="63"/>
      <c r="E378" s="63"/>
      <c r="F378" s="63">
        <f>Data[[#This Row],[Import]]+Data[[#This Row],[Last month]]-Data[[#This Row],[Export]]</f>
        <v>0</v>
      </c>
      <c r="G378" s="63">
        <v>0</v>
      </c>
      <c r="H378" s="119" t="s">
        <v>285</v>
      </c>
      <c r="I378" s="116"/>
      <c r="J378" s="117"/>
      <c r="K378" s="120"/>
    </row>
    <row r="379" spans="1:11" ht="15" customHeight="1">
      <c r="A379" s="119" t="s">
        <v>1435</v>
      </c>
      <c r="B379" s="119" t="s">
        <v>1436</v>
      </c>
      <c r="C379" s="119" t="s">
        <v>79</v>
      </c>
      <c r="D379" s="63"/>
      <c r="E379" s="63"/>
      <c r="F379" s="63">
        <f>Data[[#This Row],[Import]]+Data[[#This Row],[Last month]]-Data[[#This Row],[Export]]</f>
        <v>0</v>
      </c>
      <c r="G379" s="63">
        <v>0</v>
      </c>
      <c r="H379" s="119" t="s">
        <v>285</v>
      </c>
      <c r="I379" s="116"/>
      <c r="J379" s="117"/>
      <c r="K379" s="120"/>
    </row>
    <row r="380" spans="1:11" ht="15" customHeight="1">
      <c r="A380" s="119" t="s">
        <v>1437</v>
      </c>
      <c r="B380" s="119" t="s">
        <v>1338</v>
      </c>
      <c r="C380" s="119" t="s">
        <v>80</v>
      </c>
      <c r="D380" s="63"/>
      <c r="E380" s="63"/>
      <c r="F380" s="63">
        <f>Data[[#This Row],[Import]]+Data[[#This Row],[Last month]]-Data[[#This Row],[Export]]</f>
        <v>0</v>
      </c>
      <c r="G380" s="63">
        <v>0</v>
      </c>
      <c r="H380" s="119" t="s">
        <v>285</v>
      </c>
      <c r="I380" s="116"/>
      <c r="J380" s="117"/>
      <c r="K380" s="120"/>
    </row>
    <row r="381" spans="1:11" ht="15" customHeight="1">
      <c r="A381" s="119" t="s">
        <v>1438</v>
      </c>
      <c r="B381" s="119" t="s">
        <v>1439</v>
      </c>
      <c r="C381" s="119" t="s">
        <v>90</v>
      </c>
      <c r="D381" s="63"/>
      <c r="E381" s="63"/>
      <c r="F381" s="63">
        <f>Data[[#This Row],[Import]]+Data[[#This Row],[Last month]]-Data[[#This Row],[Export]]</f>
        <v>0</v>
      </c>
      <c r="G381" s="63">
        <v>0</v>
      </c>
      <c r="H381" s="119" t="s">
        <v>285</v>
      </c>
      <c r="I381" s="116"/>
      <c r="J381" s="117"/>
      <c r="K381" s="120"/>
    </row>
    <row r="382" spans="1:11" ht="15" customHeight="1">
      <c r="A382" s="119" t="s">
        <v>1440</v>
      </c>
      <c r="B382" s="119" t="s">
        <v>1439</v>
      </c>
      <c r="C382" s="119" t="s">
        <v>90</v>
      </c>
      <c r="D382" s="63"/>
      <c r="E382" s="63"/>
      <c r="F382" s="63">
        <f>Data[[#This Row],[Import]]+Data[[#This Row],[Last month]]-Data[[#This Row],[Export]]</f>
        <v>200</v>
      </c>
      <c r="G382" s="63">
        <v>200</v>
      </c>
      <c r="H382" s="119" t="s">
        <v>285</v>
      </c>
      <c r="I382" s="116"/>
      <c r="J382" s="117"/>
      <c r="K382" s="120"/>
    </row>
    <row r="383" spans="1:11" ht="15" customHeight="1">
      <c r="A383" s="119" t="s">
        <v>1441</v>
      </c>
      <c r="B383" s="119" t="s">
        <v>1446</v>
      </c>
      <c r="C383" s="119" t="s">
        <v>79</v>
      </c>
      <c r="D383" s="63"/>
      <c r="E383" s="63"/>
      <c r="F383" s="63">
        <f>Data[[#This Row],[Import]]+Data[[#This Row],[Last month]]-Data[[#This Row],[Export]]</f>
        <v>400</v>
      </c>
      <c r="G383" s="63">
        <v>400</v>
      </c>
      <c r="H383" s="119" t="s">
        <v>285</v>
      </c>
      <c r="I383" s="116"/>
      <c r="J383" s="117"/>
      <c r="K383" s="120"/>
    </row>
    <row r="384" spans="1:11" ht="15" customHeight="1">
      <c r="A384" s="119" t="s">
        <v>1442</v>
      </c>
      <c r="B384" s="119" t="s">
        <v>1447</v>
      </c>
      <c r="C384" s="119" t="s">
        <v>79</v>
      </c>
      <c r="D384" s="63"/>
      <c r="E384" s="63"/>
      <c r="F384" s="63">
        <f>Data[[#This Row],[Import]]+Data[[#This Row],[Last month]]-Data[[#This Row],[Export]]</f>
        <v>20</v>
      </c>
      <c r="G384" s="63">
        <v>20</v>
      </c>
      <c r="H384" s="119" t="s">
        <v>285</v>
      </c>
      <c r="I384" s="116"/>
      <c r="J384" s="117"/>
      <c r="K384" s="120"/>
    </row>
    <row r="385" spans="1:11" ht="15" customHeight="1">
      <c r="A385" s="119" t="s">
        <v>1443</v>
      </c>
      <c r="B385" s="119" t="s">
        <v>1448</v>
      </c>
      <c r="C385" s="119" t="s">
        <v>79</v>
      </c>
      <c r="D385" s="63"/>
      <c r="E385" s="63"/>
      <c r="F385" s="63">
        <f>Data[[#This Row],[Import]]+Data[[#This Row],[Last month]]-Data[[#This Row],[Export]]</f>
        <v>2</v>
      </c>
      <c r="G385" s="63">
        <v>2</v>
      </c>
      <c r="H385" s="119" t="s">
        <v>285</v>
      </c>
      <c r="I385" s="116"/>
      <c r="J385" s="117"/>
      <c r="K385" s="120"/>
    </row>
    <row r="386" spans="1:11" ht="15" customHeight="1">
      <c r="A386" s="119" t="s">
        <v>1444</v>
      </c>
      <c r="B386" s="119" t="s">
        <v>1449</v>
      </c>
      <c r="C386" s="119" t="s">
        <v>79</v>
      </c>
      <c r="D386" s="63"/>
      <c r="E386" s="63"/>
      <c r="F386" s="63">
        <f>Data[[#This Row],[Import]]+Data[[#This Row],[Last month]]-Data[[#This Row],[Export]]</f>
        <v>1</v>
      </c>
      <c r="G386" s="63">
        <v>1</v>
      </c>
      <c r="H386" s="119" t="s">
        <v>285</v>
      </c>
      <c r="I386" s="116"/>
      <c r="J386" s="117"/>
      <c r="K386" s="120"/>
    </row>
    <row r="387" spans="1:11" ht="15" customHeight="1">
      <c r="A387" s="119" t="s">
        <v>1445</v>
      </c>
      <c r="B387" s="119" t="s">
        <v>1449</v>
      </c>
      <c r="C387" s="119" t="s">
        <v>79</v>
      </c>
      <c r="D387" s="63"/>
      <c r="E387" s="63"/>
      <c r="F387" s="63">
        <f>Data[[#This Row],[Import]]+Data[[#This Row],[Last month]]-Data[[#This Row],[Export]]</f>
        <v>1</v>
      </c>
      <c r="G387" s="63">
        <v>1</v>
      </c>
      <c r="H387" s="119" t="s">
        <v>285</v>
      </c>
      <c r="I387" s="116"/>
      <c r="J387" s="117"/>
      <c r="K387" s="120"/>
    </row>
    <row r="388" spans="1:11" ht="15" customHeight="1">
      <c r="A388" s="119" t="s">
        <v>1450</v>
      </c>
      <c r="B388" s="119" t="s">
        <v>1460</v>
      </c>
      <c r="C388" s="119" t="s">
        <v>79</v>
      </c>
      <c r="D388" s="63"/>
      <c r="E388" s="63"/>
      <c r="F388" s="63">
        <f>Data[[#This Row],[Import]]+Data[[#This Row],[Last month]]-Data[[#This Row],[Export]]</f>
        <v>60</v>
      </c>
      <c r="G388" s="63">
        <v>60</v>
      </c>
      <c r="H388" s="119" t="s">
        <v>285</v>
      </c>
      <c r="I388" s="116"/>
      <c r="J388" s="117"/>
      <c r="K388" s="120"/>
    </row>
    <row r="389" spans="1:11" ht="15" customHeight="1">
      <c r="A389" s="119" t="s">
        <v>1451</v>
      </c>
      <c r="B389" s="119" t="s">
        <v>1460</v>
      </c>
      <c r="C389" s="119" t="s">
        <v>79</v>
      </c>
      <c r="D389" s="63"/>
      <c r="E389" s="63"/>
      <c r="F389" s="63">
        <f>Data[[#This Row],[Import]]+Data[[#This Row],[Last month]]-Data[[#This Row],[Export]]</f>
        <v>21</v>
      </c>
      <c r="G389" s="63">
        <v>21</v>
      </c>
      <c r="H389" s="119" t="s">
        <v>285</v>
      </c>
      <c r="I389" s="116"/>
      <c r="J389" s="117"/>
      <c r="K389" s="120"/>
    </row>
    <row r="390" spans="1:11" ht="15" customHeight="1">
      <c r="A390" s="119" t="s">
        <v>1452</v>
      </c>
      <c r="B390" s="119" t="s">
        <v>1460</v>
      </c>
      <c r="C390" s="119" t="s">
        <v>79</v>
      </c>
      <c r="D390" s="63"/>
      <c r="E390" s="63"/>
      <c r="F390" s="63">
        <f>Data[[#This Row],[Import]]+Data[[#This Row],[Last month]]-Data[[#This Row],[Export]]</f>
        <v>19</v>
      </c>
      <c r="G390" s="63">
        <v>19</v>
      </c>
      <c r="H390" s="119" t="s">
        <v>285</v>
      </c>
      <c r="I390" s="116"/>
      <c r="J390" s="117"/>
      <c r="K390" s="120"/>
    </row>
    <row r="391" spans="1:11" ht="15" customHeight="1">
      <c r="A391" s="119" t="s">
        <v>1453</v>
      </c>
      <c r="B391" s="119" t="s">
        <v>1461</v>
      </c>
      <c r="C391" s="119" t="s">
        <v>79</v>
      </c>
      <c r="D391" s="63"/>
      <c r="E391" s="63"/>
      <c r="F391" s="63">
        <f>Data[[#This Row],[Import]]+Data[[#This Row],[Last month]]-Data[[#This Row],[Export]]</f>
        <v>4</v>
      </c>
      <c r="G391" s="63">
        <v>4</v>
      </c>
      <c r="H391" s="119" t="s">
        <v>285</v>
      </c>
      <c r="I391" s="116"/>
      <c r="J391" s="117"/>
      <c r="K391" s="120"/>
    </row>
    <row r="392" spans="1:11" ht="15" customHeight="1">
      <c r="A392" s="119" t="s">
        <v>1454</v>
      </c>
      <c r="B392" s="119" t="s">
        <v>1462</v>
      </c>
      <c r="C392" s="119" t="s">
        <v>79</v>
      </c>
      <c r="D392" s="63"/>
      <c r="E392" s="63"/>
      <c r="F392" s="63">
        <f>Data[[#This Row],[Import]]+Data[[#This Row],[Last month]]-Data[[#This Row],[Export]]</f>
        <v>4</v>
      </c>
      <c r="G392" s="63">
        <v>4</v>
      </c>
      <c r="H392" s="119" t="s">
        <v>285</v>
      </c>
      <c r="I392" s="116"/>
      <c r="J392" s="117"/>
      <c r="K392" s="120"/>
    </row>
    <row r="393" spans="1:11" ht="15" customHeight="1">
      <c r="A393" s="119" t="s">
        <v>1455</v>
      </c>
      <c r="B393" s="119" t="s">
        <v>1462</v>
      </c>
      <c r="C393" s="119" t="s">
        <v>79</v>
      </c>
      <c r="D393" s="63"/>
      <c r="E393" s="63"/>
      <c r="F393" s="63">
        <f>Data[[#This Row],[Import]]+Data[[#This Row],[Last month]]-Data[[#This Row],[Export]]</f>
        <v>1</v>
      </c>
      <c r="G393" s="63">
        <v>1</v>
      </c>
      <c r="H393" s="119" t="s">
        <v>285</v>
      </c>
      <c r="I393" s="116"/>
      <c r="J393" s="117"/>
      <c r="K393" s="120"/>
    </row>
    <row r="394" spans="1:11" ht="15" customHeight="1">
      <c r="A394" s="119" t="s">
        <v>1456</v>
      </c>
      <c r="B394" s="119" t="s">
        <v>1461</v>
      </c>
      <c r="C394" s="119" t="s">
        <v>79</v>
      </c>
      <c r="D394" s="63"/>
      <c r="E394" s="63"/>
      <c r="F394" s="63">
        <f>Data[[#This Row],[Import]]+Data[[#This Row],[Last month]]-Data[[#This Row],[Export]]</f>
        <v>1</v>
      </c>
      <c r="G394" s="63">
        <v>1</v>
      </c>
      <c r="H394" s="119" t="s">
        <v>285</v>
      </c>
      <c r="I394" s="116"/>
      <c r="J394" s="117"/>
      <c r="K394" s="120"/>
    </row>
    <row r="395" spans="1:11" ht="15" customHeight="1">
      <c r="A395" s="119" t="s">
        <v>1457</v>
      </c>
      <c r="B395" s="119" t="s">
        <v>1462</v>
      </c>
      <c r="C395" s="119" t="s">
        <v>79</v>
      </c>
      <c r="D395" s="63"/>
      <c r="E395" s="63"/>
      <c r="F395" s="63">
        <f>Data[[#This Row],[Import]]+Data[[#This Row],[Last month]]-Data[[#This Row],[Export]]</f>
        <v>3</v>
      </c>
      <c r="G395" s="63">
        <v>3</v>
      </c>
      <c r="H395" s="119" t="s">
        <v>285</v>
      </c>
      <c r="I395" s="116"/>
      <c r="J395" s="117"/>
      <c r="K395" s="120"/>
    </row>
    <row r="396" spans="1:11" ht="15" customHeight="1">
      <c r="A396" s="119" t="s">
        <v>1458</v>
      </c>
      <c r="B396" s="119" t="s">
        <v>1461</v>
      </c>
      <c r="C396" s="119" t="s">
        <v>79</v>
      </c>
      <c r="D396" s="63"/>
      <c r="E396" s="63"/>
      <c r="F396" s="63">
        <f>Data[[#This Row],[Import]]+Data[[#This Row],[Last month]]-Data[[#This Row],[Export]]</f>
        <v>2</v>
      </c>
      <c r="G396" s="63">
        <v>2</v>
      </c>
      <c r="H396" s="119" t="s">
        <v>285</v>
      </c>
      <c r="I396" s="116"/>
      <c r="J396" s="117"/>
      <c r="K396" s="120"/>
    </row>
    <row r="397" spans="1:11" ht="15" customHeight="1">
      <c r="A397" s="119" t="s">
        <v>1459</v>
      </c>
      <c r="B397" s="119" t="s">
        <v>1462</v>
      </c>
      <c r="C397" s="119" t="s">
        <v>79</v>
      </c>
      <c r="D397" s="63"/>
      <c r="E397" s="63"/>
      <c r="F397" s="63">
        <f>Data[[#This Row],[Import]]+Data[[#This Row],[Last month]]-Data[[#This Row],[Export]]</f>
        <v>1</v>
      </c>
      <c r="G397" s="63">
        <v>1</v>
      </c>
      <c r="H397" s="119" t="s">
        <v>285</v>
      </c>
      <c r="I397" s="116"/>
      <c r="J397" s="117"/>
      <c r="K397" s="120"/>
    </row>
    <row r="398" spans="1:11" ht="15" customHeight="1">
      <c r="A398" s="119" t="s">
        <v>1463</v>
      </c>
      <c r="B398" s="119" t="s">
        <v>1464</v>
      </c>
      <c r="C398" s="119" t="s">
        <v>79</v>
      </c>
      <c r="D398" s="63"/>
      <c r="E398" s="63"/>
      <c r="F398" s="63">
        <f>Data[[#This Row],[Import]]+Data[[#This Row],[Last month]]-Data[[#This Row],[Export]]</f>
        <v>400</v>
      </c>
      <c r="G398" s="63">
        <v>400</v>
      </c>
      <c r="H398" s="119" t="s">
        <v>285</v>
      </c>
      <c r="I398" s="116"/>
      <c r="J398" s="117"/>
      <c r="K398" s="120"/>
    </row>
  </sheetData>
  <phoneticPr fontId="24"/>
  <conditionalFormatting sqref="H297:H342 H242:H275 H240 H113:H235 H1:H72 H74:H110 H345:H365 H367:H1048576 H281:H294">
    <cfRule type="duplicateValues" dxfId="224" priority="258"/>
    <cfRule type="beginsWith" dxfId="223" priority="266" operator="beginsWith" text="AJ">
      <formula>LEFT(H1,LEN("AJ"))="AJ"</formula>
    </cfRule>
  </conditionalFormatting>
  <conditionalFormatting sqref="F2:F398">
    <cfRule type="expression" dxfId="222" priority="265">
      <formula xml:space="preserve"> $F2 = 0</formula>
    </cfRule>
  </conditionalFormatting>
  <conditionalFormatting sqref="A345:A365 A297:A342 A264:A275 A240:A253 A74:A110 A1:A72 A112:A235 A367:A1048576 A281:A294">
    <cfRule type="duplicateValues" dxfId="221" priority="256"/>
    <cfRule type="duplicateValues" dxfId="220" priority="257"/>
    <cfRule type="duplicateValues" dxfId="219" priority="259"/>
    <cfRule type="duplicateValues" dxfId="218" priority="260"/>
    <cfRule type="duplicateValues" dxfId="217" priority="261"/>
    <cfRule type="duplicateValues" dxfId="216" priority="262"/>
    <cfRule type="duplicateValues" dxfId="215" priority="263"/>
    <cfRule type="duplicateValues" dxfId="214" priority="264"/>
  </conditionalFormatting>
  <conditionalFormatting sqref="H297:H342 H242:H275 H240 H74:H110 H1:H72 H112:H235 H345:H365 H367:H1048576 H281:H294">
    <cfRule type="duplicateValues" dxfId="213" priority="255"/>
  </conditionalFormatting>
  <conditionalFormatting sqref="H73">
    <cfRule type="duplicateValues" dxfId="212" priority="253"/>
    <cfRule type="beginsWith" dxfId="211" priority="254" operator="beginsWith" text="AJ">
      <formula>LEFT(H73,LEN("AJ"))="AJ"</formula>
    </cfRule>
  </conditionalFormatting>
  <conditionalFormatting sqref="A73">
    <cfRule type="duplicateValues" dxfId="210" priority="245"/>
    <cfRule type="duplicateValues" dxfId="209" priority="246"/>
    <cfRule type="duplicateValues" dxfId="208" priority="248"/>
    <cfRule type="duplicateValues" dxfId="207" priority="249"/>
    <cfRule type="duplicateValues" dxfId="206" priority="250"/>
    <cfRule type="duplicateValues" dxfId="205" priority="251"/>
    <cfRule type="duplicateValues" dxfId="204" priority="252"/>
    <cfRule type="duplicateValues" dxfId="203" priority="267"/>
  </conditionalFormatting>
  <conditionalFormatting sqref="H73">
    <cfRule type="duplicateValues" dxfId="202" priority="244"/>
  </conditionalFormatting>
  <conditionalFormatting sqref="H297:H342 H1:H110 H112:H275 H345:H365 H367:H1048576 H281:H294">
    <cfRule type="duplicateValues" dxfId="201" priority="235"/>
    <cfRule type="duplicateValues" dxfId="200" priority="242"/>
    <cfRule type="duplicateValues" dxfId="199" priority="243"/>
  </conditionalFormatting>
  <conditionalFormatting sqref="A345:A365 A297:A342 A264:A275 A1:A110 A112:A253 A367:A1048576 A281:A294">
    <cfRule type="duplicateValues" dxfId="198" priority="236"/>
    <cfRule type="duplicateValues" dxfId="197" priority="240"/>
    <cfRule type="duplicateValues" dxfId="196" priority="241"/>
  </conditionalFormatting>
  <conditionalFormatting sqref="H239">
    <cfRule type="duplicateValues" dxfId="195" priority="227"/>
    <cfRule type="beginsWith" dxfId="194" priority="234" operator="beginsWith" text="AJ">
      <formula>LEFT(H239,LEN("AJ"))="AJ"</formula>
    </cfRule>
  </conditionalFormatting>
  <conditionalFormatting sqref="A239">
    <cfRule type="duplicateValues" dxfId="193" priority="225"/>
    <cfRule type="duplicateValues" dxfId="192" priority="226"/>
    <cfRule type="duplicateValues" dxfId="191" priority="228"/>
    <cfRule type="duplicateValues" dxfId="190" priority="229"/>
    <cfRule type="duplicateValues" dxfId="189" priority="230"/>
    <cfRule type="duplicateValues" dxfId="188" priority="231"/>
    <cfRule type="duplicateValues" dxfId="187" priority="232"/>
    <cfRule type="duplicateValues" dxfId="186" priority="233"/>
  </conditionalFormatting>
  <conditionalFormatting sqref="H239">
    <cfRule type="duplicateValues" dxfId="185" priority="224"/>
  </conditionalFormatting>
  <conditionalFormatting sqref="H239">
    <cfRule type="duplicateValues" dxfId="184" priority="218"/>
    <cfRule type="duplicateValues" dxfId="183" priority="222"/>
    <cfRule type="duplicateValues" dxfId="182" priority="223"/>
  </conditionalFormatting>
  <conditionalFormatting sqref="A239">
    <cfRule type="duplicateValues" dxfId="181" priority="219"/>
    <cfRule type="duplicateValues" dxfId="180" priority="220"/>
    <cfRule type="duplicateValues" dxfId="179" priority="221"/>
  </conditionalFormatting>
  <conditionalFormatting sqref="H236">
    <cfRule type="duplicateValues" dxfId="178" priority="199"/>
    <cfRule type="beginsWith" dxfId="177" priority="206" operator="beginsWith" text="AJ">
      <formula>LEFT(H236,LEN("AJ"))="AJ"</formula>
    </cfRule>
  </conditionalFormatting>
  <conditionalFormatting sqref="A236">
    <cfRule type="duplicateValues" dxfId="176" priority="197"/>
    <cfRule type="duplicateValues" dxfId="175" priority="198"/>
    <cfRule type="duplicateValues" dxfId="174" priority="200"/>
    <cfRule type="duplicateValues" dxfId="173" priority="201"/>
    <cfRule type="duplicateValues" dxfId="172" priority="202"/>
    <cfRule type="duplicateValues" dxfId="171" priority="203"/>
    <cfRule type="duplicateValues" dxfId="170" priority="204"/>
    <cfRule type="duplicateValues" dxfId="169" priority="205"/>
  </conditionalFormatting>
  <conditionalFormatting sqref="H236">
    <cfRule type="duplicateValues" dxfId="168" priority="196"/>
  </conditionalFormatting>
  <conditionalFormatting sqref="H236">
    <cfRule type="duplicateValues" dxfId="167" priority="190"/>
    <cfRule type="duplicateValues" dxfId="166" priority="194"/>
    <cfRule type="duplicateValues" dxfId="165" priority="195"/>
  </conditionalFormatting>
  <conditionalFormatting sqref="A236">
    <cfRule type="duplicateValues" dxfId="164" priority="191"/>
    <cfRule type="duplicateValues" dxfId="163" priority="192"/>
    <cfRule type="duplicateValues" dxfId="162" priority="193"/>
  </conditionalFormatting>
  <conditionalFormatting sqref="H237:H238">
    <cfRule type="duplicateValues" dxfId="161" priority="188"/>
    <cfRule type="beginsWith" dxfId="160" priority="189" operator="beginsWith" text="AJ">
      <formula>LEFT(H237,LEN("AJ"))="AJ"</formula>
    </cfRule>
  </conditionalFormatting>
  <conditionalFormatting sqref="H237:H238">
    <cfRule type="duplicateValues" dxfId="159" priority="187"/>
  </conditionalFormatting>
  <conditionalFormatting sqref="H237:H238">
    <cfRule type="duplicateValues" dxfId="158" priority="184"/>
    <cfRule type="duplicateValues" dxfId="157" priority="185"/>
    <cfRule type="duplicateValues" dxfId="156" priority="186"/>
  </conditionalFormatting>
  <conditionalFormatting sqref="H241">
    <cfRule type="duplicateValues" dxfId="155" priority="182"/>
    <cfRule type="beginsWith" dxfId="154" priority="183" operator="beginsWith" text="AJ">
      <formula>LEFT(H241,LEN("AJ"))="AJ"</formula>
    </cfRule>
  </conditionalFormatting>
  <conditionalFormatting sqref="H241">
    <cfRule type="duplicateValues" dxfId="153" priority="181"/>
  </conditionalFormatting>
  <conditionalFormatting sqref="H241">
    <cfRule type="duplicateValues" dxfId="152" priority="178"/>
    <cfRule type="duplicateValues" dxfId="151" priority="179"/>
    <cfRule type="duplicateValues" dxfId="150" priority="180"/>
  </conditionalFormatting>
  <conditionalFormatting sqref="H111">
    <cfRule type="duplicateValues" dxfId="149" priority="169"/>
    <cfRule type="beginsWith" dxfId="148" priority="177" operator="beginsWith" text="AJ">
      <formula>LEFT(H111,LEN("AJ"))="AJ"</formula>
    </cfRule>
  </conditionalFormatting>
  <conditionalFormatting sqref="A111">
    <cfRule type="duplicateValues" dxfId="147" priority="167"/>
    <cfRule type="duplicateValues" dxfId="146" priority="168"/>
    <cfRule type="duplicateValues" dxfId="145" priority="170"/>
    <cfRule type="duplicateValues" dxfId="144" priority="171"/>
    <cfRule type="duplicateValues" dxfId="143" priority="172"/>
    <cfRule type="duplicateValues" dxfId="142" priority="173"/>
    <cfRule type="duplicateValues" dxfId="141" priority="174"/>
    <cfRule type="duplicateValues" dxfId="140" priority="175"/>
  </conditionalFormatting>
  <conditionalFormatting sqref="H111">
    <cfRule type="duplicateValues" dxfId="139" priority="166"/>
  </conditionalFormatting>
  <conditionalFormatting sqref="H111">
    <cfRule type="duplicateValues" dxfId="138" priority="160"/>
    <cfRule type="duplicateValues" dxfId="137" priority="164"/>
    <cfRule type="duplicateValues" dxfId="136" priority="165"/>
  </conditionalFormatting>
  <conditionalFormatting sqref="A111">
    <cfRule type="duplicateValues" dxfId="135" priority="161"/>
    <cfRule type="duplicateValues" dxfId="134" priority="162"/>
    <cfRule type="duplicateValues" dxfId="133" priority="163"/>
  </conditionalFormatting>
  <conditionalFormatting sqref="A345:A365 A1:A275 A367:A1048576 A281:A342">
    <cfRule type="duplicateValues" dxfId="132" priority="137"/>
  </conditionalFormatting>
  <conditionalFormatting sqref="A295">
    <cfRule type="duplicateValues" dxfId="131" priority="127"/>
    <cfRule type="duplicateValues" dxfId="130" priority="128"/>
    <cfRule type="duplicateValues" dxfId="129" priority="130"/>
    <cfRule type="duplicateValues" dxfId="128" priority="131"/>
    <cfRule type="duplicateValues" dxfId="127" priority="132"/>
    <cfRule type="duplicateValues" dxfId="126" priority="133"/>
    <cfRule type="duplicateValues" dxfId="125" priority="134"/>
    <cfRule type="duplicateValues" dxfId="124" priority="135"/>
  </conditionalFormatting>
  <conditionalFormatting sqref="A295">
    <cfRule type="duplicateValues" dxfId="123" priority="121"/>
    <cfRule type="duplicateValues" dxfId="122" priority="122"/>
    <cfRule type="duplicateValues" dxfId="121" priority="123"/>
  </conditionalFormatting>
  <conditionalFormatting sqref="A295">
    <cfRule type="duplicateValues" dxfId="120" priority="119"/>
  </conditionalFormatting>
  <conditionalFormatting sqref="H295:H296">
    <cfRule type="duplicateValues" dxfId="119" priority="117"/>
    <cfRule type="beginsWith" dxfId="118" priority="118" operator="beginsWith" text="AJ">
      <formula>LEFT(H295,LEN("AJ"))="AJ"</formula>
    </cfRule>
  </conditionalFormatting>
  <conditionalFormatting sqref="H295:H296">
    <cfRule type="duplicateValues" dxfId="117" priority="116"/>
  </conditionalFormatting>
  <conditionalFormatting sqref="H295:H296">
    <cfRule type="duplicateValues" dxfId="116" priority="113"/>
    <cfRule type="duplicateValues" dxfId="115" priority="114"/>
    <cfRule type="duplicateValues" dxfId="114" priority="115"/>
  </conditionalFormatting>
  <conditionalFormatting sqref="A296">
    <cfRule type="duplicateValues" dxfId="113" priority="103"/>
    <cfRule type="duplicateValues" dxfId="112" priority="104"/>
    <cfRule type="duplicateValues" dxfId="111" priority="106"/>
    <cfRule type="duplicateValues" dxfId="110" priority="107"/>
    <cfRule type="duplicateValues" dxfId="109" priority="108"/>
    <cfRule type="duplicateValues" dxfId="108" priority="109"/>
    <cfRule type="duplicateValues" dxfId="107" priority="110"/>
    <cfRule type="duplicateValues" dxfId="106" priority="111"/>
  </conditionalFormatting>
  <conditionalFormatting sqref="A296">
    <cfRule type="duplicateValues" dxfId="105" priority="97"/>
    <cfRule type="duplicateValues" dxfId="104" priority="98"/>
    <cfRule type="duplicateValues" dxfId="103" priority="99"/>
  </conditionalFormatting>
  <conditionalFormatting sqref="A296">
    <cfRule type="duplicateValues" dxfId="102" priority="95"/>
  </conditionalFormatting>
  <conditionalFormatting sqref="A281:A1048576 A1:A275">
    <cfRule type="duplicateValues" dxfId="101" priority="59"/>
  </conditionalFormatting>
  <conditionalFormatting sqref="H343:H344">
    <cfRule type="duplicateValues" dxfId="100" priority="356"/>
    <cfRule type="beginsWith" dxfId="99" priority="357" operator="beginsWith" text="AJ">
      <formula>LEFT(H343,LEN("AJ"))="AJ"</formula>
    </cfRule>
  </conditionalFormatting>
  <conditionalFormatting sqref="A343:A344">
    <cfRule type="duplicateValues" dxfId="98" priority="359"/>
    <cfRule type="duplicateValues" dxfId="97" priority="360"/>
    <cfRule type="duplicateValues" dxfId="96" priority="361"/>
    <cfRule type="duplicateValues" dxfId="95" priority="362"/>
    <cfRule type="duplicateValues" dxfId="94" priority="363"/>
    <cfRule type="duplicateValues" dxfId="93" priority="364"/>
    <cfRule type="duplicateValues" dxfId="92" priority="365"/>
    <cfRule type="duplicateValues" dxfId="91" priority="366"/>
  </conditionalFormatting>
  <conditionalFormatting sqref="H343:H344">
    <cfRule type="duplicateValues" dxfId="90" priority="367"/>
  </conditionalFormatting>
  <conditionalFormatting sqref="H343:H344">
    <cfRule type="duplicateValues" dxfId="89" priority="368"/>
    <cfRule type="duplicateValues" dxfId="88" priority="369"/>
    <cfRule type="duplicateValues" dxfId="87" priority="370"/>
  </conditionalFormatting>
  <conditionalFormatting sqref="A343:A344">
    <cfRule type="duplicateValues" dxfId="86" priority="371"/>
    <cfRule type="duplicateValues" dxfId="85" priority="372"/>
    <cfRule type="duplicateValues" dxfId="84" priority="373"/>
  </conditionalFormatting>
  <conditionalFormatting sqref="A343:A344">
    <cfRule type="duplicateValues" dxfId="83" priority="374"/>
  </conditionalFormatting>
  <conditionalFormatting sqref="H366">
    <cfRule type="duplicateValues" dxfId="82" priority="50"/>
    <cfRule type="beginsWith" dxfId="81" priority="57" operator="beginsWith" text="AJ">
      <formula>LEFT(H366,LEN("AJ"))="AJ"</formula>
    </cfRule>
  </conditionalFormatting>
  <conditionalFormatting sqref="A366">
    <cfRule type="duplicateValues" dxfId="80" priority="48"/>
    <cfRule type="duplicateValues" dxfId="79" priority="49"/>
    <cfRule type="duplicateValues" dxfId="78" priority="51"/>
    <cfRule type="duplicateValues" dxfId="77" priority="52"/>
    <cfRule type="duplicateValues" dxfId="76" priority="53"/>
    <cfRule type="duplicateValues" dxfId="75" priority="54"/>
    <cfRule type="duplicateValues" dxfId="74" priority="55"/>
    <cfRule type="duplicateValues" dxfId="73" priority="56"/>
  </conditionalFormatting>
  <conditionalFormatting sqref="H366">
    <cfRule type="duplicateValues" dxfId="72" priority="47"/>
  </conditionalFormatting>
  <conditionalFormatting sqref="H366">
    <cfRule type="duplicateValues" dxfId="71" priority="41"/>
    <cfRule type="duplicateValues" dxfId="70" priority="45"/>
    <cfRule type="duplicateValues" dxfId="69" priority="46"/>
  </conditionalFormatting>
  <conditionalFormatting sqref="A366">
    <cfRule type="duplicateValues" dxfId="68" priority="42"/>
    <cfRule type="duplicateValues" dxfId="67" priority="43"/>
    <cfRule type="duplicateValues" dxfId="66" priority="44"/>
  </conditionalFormatting>
  <conditionalFormatting sqref="A366">
    <cfRule type="duplicateValues" dxfId="65" priority="40"/>
  </conditionalFormatting>
  <conditionalFormatting sqref="F366:F374">
    <cfRule type="expression" dxfId="64" priority="39">
      <formula xml:space="preserve"> $F366 = 0</formula>
    </cfRule>
  </conditionalFormatting>
  <conditionalFormatting sqref="H276:H277">
    <cfRule type="duplicateValues" dxfId="63" priority="31"/>
    <cfRule type="beginsWith" dxfId="62" priority="38" operator="beginsWith" text="AJ">
      <formula>LEFT(H276,LEN("AJ"))="AJ"</formula>
    </cfRule>
  </conditionalFormatting>
  <conditionalFormatting sqref="A276:A277">
    <cfRule type="duplicateValues" dxfId="61" priority="500"/>
    <cfRule type="duplicateValues" dxfId="60" priority="501"/>
    <cfRule type="duplicateValues" dxfId="59" priority="502"/>
    <cfRule type="duplicateValues" dxfId="58" priority="503"/>
    <cfRule type="duplicateValues" dxfId="57" priority="504"/>
    <cfRule type="duplicateValues" dxfId="56" priority="505"/>
    <cfRule type="duplicateValues" dxfId="55" priority="506"/>
    <cfRule type="duplicateValues" dxfId="54" priority="507"/>
  </conditionalFormatting>
  <conditionalFormatting sqref="H276:H277">
    <cfRule type="duplicateValues" dxfId="53" priority="508"/>
  </conditionalFormatting>
  <conditionalFormatting sqref="H276:H277">
    <cfRule type="duplicateValues" dxfId="52" priority="509"/>
    <cfRule type="duplicateValues" dxfId="51" priority="510"/>
    <cfRule type="duplicateValues" dxfId="50" priority="511"/>
  </conditionalFormatting>
  <conditionalFormatting sqref="A276:A277">
    <cfRule type="duplicateValues" dxfId="49" priority="512"/>
    <cfRule type="duplicateValues" dxfId="48" priority="513"/>
    <cfRule type="duplicateValues" dxfId="47" priority="514"/>
  </conditionalFormatting>
  <conditionalFormatting sqref="A276:A277">
    <cfRule type="duplicateValues" dxfId="46" priority="515"/>
  </conditionalFormatting>
  <conditionalFormatting sqref="H278:H280">
    <cfRule type="duplicateValues" dxfId="45" priority="12"/>
    <cfRule type="beginsWith" dxfId="44" priority="19" operator="beginsWith" text="AJ">
      <formula>LEFT(H278,LEN("AJ"))="AJ"</formula>
    </cfRule>
  </conditionalFormatting>
  <conditionalFormatting sqref="A278:A280">
    <cfRule type="duplicateValues" dxfId="43" priority="10"/>
    <cfRule type="duplicateValues" dxfId="42" priority="11"/>
    <cfRule type="duplicateValues" dxfId="41" priority="13"/>
    <cfRule type="duplicateValues" dxfId="40" priority="14"/>
    <cfRule type="duplicateValues" dxfId="39" priority="15"/>
    <cfRule type="duplicateValues" dxfId="38" priority="16"/>
    <cfRule type="duplicateValues" dxfId="37" priority="17"/>
    <cfRule type="duplicateValues" dxfId="36" priority="18"/>
  </conditionalFormatting>
  <conditionalFormatting sqref="H278:H280">
    <cfRule type="duplicateValues" dxfId="35" priority="9"/>
  </conditionalFormatting>
  <conditionalFormatting sqref="H278:H280">
    <cfRule type="duplicateValues" dxfId="34" priority="3"/>
    <cfRule type="duplicateValues" dxfId="33" priority="7"/>
    <cfRule type="duplicateValues" dxfId="32" priority="8"/>
  </conditionalFormatting>
  <conditionalFormatting sqref="A278:A280">
    <cfRule type="duplicateValues" dxfId="31" priority="4"/>
    <cfRule type="duplicateValues" dxfId="30" priority="5"/>
    <cfRule type="duplicateValues" dxfId="29" priority="6"/>
  </conditionalFormatting>
  <conditionalFormatting sqref="A278:A280">
    <cfRule type="duplicateValues" dxfId="28" priority="2"/>
  </conditionalFormatting>
  <printOptions horizontalCentered="1"/>
  <pageMargins left="0.19685039370078741" right="0.19685039370078741" top="0.19685039370078741" bottom="0.19685039370078741" header="0" footer="0"/>
  <pageSetup paperSize="9" scale="95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0070C0"/>
    <pageSetUpPr autoPageBreaks="0" fitToPage="1"/>
  </sheetPr>
  <dimension ref="A1:AB29"/>
  <sheetViews>
    <sheetView topLeftCell="A7" zoomScaleNormal="100" workbookViewId="0">
      <selection activeCell="P14" sqref="P14:T14"/>
    </sheetView>
  </sheetViews>
  <sheetFormatPr defaultColWidth="9.1796875" defaultRowHeight="13"/>
  <cols>
    <col min="1" max="1" width="5.7265625" style="1" customWidth="1"/>
    <col min="2" max="10" width="5.7265625" style="2" customWidth="1"/>
    <col min="11" max="14" width="5.7265625" style="1" customWidth="1"/>
    <col min="15" max="15" width="6.453125" style="1" customWidth="1"/>
    <col min="16" max="20" width="5.7265625" style="1" customWidth="1"/>
    <col min="21" max="22" width="6.453125" style="1" customWidth="1"/>
    <col min="23" max="23" width="6.453125" style="10" customWidth="1"/>
    <col min="24" max="38" width="4.7265625" style="1" customWidth="1"/>
    <col min="39" max="16384" width="9.1796875" style="1"/>
  </cols>
  <sheetData>
    <row r="1" spans="1:28" ht="23">
      <c r="B1" s="28"/>
      <c r="C1" s="28"/>
      <c r="D1" s="28"/>
      <c r="E1" s="28"/>
      <c r="F1" s="31" t="s">
        <v>19</v>
      </c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AB1" s="51" t="s">
        <v>52</v>
      </c>
    </row>
    <row r="2" spans="1:28" ht="22" customHeight="1">
      <c r="B2" s="29"/>
      <c r="C2" s="29"/>
      <c r="D2" s="29"/>
      <c r="E2" s="29"/>
      <c r="F2" s="35" t="s">
        <v>20</v>
      </c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52"/>
      <c r="AB2" s="49" t="s">
        <v>53</v>
      </c>
    </row>
    <row r="3" spans="1:28" s="4" customFormat="1" ht="25" customHeight="1">
      <c r="A3" s="160" t="s">
        <v>37</v>
      </c>
      <c r="B3" s="161"/>
      <c r="C3" s="161"/>
      <c r="D3" s="161"/>
      <c r="E3" s="162"/>
      <c r="F3" s="163" t="s">
        <v>269</v>
      </c>
      <c r="G3" s="164"/>
      <c r="H3" s="154"/>
      <c r="I3" s="155"/>
      <c r="J3" s="155"/>
      <c r="K3" s="155"/>
      <c r="L3" s="155"/>
      <c r="M3" s="156"/>
      <c r="N3" s="171" t="s">
        <v>25</v>
      </c>
      <c r="O3" s="172"/>
      <c r="P3" s="172"/>
      <c r="Q3" s="172"/>
      <c r="R3" s="172"/>
      <c r="S3" s="157">
        <v>45054</v>
      </c>
      <c r="T3" s="158"/>
      <c r="U3" s="158"/>
      <c r="V3" s="158"/>
      <c r="W3" s="159"/>
      <c r="AB3" s="51" t="s">
        <v>43</v>
      </c>
    </row>
    <row r="4" spans="1:28" s="4" customFormat="1" ht="25" customHeight="1">
      <c r="A4" s="160" t="s">
        <v>38</v>
      </c>
      <c r="B4" s="161"/>
      <c r="C4" s="161"/>
      <c r="D4" s="161"/>
      <c r="E4" s="162"/>
      <c r="F4" s="163" t="s">
        <v>102</v>
      </c>
      <c r="G4" s="164"/>
      <c r="H4" s="154"/>
      <c r="I4" s="155"/>
      <c r="J4" s="155"/>
      <c r="K4" s="155"/>
      <c r="L4" s="155"/>
      <c r="M4" s="156"/>
      <c r="N4" s="165" t="s">
        <v>41</v>
      </c>
      <c r="O4" s="166"/>
      <c r="P4" s="166"/>
      <c r="Q4" s="166"/>
      <c r="R4" s="167"/>
      <c r="S4" s="168"/>
      <c r="T4" s="169"/>
      <c r="U4" s="169"/>
      <c r="V4" s="169"/>
      <c r="W4" s="170"/>
      <c r="AB4" s="48"/>
    </row>
    <row r="5" spans="1:28" s="4" customFormat="1" ht="10" customHeight="1">
      <c r="B5" s="22"/>
      <c r="C5" s="22"/>
      <c r="D5" s="22"/>
      <c r="E5" s="22"/>
      <c r="F5" s="5"/>
      <c r="G5" s="5"/>
      <c r="H5" s="5"/>
      <c r="I5" s="5"/>
      <c r="J5" s="5"/>
      <c r="W5" s="10"/>
      <c r="AB5" s="48"/>
    </row>
    <row r="6" spans="1:28" s="44" customFormat="1" ht="18" customHeight="1">
      <c r="A6" s="43" t="s">
        <v>4</v>
      </c>
      <c r="B6" s="131" t="s">
        <v>8</v>
      </c>
      <c r="C6" s="132"/>
      <c r="D6" s="132"/>
      <c r="E6" s="132"/>
      <c r="F6" s="131" t="s">
        <v>59</v>
      </c>
      <c r="G6" s="132"/>
      <c r="H6" s="132"/>
      <c r="I6" s="132"/>
      <c r="J6" s="133"/>
      <c r="K6" s="43" t="s">
        <v>5</v>
      </c>
      <c r="L6" s="131" t="s">
        <v>17</v>
      </c>
      <c r="M6" s="133"/>
      <c r="N6" s="131" t="s">
        <v>14</v>
      </c>
      <c r="O6" s="132"/>
      <c r="P6" s="132"/>
      <c r="Q6" s="132"/>
      <c r="R6" s="132"/>
      <c r="S6" s="132"/>
      <c r="T6" s="133"/>
      <c r="U6" s="134" t="s">
        <v>26</v>
      </c>
      <c r="V6" s="135"/>
      <c r="W6" s="136"/>
      <c r="AB6" s="51" t="s">
        <v>48</v>
      </c>
    </row>
    <row r="7" spans="1:28" s="18" customFormat="1" ht="18" customHeight="1">
      <c r="A7" s="36" t="s">
        <v>6</v>
      </c>
      <c r="B7" s="151" t="s">
        <v>22</v>
      </c>
      <c r="C7" s="152"/>
      <c r="D7" s="152"/>
      <c r="E7" s="152"/>
      <c r="F7" s="151" t="s">
        <v>33</v>
      </c>
      <c r="G7" s="152"/>
      <c r="H7" s="152"/>
      <c r="I7" s="152"/>
      <c r="J7" s="153"/>
      <c r="K7" s="36" t="s">
        <v>2</v>
      </c>
      <c r="L7" s="151" t="s">
        <v>3</v>
      </c>
      <c r="M7" s="153"/>
      <c r="N7" s="151" t="s">
        <v>21</v>
      </c>
      <c r="O7" s="152"/>
      <c r="P7" s="152"/>
      <c r="Q7" s="152"/>
      <c r="R7" s="152"/>
      <c r="S7" s="152"/>
      <c r="T7" s="153"/>
      <c r="U7" s="137" t="s">
        <v>23</v>
      </c>
      <c r="V7" s="138"/>
      <c r="W7" s="139"/>
      <c r="AB7" s="49" t="s">
        <v>50</v>
      </c>
    </row>
    <row r="8" spans="1:28" s="6" customFormat="1" ht="26.15" customHeight="1">
      <c r="A8" s="30">
        <v>1</v>
      </c>
      <c r="B8" s="154" t="s">
        <v>1440</v>
      </c>
      <c r="C8" s="155"/>
      <c r="D8" s="155"/>
      <c r="E8" s="156"/>
      <c r="F8" s="145" t="s">
        <v>1439</v>
      </c>
      <c r="G8" s="146"/>
      <c r="H8" s="146"/>
      <c r="I8" s="146"/>
      <c r="J8" s="147"/>
      <c r="K8" s="33" t="s">
        <v>90</v>
      </c>
      <c r="L8" s="143">
        <v>200</v>
      </c>
      <c r="M8" s="144"/>
      <c r="N8" s="143" t="s">
        <v>285</v>
      </c>
      <c r="O8" s="144"/>
      <c r="P8" s="145"/>
      <c r="Q8" s="146"/>
      <c r="R8" s="146"/>
      <c r="S8" s="146"/>
      <c r="T8" s="147"/>
      <c r="U8" s="140"/>
      <c r="V8" s="141"/>
      <c r="W8" s="142"/>
      <c r="AB8" s="48"/>
    </row>
    <row r="9" spans="1:28" s="6" customFormat="1" ht="26.15" customHeight="1">
      <c r="A9" s="30">
        <v>2</v>
      </c>
      <c r="B9" s="154" t="s">
        <v>1441</v>
      </c>
      <c r="C9" s="155"/>
      <c r="D9" s="155"/>
      <c r="E9" s="156"/>
      <c r="F9" s="145" t="s">
        <v>1446</v>
      </c>
      <c r="G9" s="146"/>
      <c r="H9" s="146"/>
      <c r="I9" s="146"/>
      <c r="J9" s="147"/>
      <c r="K9" s="33" t="s">
        <v>79</v>
      </c>
      <c r="L9" s="143">
        <v>400</v>
      </c>
      <c r="M9" s="144"/>
      <c r="N9" s="143" t="s">
        <v>285</v>
      </c>
      <c r="O9" s="144"/>
      <c r="P9" s="145"/>
      <c r="Q9" s="146"/>
      <c r="R9" s="146"/>
      <c r="S9" s="146"/>
      <c r="T9" s="147"/>
      <c r="U9" s="140"/>
      <c r="V9" s="141"/>
      <c r="W9" s="142"/>
      <c r="AB9" s="51"/>
    </row>
    <row r="10" spans="1:28" s="6" customFormat="1" ht="26.15" customHeight="1">
      <c r="A10" s="30">
        <v>3</v>
      </c>
      <c r="B10" s="154" t="s">
        <v>1442</v>
      </c>
      <c r="C10" s="155"/>
      <c r="D10" s="155"/>
      <c r="E10" s="156"/>
      <c r="F10" s="145" t="s">
        <v>1447</v>
      </c>
      <c r="G10" s="146"/>
      <c r="H10" s="146"/>
      <c r="I10" s="146"/>
      <c r="J10" s="147"/>
      <c r="K10" s="33" t="s">
        <v>79</v>
      </c>
      <c r="L10" s="143">
        <v>20</v>
      </c>
      <c r="M10" s="144"/>
      <c r="N10" s="143" t="s">
        <v>285</v>
      </c>
      <c r="O10" s="144"/>
      <c r="P10" s="145"/>
      <c r="Q10" s="146"/>
      <c r="R10" s="146"/>
      <c r="S10" s="146"/>
      <c r="T10" s="147"/>
      <c r="U10" s="140"/>
      <c r="V10" s="141"/>
      <c r="W10" s="142"/>
      <c r="AB10" s="49" t="s">
        <v>47</v>
      </c>
    </row>
    <row r="11" spans="1:28" s="6" customFormat="1" ht="26.15" customHeight="1">
      <c r="A11" s="30">
        <v>4</v>
      </c>
      <c r="B11" s="154" t="s">
        <v>1443</v>
      </c>
      <c r="C11" s="155"/>
      <c r="D11" s="155"/>
      <c r="E11" s="156"/>
      <c r="F11" s="145" t="s">
        <v>1448</v>
      </c>
      <c r="G11" s="146"/>
      <c r="H11" s="146"/>
      <c r="I11" s="146"/>
      <c r="J11" s="147"/>
      <c r="K11" s="33" t="s">
        <v>79</v>
      </c>
      <c r="L11" s="143">
        <v>2</v>
      </c>
      <c r="M11" s="144"/>
      <c r="N11" s="143" t="s">
        <v>285</v>
      </c>
      <c r="O11" s="144"/>
      <c r="P11" s="145"/>
      <c r="Q11" s="146"/>
      <c r="R11" s="146"/>
      <c r="S11" s="146"/>
      <c r="T11" s="147"/>
      <c r="U11" s="140"/>
      <c r="V11" s="141"/>
      <c r="W11" s="142"/>
      <c r="AB11" s="51" t="s">
        <v>46</v>
      </c>
    </row>
    <row r="12" spans="1:28" s="6" customFormat="1" ht="26.15" customHeight="1">
      <c r="A12" s="30">
        <v>5</v>
      </c>
      <c r="B12" s="154" t="s">
        <v>1444</v>
      </c>
      <c r="C12" s="155"/>
      <c r="D12" s="155"/>
      <c r="E12" s="156"/>
      <c r="F12" s="145" t="s">
        <v>1449</v>
      </c>
      <c r="G12" s="146"/>
      <c r="H12" s="146"/>
      <c r="I12" s="146"/>
      <c r="J12" s="147"/>
      <c r="K12" s="33" t="s">
        <v>79</v>
      </c>
      <c r="L12" s="143">
        <v>1</v>
      </c>
      <c r="M12" s="144"/>
      <c r="N12" s="143" t="s">
        <v>285</v>
      </c>
      <c r="O12" s="144"/>
      <c r="P12" s="145"/>
      <c r="Q12" s="146"/>
      <c r="R12" s="146"/>
      <c r="S12" s="146"/>
      <c r="T12" s="147"/>
      <c r="U12" s="140"/>
      <c r="V12" s="141"/>
      <c r="W12" s="142"/>
      <c r="AB12" s="48"/>
    </row>
    <row r="13" spans="1:28" s="6" customFormat="1" ht="26.15" customHeight="1">
      <c r="A13" s="30">
        <v>6</v>
      </c>
      <c r="B13" s="154" t="s">
        <v>1445</v>
      </c>
      <c r="C13" s="155"/>
      <c r="D13" s="155"/>
      <c r="E13" s="156"/>
      <c r="F13" s="145" t="s">
        <v>1449</v>
      </c>
      <c r="G13" s="146"/>
      <c r="H13" s="146"/>
      <c r="I13" s="146"/>
      <c r="J13" s="147"/>
      <c r="K13" s="33" t="s">
        <v>79</v>
      </c>
      <c r="L13" s="143">
        <v>1</v>
      </c>
      <c r="M13" s="144"/>
      <c r="N13" s="143" t="s">
        <v>285</v>
      </c>
      <c r="O13" s="144"/>
      <c r="P13" s="145"/>
      <c r="Q13" s="146"/>
      <c r="R13" s="146"/>
      <c r="S13" s="146"/>
      <c r="T13" s="147"/>
      <c r="U13" s="140"/>
      <c r="V13" s="141"/>
      <c r="W13" s="142"/>
      <c r="AB13" s="48"/>
    </row>
    <row r="14" spans="1:28" s="6" customFormat="1" ht="26.15" customHeight="1">
      <c r="A14" s="30">
        <v>7</v>
      </c>
      <c r="B14" s="154" t="s">
        <v>527</v>
      </c>
      <c r="C14" s="155"/>
      <c r="D14" s="155"/>
      <c r="E14" s="156"/>
      <c r="F14" s="145" t="s">
        <v>528</v>
      </c>
      <c r="G14" s="146"/>
      <c r="H14" s="146"/>
      <c r="I14" s="146"/>
      <c r="J14" s="147"/>
      <c r="K14" s="33" t="s">
        <v>229</v>
      </c>
      <c r="L14" s="143">
        <v>1</v>
      </c>
      <c r="M14" s="144"/>
      <c r="N14" s="143" t="s">
        <v>561</v>
      </c>
      <c r="O14" s="144"/>
      <c r="P14" s="145"/>
      <c r="Q14" s="146"/>
      <c r="R14" s="146"/>
      <c r="S14" s="146"/>
      <c r="T14" s="147"/>
      <c r="U14" s="140" t="s">
        <v>1469</v>
      </c>
      <c r="V14" s="141"/>
      <c r="W14" s="142"/>
      <c r="AB14" s="48" t="s">
        <v>56</v>
      </c>
    </row>
    <row r="15" spans="1:28" s="6" customFormat="1" ht="26.15" customHeight="1">
      <c r="A15" s="30">
        <v>8</v>
      </c>
      <c r="B15" s="154" t="s">
        <v>1375</v>
      </c>
      <c r="C15" s="155"/>
      <c r="D15" s="155"/>
      <c r="E15" s="156"/>
      <c r="F15" s="145" t="s">
        <v>1374</v>
      </c>
      <c r="G15" s="146"/>
      <c r="H15" s="146"/>
      <c r="I15" s="146"/>
      <c r="J15" s="147"/>
      <c r="K15" s="33" t="s">
        <v>1403</v>
      </c>
      <c r="L15" s="143">
        <v>200</v>
      </c>
      <c r="M15" s="144"/>
      <c r="N15" s="143" t="s">
        <v>285</v>
      </c>
      <c r="O15" s="144"/>
      <c r="P15" s="145"/>
      <c r="Q15" s="146"/>
      <c r="R15" s="146"/>
      <c r="S15" s="146"/>
      <c r="T15" s="147"/>
      <c r="U15" s="140"/>
      <c r="V15" s="141"/>
      <c r="W15" s="142"/>
      <c r="AB15" s="48"/>
    </row>
    <row r="16" spans="1:28" s="6" customFormat="1" ht="26.15" customHeight="1">
      <c r="A16" s="30">
        <v>9</v>
      </c>
      <c r="B16" s="154" t="s">
        <v>1376</v>
      </c>
      <c r="C16" s="155"/>
      <c r="D16" s="155"/>
      <c r="E16" s="156"/>
      <c r="F16" s="145" t="s">
        <v>1374</v>
      </c>
      <c r="G16" s="146"/>
      <c r="H16" s="146"/>
      <c r="I16" s="146"/>
      <c r="J16" s="147"/>
      <c r="K16" s="33" t="s">
        <v>1403</v>
      </c>
      <c r="L16" s="143">
        <v>100</v>
      </c>
      <c r="M16" s="144"/>
      <c r="N16" s="143" t="s">
        <v>285</v>
      </c>
      <c r="O16" s="144"/>
      <c r="P16" s="148"/>
      <c r="Q16" s="149"/>
      <c r="R16" s="149"/>
      <c r="S16" s="149"/>
      <c r="T16" s="150"/>
      <c r="U16" s="140"/>
      <c r="V16" s="141"/>
      <c r="W16" s="142"/>
    </row>
    <row r="17" spans="1:23" s="6" customFormat="1" ht="26.15" customHeight="1">
      <c r="A17" s="30">
        <v>10</v>
      </c>
      <c r="B17" s="154"/>
      <c r="C17" s="155"/>
      <c r="D17" s="155"/>
      <c r="E17" s="156"/>
      <c r="F17" s="173"/>
      <c r="G17" s="146"/>
      <c r="H17" s="146"/>
      <c r="I17" s="146"/>
      <c r="J17" s="147"/>
      <c r="K17" s="33"/>
      <c r="L17" s="143"/>
      <c r="M17" s="144"/>
      <c r="N17" s="174"/>
      <c r="O17" s="175"/>
      <c r="P17" s="145"/>
      <c r="Q17" s="146"/>
      <c r="R17" s="146"/>
      <c r="S17" s="146"/>
      <c r="T17" s="147"/>
      <c r="U17" s="140"/>
      <c r="V17" s="141"/>
      <c r="W17" s="142"/>
    </row>
    <row r="18" spans="1:23" s="6" customFormat="1" ht="5.25" customHeight="1">
      <c r="B18" s="39"/>
      <c r="C18" s="7"/>
      <c r="D18" s="7"/>
      <c r="E18" s="7"/>
      <c r="F18" s="9"/>
      <c r="G18" s="9"/>
      <c r="H18" s="9"/>
      <c r="I18" s="9"/>
      <c r="J18" s="9"/>
      <c r="K18" s="8"/>
      <c r="L18" s="8"/>
      <c r="M18" s="8"/>
      <c r="N18" s="8"/>
      <c r="O18" s="8"/>
      <c r="P18" s="8"/>
      <c r="W18" s="23"/>
    </row>
    <row r="19" spans="1:23" ht="16.5">
      <c r="B19" s="40"/>
      <c r="F19" s="19" t="s">
        <v>7</v>
      </c>
      <c r="I19" s="9"/>
      <c r="J19" s="9"/>
      <c r="K19" s="8"/>
      <c r="L19" s="8"/>
      <c r="M19" s="19" t="s">
        <v>7</v>
      </c>
      <c r="P19" s="3"/>
      <c r="T19" s="19" t="s">
        <v>7</v>
      </c>
    </row>
    <row r="20" spans="1:23" ht="16.5">
      <c r="B20" s="40"/>
      <c r="F20" s="34" t="s">
        <v>57</v>
      </c>
      <c r="I20" s="9"/>
      <c r="J20" s="9"/>
      <c r="K20" s="8"/>
      <c r="L20" s="8"/>
      <c r="M20" s="34" t="s">
        <v>0</v>
      </c>
      <c r="N20" s="6"/>
      <c r="P20" s="10"/>
      <c r="T20" s="34" t="s">
        <v>40</v>
      </c>
    </row>
    <row r="21" spans="1:23" ht="14">
      <c r="B21" s="40"/>
      <c r="F21" s="11" t="s">
        <v>58</v>
      </c>
      <c r="M21" s="11" t="s">
        <v>1</v>
      </c>
      <c r="N21" s="6"/>
      <c r="P21" s="12"/>
      <c r="T21" s="11" t="s">
        <v>39</v>
      </c>
    </row>
    <row r="22" spans="1:23" ht="17.149999999999999" customHeight="1">
      <c r="B22" s="40"/>
    </row>
    <row r="23" spans="1:23">
      <c r="B23" s="40"/>
    </row>
    <row r="24" spans="1:23">
      <c r="B24" s="40"/>
    </row>
    <row r="25" spans="1:23">
      <c r="B25" s="40"/>
    </row>
    <row r="26" spans="1:23">
      <c r="B26" s="40"/>
    </row>
    <row r="27" spans="1:23">
      <c r="B27" s="40"/>
    </row>
    <row r="28" spans="1:23">
      <c r="B28" s="40"/>
    </row>
    <row r="29" spans="1:23">
      <c r="B29" s="40"/>
    </row>
  </sheetData>
  <sheetProtection formatCells="0" selectLockedCells="1"/>
  <dataConsolidate link="1"/>
  <mergeCells count="80">
    <mergeCell ref="U17:W17"/>
    <mergeCell ref="B17:E17"/>
    <mergeCell ref="F17:J17"/>
    <mergeCell ref="L17:M17"/>
    <mergeCell ref="N17:O17"/>
    <mergeCell ref="P17:T17"/>
    <mergeCell ref="B14:E14"/>
    <mergeCell ref="F14:J14"/>
    <mergeCell ref="B16:E16"/>
    <mergeCell ref="F16:J16"/>
    <mergeCell ref="F13:J13"/>
    <mergeCell ref="B15:E15"/>
    <mergeCell ref="F15:J15"/>
    <mergeCell ref="B11:E11"/>
    <mergeCell ref="F11:J11"/>
    <mergeCell ref="F12:J12"/>
    <mergeCell ref="B13:E13"/>
    <mergeCell ref="B12:E12"/>
    <mergeCell ref="B10:E10"/>
    <mergeCell ref="F10:J10"/>
    <mergeCell ref="S3:W3"/>
    <mergeCell ref="A4:E4"/>
    <mergeCell ref="F4:G4"/>
    <mergeCell ref="H4:M4"/>
    <mergeCell ref="N4:R4"/>
    <mergeCell ref="S4:W4"/>
    <mergeCell ref="A3:E3"/>
    <mergeCell ref="F3:G3"/>
    <mergeCell ref="H3:M3"/>
    <mergeCell ref="N3:R3"/>
    <mergeCell ref="N10:O10"/>
    <mergeCell ref="B6:E6"/>
    <mergeCell ref="U10:W10"/>
    <mergeCell ref="L6:M6"/>
    <mergeCell ref="U13:W13"/>
    <mergeCell ref="N6:T6"/>
    <mergeCell ref="L7:M7"/>
    <mergeCell ref="B7:E7"/>
    <mergeCell ref="F7:J7"/>
    <mergeCell ref="P13:T13"/>
    <mergeCell ref="P9:T9"/>
    <mergeCell ref="P10:T10"/>
    <mergeCell ref="P11:T11"/>
    <mergeCell ref="P12:T12"/>
    <mergeCell ref="N11:O11"/>
    <mergeCell ref="N12:O12"/>
    <mergeCell ref="B8:E8"/>
    <mergeCell ref="F8:J8"/>
    <mergeCell ref="B9:E9"/>
    <mergeCell ref="F9:J9"/>
    <mergeCell ref="U11:W11"/>
    <mergeCell ref="U12:W12"/>
    <mergeCell ref="N7:T7"/>
    <mergeCell ref="L8:M8"/>
    <mergeCell ref="P8:T8"/>
    <mergeCell ref="L9:M9"/>
    <mergeCell ref="N8:O8"/>
    <mergeCell ref="U8:W8"/>
    <mergeCell ref="U9:W9"/>
    <mergeCell ref="N13:O13"/>
    <mergeCell ref="L11:M11"/>
    <mergeCell ref="L10:M10"/>
    <mergeCell ref="N9:O9"/>
    <mergeCell ref="L12:M12"/>
    <mergeCell ref="F6:J6"/>
    <mergeCell ref="U6:W6"/>
    <mergeCell ref="U7:W7"/>
    <mergeCell ref="U15:W15"/>
    <mergeCell ref="U16:W16"/>
    <mergeCell ref="N16:O16"/>
    <mergeCell ref="L14:M14"/>
    <mergeCell ref="N14:O14"/>
    <mergeCell ref="N15:O15"/>
    <mergeCell ref="L16:M16"/>
    <mergeCell ref="P14:T14"/>
    <mergeCell ref="P15:T15"/>
    <mergeCell ref="P16:T16"/>
    <mergeCell ref="L15:M15"/>
    <mergeCell ref="U14:W14"/>
    <mergeCell ref="L13:M13"/>
  </mergeCells>
  <phoneticPr fontId="24"/>
  <dataValidations count="2">
    <dataValidation type="textLength" showInputMessage="1" showErrorMessage="1" sqref="B17:E17" xr:uid="{7BFCA861-A4A3-4114-99FA-ED24BA465B29}">
      <formula1>0</formula1>
      <formula2>15</formula2>
    </dataValidation>
    <dataValidation type="list" allowBlank="1" showInputMessage="1" showErrorMessage="1" sqref="K8:K17" xr:uid="{A0FAC756-04FF-48D3-9926-A5131768DF61}">
      <formula1>INDIRECT("Unit")</formula1>
    </dataValidation>
  </dataValidations>
  <printOptions horizontalCentered="1"/>
  <pageMargins left="0.19685039370078741" right="0" top="0.39370078740157483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00B050"/>
    <pageSetUpPr autoPageBreaks="0" fitToPage="1"/>
  </sheetPr>
  <dimension ref="A1:AB23"/>
  <sheetViews>
    <sheetView zoomScaleNormal="100" workbookViewId="0">
      <selection activeCell="B8" sqref="B8:O9"/>
    </sheetView>
  </sheetViews>
  <sheetFormatPr defaultColWidth="9.1796875" defaultRowHeight="13"/>
  <cols>
    <col min="1" max="1" width="5.7265625" style="1" customWidth="1"/>
    <col min="2" max="4" width="5.7265625" style="2" customWidth="1"/>
    <col min="5" max="5" width="9.453125" style="2" customWidth="1"/>
    <col min="6" max="9" width="5.7265625" style="2" customWidth="1"/>
    <col min="10" max="10" width="17" style="2" customWidth="1"/>
    <col min="11" max="14" width="5.7265625" style="1" customWidth="1"/>
    <col min="15" max="15" width="6.1796875" style="1" customWidth="1"/>
    <col min="16" max="22" width="5.7265625" style="1" customWidth="1"/>
    <col min="23" max="23" width="5.7265625" style="10" customWidth="1"/>
    <col min="24" max="27" width="4.7265625" style="1" customWidth="1"/>
    <col min="28" max="28" width="4.7265625" style="48" customWidth="1"/>
    <col min="29" max="38" width="4.7265625" style="1" customWidth="1"/>
    <col min="39" max="16384" width="9.1796875" style="1"/>
  </cols>
  <sheetData>
    <row r="1" spans="1:28" ht="23">
      <c r="B1" s="28"/>
      <c r="C1" s="28"/>
      <c r="D1" s="28"/>
      <c r="E1" s="28"/>
      <c r="F1" s="31" t="s">
        <v>15</v>
      </c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AB1" s="51" t="s">
        <v>52</v>
      </c>
    </row>
    <row r="2" spans="1:28" ht="22" customHeight="1">
      <c r="B2" s="29"/>
      <c r="C2" s="29"/>
      <c r="D2" s="29"/>
      <c r="E2" s="29"/>
      <c r="F2" s="35" t="s">
        <v>16</v>
      </c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52" t="s">
        <v>1474</v>
      </c>
      <c r="AB2" s="49" t="s">
        <v>54</v>
      </c>
    </row>
    <row r="3" spans="1:28" s="4" customFormat="1" ht="25" customHeight="1">
      <c r="A3" s="160" t="s">
        <v>37</v>
      </c>
      <c r="B3" s="161"/>
      <c r="C3" s="161"/>
      <c r="D3" s="161"/>
      <c r="E3" s="162"/>
      <c r="F3" s="163" t="s">
        <v>269</v>
      </c>
      <c r="G3" s="164"/>
      <c r="H3" s="154"/>
      <c r="I3" s="155"/>
      <c r="J3" s="155"/>
      <c r="K3" s="155"/>
      <c r="L3" s="155"/>
      <c r="M3" s="156"/>
      <c r="N3" s="165" t="s">
        <v>18</v>
      </c>
      <c r="O3" s="166"/>
      <c r="P3" s="166"/>
      <c r="Q3" s="166"/>
      <c r="R3" s="166"/>
      <c r="S3" s="157">
        <v>45054</v>
      </c>
      <c r="T3" s="158"/>
      <c r="U3" s="158"/>
      <c r="V3" s="158"/>
      <c r="W3" s="159"/>
      <c r="AB3" s="51" t="s">
        <v>43</v>
      </c>
    </row>
    <row r="4" spans="1:28" s="4" customFormat="1" ht="25" customHeight="1">
      <c r="A4" s="160" t="s">
        <v>38</v>
      </c>
      <c r="B4" s="161"/>
      <c r="C4" s="161"/>
      <c r="D4" s="161"/>
      <c r="E4" s="162"/>
      <c r="F4" s="163" t="s">
        <v>102</v>
      </c>
      <c r="G4" s="164"/>
      <c r="H4" s="154"/>
      <c r="I4" s="155"/>
      <c r="J4" s="155"/>
      <c r="K4" s="155"/>
      <c r="L4" s="155"/>
      <c r="M4" s="156"/>
      <c r="N4" s="165" t="s">
        <v>35</v>
      </c>
      <c r="O4" s="166"/>
      <c r="P4" s="166"/>
      <c r="Q4" s="166"/>
      <c r="R4" s="167"/>
      <c r="S4" s="178"/>
      <c r="T4" s="169"/>
      <c r="U4" s="169"/>
      <c r="V4" s="169"/>
      <c r="W4" s="170"/>
      <c r="AB4" s="48"/>
    </row>
    <row r="5" spans="1:28" s="4" customFormat="1" ht="10" customHeight="1">
      <c r="B5" s="22"/>
      <c r="C5" s="22"/>
      <c r="D5" s="22"/>
      <c r="E5" s="22"/>
      <c r="F5" s="5"/>
      <c r="G5" s="5"/>
      <c r="H5" s="5"/>
      <c r="I5" s="5"/>
      <c r="J5" s="5"/>
      <c r="W5" s="10"/>
      <c r="AB5" s="48"/>
    </row>
    <row r="6" spans="1:28" ht="18" customHeight="1">
      <c r="A6" s="43" t="s">
        <v>4</v>
      </c>
      <c r="B6" s="131" t="s">
        <v>8</v>
      </c>
      <c r="C6" s="132"/>
      <c r="D6" s="132"/>
      <c r="E6" s="132"/>
      <c r="F6" s="131" t="s">
        <v>59</v>
      </c>
      <c r="G6" s="132"/>
      <c r="H6" s="132"/>
      <c r="I6" s="132"/>
      <c r="J6" s="133"/>
      <c r="K6" s="43" t="s">
        <v>5</v>
      </c>
      <c r="L6" s="131" t="s">
        <v>17</v>
      </c>
      <c r="M6" s="133"/>
      <c r="N6" s="131" t="s">
        <v>14</v>
      </c>
      <c r="O6" s="132"/>
      <c r="P6" s="132"/>
      <c r="Q6" s="132"/>
      <c r="R6" s="132"/>
      <c r="S6" s="132"/>
      <c r="T6" s="133"/>
      <c r="U6" s="134" t="s">
        <v>26</v>
      </c>
      <c r="V6" s="176"/>
      <c r="W6" s="177"/>
      <c r="AB6" s="51" t="s">
        <v>44</v>
      </c>
    </row>
    <row r="7" spans="1:28" s="18" customFormat="1" ht="18" customHeight="1">
      <c r="A7" s="36" t="s">
        <v>6</v>
      </c>
      <c r="B7" s="151" t="s">
        <v>22</v>
      </c>
      <c r="C7" s="152"/>
      <c r="D7" s="152"/>
      <c r="E7" s="152"/>
      <c r="F7" s="151" t="s">
        <v>33</v>
      </c>
      <c r="G7" s="152"/>
      <c r="H7" s="152"/>
      <c r="I7" s="152"/>
      <c r="J7" s="153"/>
      <c r="K7" s="36" t="s">
        <v>2</v>
      </c>
      <c r="L7" s="151" t="s">
        <v>3</v>
      </c>
      <c r="M7" s="153"/>
      <c r="N7" s="151" t="s">
        <v>21</v>
      </c>
      <c r="O7" s="152"/>
      <c r="P7" s="152"/>
      <c r="Q7" s="152"/>
      <c r="R7" s="152"/>
      <c r="S7" s="152"/>
      <c r="T7" s="153"/>
      <c r="U7" s="137" t="s">
        <v>23</v>
      </c>
      <c r="V7" s="138"/>
      <c r="W7" s="139"/>
      <c r="AB7" s="49" t="s">
        <v>49</v>
      </c>
    </row>
    <row r="8" spans="1:28" s="6" customFormat="1" ht="26.15" customHeight="1">
      <c r="A8" s="30">
        <v>1</v>
      </c>
      <c r="B8" s="154" t="s">
        <v>1375</v>
      </c>
      <c r="C8" s="155"/>
      <c r="D8" s="155"/>
      <c r="E8" s="156"/>
      <c r="F8" s="145" t="s">
        <v>1374</v>
      </c>
      <c r="G8" s="146"/>
      <c r="H8" s="146"/>
      <c r="I8" s="146"/>
      <c r="J8" s="147"/>
      <c r="K8" s="33" t="s">
        <v>1403</v>
      </c>
      <c r="L8" s="143">
        <v>200</v>
      </c>
      <c r="M8" s="144"/>
      <c r="N8" s="143" t="s">
        <v>285</v>
      </c>
      <c r="O8" s="144"/>
      <c r="P8" s="148"/>
      <c r="Q8" s="149"/>
      <c r="R8" s="149"/>
      <c r="S8" s="149"/>
      <c r="T8" s="150"/>
      <c r="U8" s="148" t="s">
        <v>1473</v>
      </c>
      <c r="V8" s="149"/>
      <c r="W8" s="150"/>
      <c r="AB8" s="48"/>
    </row>
    <row r="9" spans="1:28" s="6" customFormat="1" ht="26.15" customHeight="1">
      <c r="A9" s="30">
        <v>2</v>
      </c>
      <c r="B9" s="154" t="s">
        <v>1376</v>
      </c>
      <c r="C9" s="155"/>
      <c r="D9" s="155"/>
      <c r="E9" s="156"/>
      <c r="F9" s="145" t="s">
        <v>1374</v>
      </c>
      <c r="G9" s="146"/>
      <c r="H9" s="146"/>
      <c r="I9" s="146"/>
      <c r="J9" s="147"/>
      <c r="K9" s="33" t="s">
        <v>1403</v>
      </c>
      <c r="L9" s="143">
        <v>100</v>
      </c>
      <c r="M9" s="144"/>
      <c r="N9" s="143" t="s">
        <v>285</v>
      </c>
      <c r="O9" s="144"/>
      <c r="P9" s="148"/>
      <c r="Q9" s="149"/>
      <c r="R9" s="149"/>
      <c r="S9" s="149"/>
      <c r="T9" s="150"/>
      <c r="U9" s="148" t="s">
        <v>1473</v>
      </c>
      <c r="V9" s="149"/>
      <c r="W9" s="150"/>
      <c r="AB9" s="51" t="s">
        <v>45</v>
      </c>
    </row>
    <row r="10" spans="1:28" s="6" customFormat="1" ht="26.15" customHeight="1">
      <c r="A10" s="30">
        <v>3</v>
      </c>
      <c r="B10" s="154"/>
      <c r="C10" s="155"/>
      <c r="D10" s="155"/>
      <c r="E10" s="156"/>
      <c r="F10" s="145"/>
      <c r="G10" s="146"/>
      <c r="H10" s="146"/>
      <c r="I10" s="146"/>
      <c r="J10" s="147"/>
      <c r="K10" s="33"/>
      <c r="L10" s="143"/>
      <c r="M10" s="144"/>
      <c r="N10" s="143"/>
      <c r="O10" s="144"/>
      <c r="P10" s="148"/>
      <c r="Q10" s="149"/>
      <c r="R10" s="149"/>
      <c r="S10" s="149"/>
      <c r="T10" s="150"/>
      <c r="U10" s="148"/>
      <c r="V10" s="149"/>
      <c r="W10" s="150"/>
      <c r="AB10" s="50" t="s">
        <v>51</v>
      </c>
    </row>
    <row r="11" spans="1:28" s="6" customFormat="1" ht="26.15" customHeight="1">
      <c r="A11" s="30">
        <v>4</v>
      </c>
      <c r="B11" s="154"/>
      <c r="C11" s="155"/>
      <c r="D11" s="155"/>
      <c r="E11" s="156"/>
      <c r="F11" s="145"/>
      <c r="G11" s="146"/>
      <c r="H11" s="146"/>
      <c r="I11" s="146"/>
      <c r="J11" s="147"/>
      <c r="K11" s="33"/>
      <c r="L11" s="143"/>
      <c r="M11" s="144"/>
      <c r="N11" s="143"/>
      <c r="O11" s="144"/>
      <c r="P11" s="148"/>
      <c r="Q11" s="149"/>
      <c r="R11" s="149"/>
      <c r="S11" s="149"/>
      <c r="T11" s="150"/>
      <c r="U11" s="148"/>
      <c r="V11" s="149"/>
      <c r="W11" s="150"/>
      <c r="AB11" s="51" t="s">
        <v>46</v>
      </c>
    </row>
    <row r="12" spans="1:28" s="6" customFormat="1" ht="26.15" customHeight="1">
      <c r="A12" s="30">
        <v>5</v>
      </c>
      <c r="B12" s="154"/>
      <c r="C12" s="155"/>
      <c r="D12" s="155"/>
      <c r="E12" s="156"/>
      <c r="F12" s="145"/>
      <c r="G12" s="146"/>
      <c r="H12" s="146"/>
      <c r="I12" s="146"/>
      <c r="J12" s="147"/>
      <c r="K12" s="33"/>
      <c r="L12" s="143"/>
      <c r="M12" s="144"/>
      <c r="N12" s="143"/>
      <c r="O12" s="144"/>
      <c r="P12" s="148"/>
      <c r="Q12" s="149"/>
      <c r="R12" s="149"/>
      <c r="S12" s="149"/>
      <c r="T12" s="150"/>
      <c r="U12" s="148"/>
      <c r="V12" s="149"/>
      <c r="W12" s="150"/>
      <c r="AB12" s="48"/>
    </row>
    <row r="13" spans="1:28" s="6" customFormat="1" ht="26.15" customHeight="1">
      <c r="A13" s="30">
        <v>6</v>
      </c>
      <c r="B13" s="154"/>
      <c r="C13" s="155"/>
      <c r="D13" s="155"/>
      <c r="E13" s="156"/>
      <c r="F13" s="145"/>
      <c r="G13" s="146"/>
      <c r="H13" s="146"/>
      <c r="I13" s="146"/>
      <c r="J13" s="147"/>
      <c r="K13" s="33"/>
      <c r="L13" s="143"/>
      <c r="M13" s="144"/>
      <c r="N13" s="143"/>
      <c r="O13" s="144"/>
      <c r="P13" s="148"/>
      <c r="Q13" s="149"/>
      <c r="R13" s="149"/>
      <c r="S13" s="149"/>
      <c r="T13" s="150"/>
      <c r="U13" s="148"/>
      <c r="V13" s="149"/>
      <c r="W13" s="150"/>
      <c r="AB13" s="48"/>
    </row>
    <row r="14" spans="1:28" s="6" customFormat="1" ht="26.15" customHeight="1">
      <c r="A14" s="30">
        <v>7</v>
      </c>
      <c r="B14" s="154"/>
      <c r="C14" s="155"/>
      <c r="D14" s="155"/>
      <c r="E14" s="156"/>
      <c r="F14" s="145"/>
      <c r="G14" s="146"/>
      <c r="H14" s="146"/>
      <c r="I14" s="146"/>
      <c r="J14" s="147"/>
      <c r="K14" s="33"/>
      <c r="L14" s="143"/>
      <c r="M14" s="144"/>
      <c r="N14" s="143"/>
      <c r="O14" s="144"/>
      <c r="P14" s="148"/>
      <c r="Q14" s="149"/>
      <c r="R14" s="149"/>
      <c r="S14" s="149"/>
      <c r="T14" s="150"/>
      <c r="U14" s="148"/>
      <c r="V14" s="149"/>
      <c r="W14" s="150"/>
      <c r="AB14" s="55" t="s">
        <v>56</v>
      </c>
    </row>
    <row r="15" spans="1:28" s="6" customFormat="1" ht="26.15" customHeight="1">
      <c r="A15" s="30">
        <v>8</v>
      </c>
      <c r="B15" s="154"/>
      <c r="C15" s="155"/>
      <c r="D15" s="155"/>
      <c r="E15" s="156"/>
      <c r="F15" s="145"/>
      <c r="G15" s="146"/>
      <c r="H15" s="146"/>
      <c r="I15" s="146"/>
      <c r="J15" s="147"/>
      <c r="K15" s="33"/>
      <c r="L15" s="143"/>
      <c r="M15" s="144"/>
      <c r="N15" s="143"/>
      <c r="O15" s="144"/>
      <c r="P15" s="148"/>
      <c r="Q15" s="149"/>
      <c r="R15" s="149"/>
      <c r="S15" s="149"/>
      <c r="T15" s="150"/>
      <c r="U15" s="148"/>
      <c r="V15" s="149"/>
      <c r="W15" s="150"/>
      <c r="AB15" s="48"/>
    </row>
    <row r="16" spans="1:28" s="6" customFormat="1" ht="26.15" customHeight="1">
      <c r="A16" s="30">
        <v>9</v>
      </c>
      <c r="B16" s="154"/>
      <c r="C16" s="155"/>
      <c r="D16" s="155"/>
      <c r="E16" s="156"/>
      <c r="F16" s="145"/>
      <c r="G16" s="146"/>
      <c r="H16" s="146"/>
      <c r="I16" s="146"/>
      <c r="J16" s="147"/>
      <c r="K16" s="33"/>
      <c r="L16" s="143"/>
      <c r="M16" s="144"/>
      <c r="N16" s="143"/>
      <c r="O16" s="144"/>
      <c r="P16" s="148"/>
      <c r="Q16" s="149"/>
      <c r="R16" s="149"/>
      <c r="S16" s="149"/>
      <c r="T16" s="150"/>
      <c r="U16" s="148"/>
      <c r="V16" s="149"/>
      <c r="W16" s="150"/>
      <c r="AB16" s="48"/>
    </row>
    <row r="17" spans="1:28" s="6" customFormat="1" ht="26.15" customHeight="1">
      <c r="A17" s="30">
        <v>10</v>
      </c>
      <c r="B17" s="154"/>
      <c r="C17" s="155"/>
      <c r="D17" s="155"/>
      <c r="E17" s="156"/>
      <c r="F17" s="145"/>
      <c r="G17" s="146"/>
      <c r="H17" s="146"/>
      <c r="I17" s="146"/>
      <c r="J17" s="147"/>
      <c r="K17" s="33"/>
      <c r="L17" s="143"/>
      <c r="M17" s="144"/>
      <c r="N17" s="143"/>
      <c r="O17" s="144"/>
      <c r="P17" s="148"/>
      <c r="Q17" s="149"/>
      <c r="R17" s="149"/>
      <c r="S17" s="149"/>
      <c r="T17" s="150"/>
      <c r="U17" s="148"/>
      <c r="V17" s="149"/>
      <c r="W17" s="150"/>
      <c r="AB17" s="48"/>
    </row>
    <row r="18" spans="1:28" s="6" customFormat="1" ht="5.25" customHeight="1">
      <c r="A18" s="41"/>
      <c r="B18" s="7"/>
      <c r="C18" s="7"/>
      <c r="D18" s="7"/>
      <c r="E18" s="7"/>
      <c r="F18" s="9"/>
      <c r="G18" s="9"/>
      <c r="H18" s="9"/>
      <c r="I18" s="9"/>
      <c r="J18" s="9"/>
      <c r="K18" s="8"/>
      <c r="L18" s="8"/>
      <c r="M18" s="8"/>
      <c r="N18" s="8"/>
      <c r="O18" s="8"/>
      <c r="P18" s="8"/>
      <c r="W18" s="23"/>
      <c r="AB18" s="48"/>
    </row>
    <row r="19" spans="1:28" ht="16.5">
      <c r="A19" s="42"/>
      <c r="F19" s="9"/>
      <c r="G19" s="9"/>
      <c r="I19" s="9"/>
      <c r="J19" s="9"/>
      <c r="K19" s="8"/>
      <c r="L19" s="8"/>
      <c r="M19" s="19" t="s">
        <v>7</v>
      </c>
      <c r="P19" s="3"/>
      <c r="T19" s="58" t="s">
        <v>7</v>
      </c>
    </row>
    <row r="20" spans="1:28" ht="16.5">
      <c r="F20" s="9"/>
      <c r="G20" s="9"/>
      <c r="I20" s="9"/>
      <c r="J20" s="9"/>
      <c r="K20" s="8"/>
      <c r="L20" s="8"/>
      <c r="M20" s="34" t="s">
        <v>0</v>
      </c>
      <c r="N20" s="6"/>
      <c r="P20" s="10"/>
      <c r="T20" s="59" t="s">
        <v>40</v>
      </c>
    </row>
    <row r="21" spans="1:28" ht="14">
      <c r="M21" s="11" t="s">
        <v>1</v>
      </c>
      <c r="N21" s="6"/>
      <c r="P21" s="12"/>
      <c r="T21" s="60" t="s">
        <v>39</v>
      </c>
    </row>
    <row r="22" spans="1:28" ht="17.149999999999999" customHeight="1"/>
    <row r="23" spans="1:28" ht="15" customHeight="1"/>
  </sheetData>
  <sheetProtection formatCells="0" selectLockedCells="1"/>
  <dataConsolidate link="1"/>
  <mergeCells count="80">
    <mergeCell ref="B13:E13"/>
    <mergeCell ref="B14:E14"/>
    <mergeCell ref="B15:E15"/>
    <mergeCell ref="B16:E16"/>
    <mergeCell ref="B17:E17"/>
    <mergeCell ref="B9:E9"/>
    <mergeCell ref="B8:E8"/>
    <mergeCell ref="B10:E10"/>
    <mergeCell ref="B11:E11"/>
    <mergeCell ref="B12:E12"/>
    <mergeCell ref="N16:O16"/>
    <mergeCell ref="N17:O17"/>
    <mergeCell ref="P8:T8"/>
    <mergeCell ref="P9:T9"/>
    <mergeCell ref="P10:T10"/>
    <mergeCell ref="P11:T11"/>
    <mergeCell ref="P12:T12"/>
    <mergeCell ref="P13:T13"/>
    <mergeCell ref="P14:T14"/>
    <mergeCell ref="P15:T15"/>
    <mergeCell ref="P16:T16"/>
    <mergeCell ref="P17:T17"/>
    <mergeCell ref="N9:O9"/>
    <mergeCell ref="N10:O10"/>
    <mergeCell ref="N11:O11"/>
    <mergeCell ref="A3:E3"/>
    <mergeCell ref="F3:G3"/>
    <mergeCell ref="A4:E4"/>
    <mergeCell ref="F4:G4"/>
    <mergeCell ref="H3:M3"/>
    <mergeCell ref="H4:M4"/>
    <mergeCell ref="F10:J10"/>
    <mergeCell ref="F12:J12"/>
    <mergeCell ref="F9:J9"/>
    <mergeCell ref="F17:J17"/>
    <mergeCell ref="L17:M17"/>
    <mergeCell ref="F11:J11"/>
    <mergeCell ref="L11:M11"/>
    <mergeCell ref="F15:J15"/>
    <mergeCell ref="L15:M15"/>
    <mergeCell ref="F16:J16"/>
    <mergeCell ref="L16:M16"/>
    <mergeCell ref="F13:J13"/>
    <mergeCell ref="L13:M13"/>
    <mergeCell ref="F14:J14"/>
    <mergeCell ref="L14:M14"/>
    <mergeCell ref="L9:M9"/>
    <mergeCell ref="L6:M6"/>
    <mergeCell ref="L7:M7"/>
    <mergeCell ref="F8:J8"/>
    <mergeCell ref="L8:M8"/>
    <mergeCell ref="B6:E6"/>
    <mergeCell ref="B7:E7"/>
    <mergeCell ref="F6:J6"/>
    <mergeCell ref="F7:J7"/>
    <mergeCell ref="N3:R3"/>
    <mergeCell ref="S3:W3"/>
    <mergeCell ref="N6:T6"/>
    <mergeCell ref="N7:T7"/>
    <mergeCell ref="U8:W8"/>
    <mergeCell ref="U6:W6"/>
    <mergeCell ref="U7:W7"/>
    <mergeCell ref="N4:R4"/>
    <mergeCell ref="S4:W4"/>
    <mergeCell ref="N8:O8"/>
    <mergeCell ref="U16:W16"/>
    <mergeCell ref="U17:W17"/>
    <mergeCell ref="U9:W9"/>
    <mergeCell ref="U10:W10"/>
    <mergeCell ref="U11:W11"/>
    <mergeCell ref="U12:W12"/>
    <mergeCell ref="U13:W13"/>
    <mergeCell ref="L10:M10"/>
    <mergeCell ref="L12:M12"/>
    <mergeCell ref="U14:W14"/>
    <mergeCell ref="U15:W15"/>
    <mergeCell ref="N12:O12"/>
    <mergeCell ref="N13:O13"/>
    <mergeCell ref="N14:O14"/>
    <mergeCell ref="N15:O15"/>
  </mergeCells>
  <phoneticPr fontId="24"/>
  <dataValidations count="1">
    <dataValidation type="list" allowBlank="1" showInputMessage="1" showErrorMessage="1" sqref="K8:K17" xr:uid="{00000000-0002-0000-0100-000001000000}">
      <formula1>INDIRECT("Unit")</formula1>
    </dataValidation>
  </dataValidations>
  <printOptions horizontalCentered="1"/>
  <pageMargins left="0.5" right="0.5" top="0.78740157480314998" bottom="0" header="0" footer="0"/>
  <pageSetup paperSize="9" scale="9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rgb="FFFFFF00"/>
    <pageSetUpPr autoPageBreaks="0" fitToPage="1"/>
  </sheetPr>
  <dimension ref="A1:AB31"/>
  <sheetViews>
    <sheetView topLeftCell="A4" workbookViewId="0">
      <selection activeCell="S4" sqref="S4:W4"/>
    </sheetView>
  </sheetViews>
  <sheetFormatPr defaultColWidth="9.1796875" defaultRowHeight="13"/>
  <cols>
    <col min="1" max="1" width="5.7265625" style="1" customWidth="1"/>
    <col min="2" max="10" width="5.7265625" style="2" customWidth="1"/>
    <col min="11" max="22" width="5.7265625" style="1" customWidth="1"/>
    <col min="23" max="23" width="5.7265625" style="10" customWidth="1"/>
    <col min="24" max="38" width="4.7265625" style="1" customWidth="1"/>
    <col min="39" max="16384" width="9.1796875" style="1"/>
  </cols>
  <sheetData>
    <row r="1" spans="1:28" ht="23">
      <c r="B1" s="28"/>
      <c r="C1" s="28"/>
      <c r="D1" s="28"/>
      <c r="E1" s="28"/>
      <c r="F1" s="31" t="s">
        <v>60</v>
      </c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AB1" s="51" t="s">
        <v>52</v>
      </c>
    </row>
    <row r="2" spans="1:28" ht="22" customHeight="1">
      <c r="B2" s="29"/>
      <c r="C2" s="29"/>
      <c r="D2" s="29"/>
      <c r="E2" s="29"/>
      <c r="F2" s="35" t="s">
        <v>61</v>
      </c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52"/>
      <c r="AB2" s="49" t="s">
        <v>76</v>
      </c>
    </row>
    <row r="3" spans="1:28" s="4" customFormat="1" ht="25" customHeight="1">
      <c r="A3" s="160" t="s">
        <v>77</v>
      </c>
      <c r="B3" s="161"/>
      <c r="C3" s="161"/>
      <c r="D3" s="161"/>
      <c r="E3" s="162"/>
      <c r="F3" s="163" t="s">
        <v>269</v>
      </c>
      <c r="G3" s="164"/>
      <c r="H3" s="163"/>
      <c r="I3" s="198"/>
      <c r="J3" s="198"/>
      <c r="K3" s="198"/>
      <c r="L3" s="198"/>
      <c r="M3" s="164"/>
      <c r="N3" s="171" t="s">
        <v>62</v>
      </c>
      <c r="O3" s="172"/>
      <c r="P3" s="172"/>
      <c r="Q3" s="172"/>
      <c r="R3" s="172"/>
      <c r="S3" s="157">
        <v>45054</v>
      </c>
      <c r="T3" s="158"/>
      <c r="U3" s="158"/>
      <c r="V3" s="158"/>
      <c r="W3" s="159"/>
      <c r="AB3" s="51" t="s">
        <v>43</v>
      </c>
    </row>
    <row r="4" spans="1:28" s="4" customFormat="1" ht="25" customHeight="1">
      <c r="A4" s="160" t="s">
        <v>78</v>
      </c>
      <c r="B4" s="161"/>
      <c r="C4" s="161"/>
      <c r="D4" s="161"/>
      <c r="E4" s="162"/>
      <c r="F4" s="163" t="s">
        <v>102</v>
      </c>
      <c r="G4" s="164"/>
      <c r="H4" s="163"/>
      <c r="I4" s="198"/>
      <c r="J4" s="198"/>
      <c r="K4" s="198"/>
      <c r="L4" s="198"/>
      <c r="M4" s="164"/>
      <c r="N4" s="165" t="s">
        <v>63</v>
      </c>
      <c r="O4" s="166"/>
      <c r="P4" s="166"/>
      <c r="Q4" s="166"/>
      <c r="R4" s="167"/>
      <c r="S4" s="199"/>
      <c r="T4" s="169"/>
      <c r="U4" s="169"/>
      <c r="V4" s="169"/>
      <c r="W4" s="170"/>
      <c r="AB4" s="48"/>
    </row>
    <row r="5" spans="1:28" s="4" customFormat="1" ht="10" customHeight="1">
      <c r="B5" s="22"/>
      <c r="C5" s="22"/>
      <c r="D5" s="22"/>
      <c r="E5" s="22"/>
      <c r="F5" s="5"/>
      <c r="G5" s="5"/>
      <c r="H5" s="5"/>
      <c r="I5" s="5"/>
      <c r="J5" s="5"/>
      <c r="W5" s="10"/>
      <c r="AB5" s="48"/>
    </row>
    <row r="6" spans="1:28" s="44" customFormat="1" ht="18" customHeight="1">
      <c r="A6" s="43" t="s">
        <v>4</v>
      </c>
      <c r="B6" s="131" t="s">
        <v>98</v>
      </c>
      <c r="C6" s="132"/>
      <c r="D6" s="132"/>
      <c r="E6" s="132"/>
      <c r="F6" s="131" t="s">
        <v>59</v>
      </c>
      <c r="G6" s="132"/>
      <c r="H6" s="132"/>
      <c r="I6" s="132"/>
      <c r="J6" s="133"/>
      <c r="K6" s="43" t="s">
        <v>5</v>
      </c>
      <c r="L6" s="131" t="s">
        <v>17</v>
      </c>
      <c r="M6" s="133"/>
      <c r="N6" s="134" t="s">
        <v>26</v>
      </c>
      <c r="O6" s="135"/>
      <c r="P6" s="136"/>
      <c r="Q6" s="131" t="s">
        <v>65</v>
      </c>
      <c r="R6" s="132"/>
      <c r="S6" s="132"/>
      <c r="T6" s="132"/>
      <c r="U6" s="132"/>
      <c r="V6" s="132"/>
      <c r="W6" s="133"/>
      <c r="AB6" s="51" t="s">
        <v>48</v>
      </c>
    </row>
    <row r="7" spans="1:28" s="18" customFormat="1" ht="18" customHeight="1">
      <c r="A7" s="36" t="s">
        <v>6</v>
      </c>
      <c r="B7" s="151" t="s">
        <v>99</v>
      </c>
      <c r="C7" s="152"/>
      <c r="D7" s="152"/>
      <c r="E7" s="152"/>
      <c r="F7" s="151" t="s">
        <v>33</v>
      </c>
      <c r="G7" s="152"/>
      <c r="H7" s="152"/>
      <c r="I7" s="152"/>
      <c r="J7" s="153"/>
      <c r="K7" s="36" t="s">
        <v>2</v>
      </c>
      <c r="L7" s="151" t="s">
        <v>3</v>
      </c>
      <c r="M7" s="153"/>
      <c r="N7" s="137" t="s">
        <v>23</v>
      </c>
      <c r="O7" s="138"/>
      <c r="P7" s="139"/>
      <c r="Q7" s="151" t="s">
        <v>66</v>
      </c>
      <c r="R7" s="152"/>
      <c r="S7" s="152"/>
      <c r="T7" s="152"/>
      <c r="U7" s="152"/>
      <c r="V7" s="152"/>
      <c r="W7" s="153"/>
      <c r="AB7" s="49" t="s">
        <v>50</v>
      </c>
    </row>
    <row r="8" spans="1:28" s="6" customFormat="1" ht="28.5" customHeight="1">
      <c r="A8" s="30">
        <v>1</v>
      </c>
      <c r="B8" s="182"/>
      <c r="C8" s="182"/>
      <c r="D8" s="182"/>
      <c r="E8" s="182"/>
      <c r="F8" s="183"/>
      <c r="G8" s="184"/>
      <c r="H8" s="184"/>
      <c r="I8" s="184"/>
      <c r="J8" s="185"/>
      <c r="K8" s="33"/>
      <c r="L8" s="186"/>
      <c r="M8" s="186"/>
      <c r="N8" s="179"/>
      <c r="O8" s="179"/>
      <c r="P8" s="179"/>
      <c r="Q8" s="194" t="s">
        <v>67</v>
      </c>
      <c r="R8" s="195"/>
      <c r="S8" s="189" t="s">
        <v>100</v>
      </c>
      <c r="T8" s="189"/>
      <c r="U8" s="189"/>
      <c r="V8" s="189"/>
      <c r="W8" s="190"/>
      <c r="AB8" s="48"/>
    </row>
    <row r="9" spans="1:28" s="6" customFormat="1" ht="26.15" customHeight="1">
      <c r="A9" s="30">
        <v>2</v>
      </c>
      <c r="B9" s="182"/>
      <c r="C9" s="182"/>
      <c r="D9" s="182"/>
      <c r="E9" s="182"/>
      <c r="F9" s="183"/>
      <c r="G9" s="184"/>
      <c r="H9" s="184"/>
      <c r="I9" s="184"/>
      <c r="J9" s="185"/>
      <c r="K9" s="33"/>
      <c r="L9" s="186"/>
      <c r="M9" s="186"/>
      <c r="N9" s="179"/>
      <c r="O9" s="179"/>
      <c r="P9" s="179"/>
      <c r="Q9" s="196" t="s">
        <v>64</v>
      </c>
      <c r="R9" s="197"/>
      <c r="S9" s="193"/>
      <c r="T9" s="180"/>
      <c r="U9" s="180"/>
      <c r="V9" s="180"/>
      <c r="W9" s="181"/>
      <c r="AB9" s="51" t="s">
        <v>45</v>
      </c>
    </row>
    <row r="10" spans="1:28" s="6" customFormat="1" ht="26.15" customHeight="1">
      <c r="A10" s="30">
        <v>3</v>
      </c>
      <c r="B10" s="182"/>
      <c r="C10" s="182"/>
      <c r="D10" s="182"/>
      <c r="E10" s="182"/>
      <c r="F10" s="183"/>
      <c r="G10" s="184"/>
      <c r="H10" s="184"/>
      <c r="I10" s="184"/>
      <c r="J10" s="185"/>
      <c r="K10" s="33"/>
      <c r="L10" s="186"/>
      <c r="M10" s="186"/>
      <c r="N10" s="179"/>
      <c r="O10" s="179"/>
      <c r="P10" s="179"/>
      <c r="Q10" s="194" t="s">
        <v>68</v>
      </c>
      <c r="R10" s="195"/>
      <c r="S10" s="189"/>
      <c r="T10" s="189"/>
      <c r="U10" s="189"/>
      <c r="V10" s="189"/>
      <c r="W10" s="190"/>
      <c r="AB10" s="49" t="s">
        <v>75</v>
      </c>
    </row>
    <row r="11" spans="1:28" s="6" customFormat="1" ht="26.15" customHeight="1">
      <c r="A11" s="30">
        <v>4</v>
      </c>
      <c r="B11" s="182"/>
      <c r="C11" s="182"/>
      <c r="D11" s="182"/>
      <c r="E11" s="182"/>
      <c r="F11" s="183"/>
      <c r="G11" s="184"/>
      <c r="H11" s="184"/>
      <c r="I11" s="184"/>
      <c r="J11" s="185"/>
      <c r="K11" s="33"/>
      <c r="L11" s="186"/>
      <c r="M11" s="186"/>
      <c r="N11" s="179"/>
      <c r="O11" s="179"/>
      <c r="P11" s="179"/>
      <c r="Q11" s="196" t="s">
        <v>69</v>
      </c>
      <c r="R11" s="197"/>
      <c r="S11" s="193"/>
      <c r="T11" s="180"/>
      <c r="U11" s="180"/>
      <c r="V11" s="180"/>
      <c r="W11" s="181"/>
      <c r="AB11" s="51" t="s">
        <v>46</v>
      </c>
    </row>
    <row r="12" spans="1:28" s="6" customFormat="1" ht="26.15" customHeight="1">
      <c r="A12" s="30">
        <v>5</v>
      </c>
      <c r="B12" s="182"/>
      <c r="C12" s="182"/>
      <c r="D12" s="182"/>
      <c r="E12" s="182"/>
      <c r="F12" s="183"/>
      <c r="G12" s="184"/>
      <c r="H12" s="184"/>
      <c r="I12" s="184"/>
      <c r="J12" s="185"/>
      <c r="K12" s="33"/>
      <c r="L12" s="186"/>
      <c r="M12" s="186"/>
      <c r="N12" s="179"/>
      <c r="O12" s="179"/>
      <c r="P12" s="179"/>
      <c r="Q12" s="194" t="s">
        <v>70</v>
      </c>
      <c r="R12" s="195"/>
      <c r="S12" s="189" t="s">
        <v>974</v>
      </c>
      <c r="T12" s="189"/>
      <c r="U12" s="189"/>
      <c r="V12" s="189"/>
      <c r="W12" s="190"/>
      <c r="AB12" s="48"/>
    </row>
    <row r="13" spans="1:28" s="6" customFormat="1" ht="26.15" customHeight="1">
      <c r="A13" s="30">
        <v>6</v>
      </c>
      <c r="B13" s="182"/>
      <c r="C13" s="182"/>
      <c r="D13" s="182"/>
      <c r="E13" s="182"/>
      <c r="F13" s="183"/>
      <c r="G13" s="184"/>
      <c r="H13" s="184"/>
      <c r="I13" s="184"/>
      <c r="J13" s="185"/>
      <c r="K13" s="33"/>
      <c r="L13" s="186"/>
      <c r="M13" s="186"/>
      <c r="N13" s="179"/>
      <c r="O13" s="179"/>
      <c r="P13" s="179"/>
      <c r="Q13" s="196" t="s">
        <v>74</v>
      </c>
      <c r="R13" s="197"/>
      <c r="S13" s="193"/>
      <c r="T13" s="180"/>
      <c r="U13" s="180"/>
      <c r="V13" s="180"/>
      <c r="W13" s="181"/>
    </row>
    <row r="14" spans="1:28" s="6" customFormat="1" ht="26.15" customHeight="1">
      <c r="A14" s="30">
        <v>7</v>
      </c>
      <c r="B14" s="182"/>
      <c r="C14" s="182"/>
      <c r="D14" s="182"/>
      <c r="E14" s="182"/>
      <c r="F14" s="183"/>
      <c r="G14" s="184"/>
      <c r="H14" s="184"/>
      <c r="I14" s="184"/>
      <c r="J14" s="185"/>
      <c r="K14" s="33"/>
      <c r="L14" s="186"/>
      <c r="M14" s="186"/>
      <c r="N14" s="179"/>
      <c r="O14" s="179"/>
      <c r="P14" s="179"/>
      <c r="Q14" s="187"/>
      <c r="R14" s="188"/>
      <c r="S14" s="189"/>
      <c r="T14" s="189"/>
      <c r="U14" s="189"/>
      <c r="V14" s="189"/>
      <c r="W14" s="190"/>
      <c r="AB14" s="55" t="s">
        <v>56</v>
      </c>
    </row>
    <row r="15" spans="1:28" s="6" customFormat="1" ht="26.15" customHeight="1">
      <c r="A15" s="30">
        <v>8</v>
      </c>
      <c r="B15" s="182"/>
      <c r="C15" s="182"/>
      <c r="D15" s="182"/>
      <c r="E15" s="182"/>
      <c r="F15" s="183"/>
      <c r="G15" s="184"/>
      <c r="H15" s="184"/>
      <c r="I15" s="184"/>
      <c r="J15" s="185"/>
      <c r="K15" s="33"/>
      <c r="L15" s="186"/>
      <c r="M15" s="186"/>
      <c r="N15" s="179"/>
      <c r="O15" s="179"/>
      <c r="P15" s="179"/>
      <c r="Q15" s="191"/>
      <c r="R15" s="192"/>
      <c r="S15" s="180"/>
      <c r="T15" s="180"/>
      <c r="U15" s="180"/>
      <c r="V15" s="180"/>
      <c r="W15" s="181"/>
    </row>
    <row r="16" spans="1:28" s="6" customFormat="1" ht="26.15" customHeight="1">
      <c r="A16" s="30">
        <v>9</v>
      </c>
      <c r="B16" s="182"/>
      <c r="C16" s="182"/>
      <c r="D16" s="182"/>
      <c r="E16" s="182"/>
      <c r="F16" s="183"/>
      <c r="G16" s="184"/>
      <c r="H16" s="184"/>
      <c r="I16" s="184"/>
      <c r="J16" s="185"/>
      <c r="K16" s="33"/>
      <c r="L16" s="186"/>
      <c r="M16" s="186"/>
      <c r="N16" s="179"/>
      <c r="O16" s="179"/>
      <c r="P16" s="179"/>
      <c r="Q16" s="187"/>
      <c r="R16" s="188"/>
      <c r="S16" s="189"/>
      <c r="T16" s="189"/>
      <c r="U16" s="189"/>
      <c r="V16" s="189"/>
      <c r="W16" s="190"/>
    </row>
    <row r="17" spans="1:23" s="6" customFormat="1" ht="26.15" customHeight="1">
      <c r="A17" s="30">
        <v>10</v>
      </c>
      <c r="B17" s="182"/>
      <c r="C17" s="182"/>
      <c r="D17" s="182"/>
      <c r="E17" s="182"/>
      <c r="F17" s="183"/>
      <c r="G17" s="184"/>
      <c r="H17" s="184"/>
      <c r="I17" s="184"/>
      <c r="J17" s="185"/>
      <c r="K17" s="33"/>
      <c r="L17" s="186"/>
      <c r="M17" s="186"/>
      <c r="N17" s="179"/>
      <c r="O17" s="179"/>
      <c r="P17" s="179"/>
      <c r="Q17" s="191"/>
      <c r="R17" s="192"/>
      <c r="S17" s="180"/>
      <c r="T17" s="180"/>
      <c r="U17" s="180"/>
      <c r="V17" s="180"/>
      <c r="W17" s="181"/>
    </row>
    <row r="18" spans="1:23" s="6" customFormat="1" ht="5.25" customHeight="1">
      <c r="B18" s="39"/>
      <c r="C18" s="7"/>
      <c r="D18" s="7"/>
      <c r="E18" s="7"/>
      <c r="F18" s="9"/>
      <c r="G18" s="9"/>
      <c r="H18" s="9"/>
      <c r="I18" s="9"/>
      <c r="J18" s="9"/>
      <c r="K18" s="8"/>
      <c r="L18" s="8"/>
      <c r="M18" s="8"/>
      <c r="N18" s="8"/>
      <c r="O18" s="8"/>
      <c r="P18" s="8"/>
      <c r="W18" s="23"/>
    </row>
    <row r="19" spans="1:23" ht="16.5">
      <c r="B19" s="40"/>
      <c r="F19" s="19"/>
      <c r="I19" s="9"/>
      <c r="J19" s="9"/>
      <c r="K19" s="8"/>
      <c r="L19" s="8"/>
      <c r="M19" s="19"/>
      <c r="P19" s="3"/>
      <c r="T19" s="19"/>
    </row>
    <row r="20" spans="1:23" ht="16.5">
      <c r="B20" s="40"/>
      <c r="F20" s="34"/>
      <c r="I20" s="9"/>
      <c r="J20" s="9"/>
      <c r="K20" s="8"/>
      <c r="L20" s="8"/>
      <c r="M20" s="34"/>
      <c r="N20" s="6"/>
      <c r="P20" s="10"/>
      <c r="T20" s="34"/>
    </row>
    <row r="21" spans="1:23" ht="14">
      <c r="B21" s="40"/>
      <c r="F21" s="11"/>
      <c r="M21" s="11"/>
      <c r="N21" s="6"/>
      <c r="P21" s="12"/>
      <c r="T21" s="11"/>
    </row>
    <row r="22" spans="1:23" ht="17.149999999999999" customHeight="1">
      <c r="B22" s="40"/>
    </row>
    <row r="23" spans="1:23" ht="15" customHeight="1">
      <c r="B23" s="40"/>
    </row>
    <row r="24" spans="1:23">
      <c r="B24" s="40"/>
    </row>
    <row r="25" spans="1:23">
      <c r="B25" s="40"/>
    </row>
    <row r="26" spans="1:23">
      <c r="B26" s="40"/>
    </row>
    <row r="27" spans="1:23">
      <c r="B27" s="40"/>
    </row>
    <row r="28" spans="1:23">
      <c r="B28" s="40"/>
    </row>
    <row r="29" spans="1:23">
      <c r="B29" s="40"/>
    </row>
    <row r="30" spans="1:23">
      <c r="B30" s="40"/>
    </row>
    <row r="31" spans="1:23">
      <c r="B31" s="40"/>
    </row>
  </sheetData>
  <sheetProtection formatCells="0" selectLockedCells="1"/>
  <dataConsolidate link="1"/>
  <mergeCells count="80">
    <mergeCell ref="A4:E4"/>
    <mergeCell ref="F4:G4"/>
    <mergeCell ref="H4:M4"/>
    <mergeCell ref="N4:R4"/>
    <mergeCell ref="S4:W4"/>
    <mergeCell ref="A3:E3"/>
    <mergeCell ref="F3:G3"/>
    <mergeCell ref="H3:M3"/>
    <mergeCell ref="N3:R3"/>
    <mergeCell ref="S3:W3"/>
    <mergeCell ref="B6:E6"/>
    <mergeCell ref="F6:J6"/>
    <mergeCell ref="L6:M6"/>
    <mergeCell ref="B7:E7"/>
    <mergeCell ref="F7:J7"/>
    <mergeCell ref="L7:M7"/>
    <mergeCell ref="B8:E8"/>
    <mergeCell ref="F8:J8"/>
    <mergeCell ref="L8:M8"/>
    <mergeCell ref="Q8:R8"/>
    <mergeCell ref="S8:W8"/>
    <mergeCell ref="B9:E9"/>
    <mergeCell ref="F9:J9"/>
    <mergeCell ref="L9:M9"/>
    <mergeCell ref="Q9:R9"/>
    <mergeCell ref="S9:W9"/>
    <mergeCell ref="S11:W11"/>
    <mergeCell ref="B10:E10"/>
    <mergeCell ref="F10:J10"/>
    <mergeCell ref="L10:M10"/>
    <mergeCell ref="N10:P10"/>
    <mergeCell ref="Q10:R10"/>
    <mergeCell ref="S10:W10"/>
    <mergeCell ref="B11:E11"/>
    <mergeCell ref="F11:J11"/>
    <mergeCell ref="L11:M11"/>
    <mergeCell ref="N11:P11"/>
    <mergeCell ref="Q11:R11"/>
    <mergeCell ref="S13:W13"/>
    <mergeCell ref="B12:E12"/>
    <mergeCell ref="F12:J12"/>
    <mergeCell ref="L12:M12"/>
    <mergeCell ref="N12:P12"/>
    <mergeCell ref="Q12:R12"/>
    <mergeCell ref="S12:W12"/>
    <mergeCell ref="B13:E13"/>
    <mergeCell ref="F13:J13"/>
    <mergeCell ref="L13:M13"/>
    <mergeCell ref="N13:P13"/>
    <mergeCell ref="Q13:R13"/>
    <mergeCell ref="S15:W15"/>
    <mergeCell ref="B14:E14"/>
    <mergeCell ref="F14:J14"/>
    <mergeCell ref="L14:M14"/>
    <mergeCell ref="N14:P14"/>
    <mergeCell ref="Q14:R14"/>
    <mergeCell ref="S14:W14"/>
    <mergeCell ref="B15:E15"/>
    <mergeCell ref="F15:J15"/>
    <mergeCell ref="L15:M15"/>
    <mergeCell ref="N15:P15"/>
    <mergeCell ref="Q15:R15"/>
    <mergeCell ref="S17:W17"/>
    <mergeCell ref="B16:E16"/>
    <mergeCell ref="F16:J16"/>
    <mergeCell ref="L16:M16"/>
    <mergeCell ref="N16:P16"/>
    <mergeCell ref="Q16:R16"/>
    <mergeCell ref="S16:W16"/>
    <mergeCell ref="B17:E17"/>
    <mergeCell ref="F17:J17"/>
    <mergeCell ref="L17:M17"/>
    <mergeCell ref="N17:P17"/>
    <mergeCell ref="Q17:R17"/>
    <mergeCell ref="N6:P6"/>
    <mergeCell ref="N7:P7"/>
    <mergeCell ref="N8:P8"/>
    <mergeCell ref="N9:P9"/>
    <mergeCell ref="Q6:W6"/>
    <mergeCell ref="Q7:W7"/>
  </mergeCells>
  <phoneticPr fontId="24"/>
  <dataValidations count="1">
    <dataValidation type="list" allowBlank="1" showInputMessage="1" showErrorMessage="1" sqref="K17" xr:uid="{00000000-0002-0000-0300-000000000000}">
      <formula1>INDIRECT("Unit")</formula1>
    </dataValidation>
  </dataValidations>
  <printOptions horizontalCentered="1"/>
  <pageMargins left="0.19685039370078741" right="0" top="0.39370078740157483" bottom="0" header="0" footer="0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DAD235-9CDC-44DE-92F3-01DCCCC67391}">
          <x14:formula1>
            <xm:f>Unit!$A:$A</xm:f>
          </x14:formula1>
          <xm:sqref>K8:K16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B050"/>
    <pageSetUpPr fitToPage="1"/>
  </sheetPr>
  <dimension ref="A1:N79"/>
  <sheetViews>
    <sheetView zoomScale="85" zoomScaleNormal="85" workbookViewId="0">
      <pane ySplit="2" topLeftCell="A3" activePane="bottomLeft" state="frozen"/>
      <selection pane="bottomLeft" activeCell="F11" sqref="F11"/>
    </sheetView>
  </sheetViews>
  <sheetFormatPr defaultColWidth="9.1796875" defaultRowHeight="15" customHeight="1"/>
  <cols>
    <col min="1" max="1" width="9.81640625" style="46" bestFit="1" customWidth="1"/>
    <col min="2" max="2" width="7.7265625" style="13" bestFit="1" customWidth="1"/>
    <col min="3" max="3" width="7.54296875" style="13" bestFit="1" customWidth="1"/>
    <col min="4" max="4" width="10.54296875" style="16" bestFit="1" customWidth="1"/>
    <col min="5" max="5" width="14.453125" style="16" bestFit="1" customWidth="1"/>
    <col min="6" max="6" width="27.54296875" style="13" bestFit="1" customWidth="1"/>
    <col min="7" max="7" width="39.453125" style="13" bestFit="1" customWidth="1"/>
    <col min="8" max="8" width="4.1796875" style="13" bestFit="1" customWidth="1"/>
    <col min="9" max="9" width="6" style="16" bestFit="1" customWidth="1"/>
    <col min="10" max="10" width="13.453125" style="13" customWidth="1"/>
    <col min="11" max="11" width="12.453125" style="13" bestFit="1" customWidth="1"/>
    <col min="12" max="12" width="12.81640625" style="13" customWidth="1"/>
    <col min="13" max="16384" width="9.1796875" style="13"/>
  </cols>
  <sheetData>
    <row r="1" spans="1:14" ht="15" customHeight="1">
      <c r="A1" s="201" t="s">
        <v>10</v>
      </c>
      <c r="B1" s="201"/>
      <c r="C1" s="201"/>
      <c r="D1" s="201"/>
      <c r="E1" s="74"/>
      <c r="F1" s="14"/>
      <c r="G1" s="14"/>
      <c r="H1" s="14"/>
      <c r="I1" s="21"/>
      <c r="J1" s="15"/>
      <c r="K1" s="15"/>
      <c r="M1" s="200" t="s">
        <v>42</v>
      </c>
      <c r="N1" s="200"/>
    </row>
    <row r="2" spans="1:14" s="17" customFormat="1" ht="15" customHeight="1">
      <c r="A2" s="47" t="s">
        <v>27</v>
      </c>
      <c r="B2" s="14" t="s">
        <v>29</v>
      </c>
      <c r="C2" s="14" t="s">
        <v>30</v>
      </c>
      <c r="D2" s="14" t="s">
        <v>28</v>
      </c>
      <c r="E2" s="74" t="s">
        <v>55</v>
      </c>
      <c r="F2" s="14" t="s">
        <v>22</v>
      </c>
      <c r="G2" s="14" t="s">
        <v>33</v>
      </c>
      <c r="H2" s="14" t="s">
        <v>2</v>
      </c>
      <c r="I2" s="14" t="s">
        <v>3</v>
      </c>
      <c r="J2" s="14" t="s">
        <v>31</v>
      </c>
      <c r="K2" s="14" t="s">
        <v>32</v>
      </c>
      <c r="M2" s="200"/>
      <c r="N2" s="200"/>
    </row>
    <row r="3" spans="1:14" ht="39" customHeight="1">
      <c r="A3" s="46">
        <v>45051</v>
      </c>
      <c r="B3" s="13" t="s">
        <v>1470</v>
      </c>
      <c r="C3" s="13" t="s">
        <v>269</v>
      </c>
      <c r="D3" s="16" t="s">
        <v>102</v>
      </c>
      <c r="E3" s="124" t="s">
        <v>1471</v>
      </c>
      <c r="F3" s="127" t="s">
        <v>532</v>
      </c>
      <c r="G3" s="122" t="s">
        <v>534</v>
      </c>
      <c r="H3" s="122" t="s">
        <v>229</v>
      </c>
      <c r="I3" s="123">
        <v>2</v>
      </c>
      <c r="J3" s="13" t="s">
        <v>562</v>
      </c>
      <c r="K3" s="130" t="s">
        <v>1472</v>
      </c>
      <c r="L3" s="20"/>
    </row>
    <row r="4" spans="1:14" ht="15" customHeight="1">
      <c r="A4" s="46">
        <v>45054</v>
      </c>
      <c r="B4" s="13" t="s">
        <v>1474</v>
      </c>
      <c r="C4" s="13" t="s">
        <v>269</v>
      </c>
      <c r="D4" s="16" t="s">
        <v>102</v>
      </c>
      <c r="E4" s="124" t="s">
        <v>1475</v>
      </c>
      <c r="F4" s="127" t="s">
        <v>1375</v>
      </c>
      <c r="G4" s="122" t="s">
        <v>1374</v>
      </c>
      <c r="H4" s="122" t="s">
        <v>1403</v>
      </c>
      <c r="I4" s="123">
        <v>200</v>
      </c>
      <c r="J4" s="13" t="s">
        <v>285</v>
      </c>
      <c r="K4" s="13" t="s">
        <v>1473</v>
      </c>
      <c r="L4" s="72"/>
      <c r="N4" s="38"/>
    </row>
    <row r="5" spans="1:14" ht="15" customHeight="1">
      <c r="A5" s="46">
        <v>45054</v>
      </c>
      <c r="B5" s="13" t="s">
        <v>1474</v>
      </c>
      <c r="C5" s="13" t="s">
        <v>269</v>
      </c>
      <c r="D5" s="16" t="s">
        <v>102</v>
      </c>
      <c r="E5" s="124" t="s">
        <v>1475</v>
      </c>
      <c r="F5" s="125" t="s">
        <v>1376</v>
      </c>
      <c r="G5" s="126" t="s">
        <v>1374</v>
      </c>
      <c r="H5" s="122" t="s">
        <v>1403</v>
      </c>
      <c r="I5" s="123">
        <v>100</v>
      </c>
      <c r="J5" s="13" t="s">
        <v>285</v>
      </c>
      <c r="K5" s="13" t="s">
        <v>1473</v>
      </c>
      <c r="L5" s="20"/>
      <c r="N5" s="38"/>
    </row>
    <row r="6" spans="1:14" ht="15" customHeight="1">
      <c r="E6" s="124"/>
      <c r="F6" s="125"/>
      <c r="G6" s="122"/>
      <c r="H6" s="122"/>
      <c r="I6" s="123"/>
      <c r="K6" s="76"/>
      <c r="L6" s="20"/>
      <c r="N6" s="38"/>
    </row>
    <row r="7" spans="1:14" ht="15" customHeight="1">
      <c r="E7" s="124"/>
      <c r="F7" s="125"/>
      <c r="G7" s="126"/>
      <c r="H7" s="122"/>
      <c r="I7" s="123"/>
      <c r="L7" s="20"/>
      <c r="N7" s="38"/>
    </row>
    <row r="8" spans="1:14" ht="15" customHeight="1">
      <c r="E8" s="124"/>
      <c r="F8" s="125"/>
      <c r="G8" s="126"/>
      <c r="H8" s="122"/>
      <c r="I8" s="123"/>
      <c r="L8" s="20"/>
      <c r="N8" s="38"/>
    </row>
    <row r="9" spans="1:14" ht="15" customHeight="1">
      <c r="E9" s="124"/>
      <c r="F9" s="127"/>
      <c r="G9" s="122"/>
      <c r="H9" s="122"/>
      <c r="I9" s="123"/>
      <c r="L9" s="20"/>
    </row>
    <row r="10" spans="1:14" ht="15.65" customHeight="1">
      <c r="E10" s="124"/>
      <c r="F10" s="125"/>
      <c r="G10" s="122"/>
      <c r="H10" s="122"/>
      <c r="I10" s="123"/>
      <c r="L10" s="20"/>
      <c r="N10" s="38"/>
    </row>
    <row r="11" spans="1:14" ht="15" customHeight="1">
      <c r="E11" s="124"/>
      <c r="F11" s="125"/>
      <c r="G11" s="122"/>
      <c r="H11" s="122"/>
      <c r="I11" s="123"/>
      <c r="L11" s="20"/>
      <c r="N11" s="38"/>
    </row>
    <row r="12" spans="1:14" ht="15" customHeight="1">
      <c r="E12" s="124"/>
      <c r="F12" s="125"/>
      <c r="G12" s="122"/>
      <c r="H12" s="122"/>
      <c r="I12" s="123"/>
      <c r="L12" s="20"/>
      <c r="N12" s="38"/>
    </row>
    <row r="13" spans="1:14" ht="15" customHeight="1">
      <c r="E13" s="124"/>
      <c r="F13" s="125"/>
      <c r="G13" s="122"/>
      <c r="H13" s="122"/>
      <c r="I13" s="123"/>
      <c r="L13" s="20"/>
      <c r="N13" s="38"/>
    </row>
    <row r="14" spans="1:14" ht="15" customHeight="1">
      <c r="E14" s="124"/>
      <c r="F14" s="125"/>
      <c r="G14" s="122"/>
      <c r="H14" s="122"/>
      <c r="I14" s="123"/>
      <c r="L14" s="20"/>
      <c r="N14" s="38"/>
    </row>
    <row r="15" spans="1:14" ht="15" customHeight="1">
      <c r="E15" s="124"/>
      <c r="F15" s="125"/>
      <c r="G15" s="122"/>
      <c r="H15" s="122"/>
      <c r="I15" s="123"/>
      <c r="L15" s="20"/>
      <c r="N15" s="38"/>
    </row>
    <row r="16" spans="1:14" ht="15" customHeight="1">
      <c r="E16" s="124"/>
      <c r="F16" s="125"/>
      <c r="G16" s="122"/>
      <c r="H16" s="122"/>
      <c r="I16" s="123"/>
      <c r="L16" s="20"/>
      <c r="N16" s="38"/>
    </row>
    <row r="17" spans="5:14" ht="15" customHeight="1">
      <c r="E17" s="124"/>
      <c r="F17" s="125"/>
      <c r="G17" s="122"/>
      <c r="H17" s="122"/>
      <c r="I17" s="123"/>
      <c r="L17" s="20"/>
      <c r="N17" s="38"/>
    </row>
    <row r="18" spans="5:14" ht="15" customHeight="1">
      <c r="E18" s="124"/>
      <c r="F18" s="125"/>
      <c r="G18" s="122"/>
      <c r="H18" s="122"/>
      <c r="I18" s="123"/>
      <c r="L18" s="20"/>
      <c r="N18" s="38"/>
    </row>
    <row r="19" spans="5:14" ht="15" customHeight="1">
      <c r="E19" s="124"/>
      <c r="F19" s="125"/>
      <c r="G19" s="122"/>
      <c r="H19" s="122"/>
      <c r="I19" s="123"/>
      <c r="L19" s="20"/>
      <c r="N19" s="38"/>
    </row>
    <row r="20" spans="5:14" ht="15" customHeight="1">
      <c r="E20" s="124"/>
      <c r="F20" s="125"/>
      <c r="G20" s="122"/>
      <c r="H20" s="122"/>
      <c r="I20" s="123"/>
      <c r="L20" s="20"/>
      <c r="N20" s="38"/>
    </row>
    <row r="21" spans="5:14" ht="15" customHeight="1">
      <c r="E21" s="124"/>
      <c r="F21" s="125"/>
      <c r="G21" s="122"/>
      <c r="H21" s="122"/>
      <c r="I21" s="123"/>
      <c r="L21" s="20"/>
      <c r="N21" s="38"/>
    </row>
    <row r="22" spans="5:14" ht="15" customHeight="1">
      <c r="E22" s="124"/>
      <c r="F22" s="125"/>
      <c r="G22" s="122"/>
      <c r="H22" s="122"/>
      <c r="I22" s="123"/>
      <c r="L22" s="20"/>
      <c r="N22" s="38"/>
    </row>
    <row r="23" spans="5:14" ht="15" customHeight="1">
      <c r="E23" s="124"/>
      <c r="F23" s="125"/>
      <c r="G23" s="122"/>
      <c r="H23" s="122"/>
      <c r="I23" s="123"/>
      <c r="L23" s="20"/>
      <c r="N23" s="38"/>
    </row>
    <row r="24" spans="5:14" ht="15" customHeight="1">
      <c r="E24" s="123"/>
      <c r="F24" s="122"/>
      <c r="G24" s="121"/>
      <c r="H24" s="122"/>
      <c r="I24" s="123"/>
      <c r="L24" s="61"/>
    </row>
    <row r="25" spans="5:14" ht="15" customHeight="1">
      <c r="E25" s="123"/>
      <c r="F25" s="122"/>
      <c r="G25" s="121"/>
      <c r="H25" s="122"/>
      <c r="I25" s="123"/>
      <c r="L25" s="61"/>
    </row>
    <row r="26" spans="5:14" ht="15" customHeight="1">
      <c r="E26" s="123"/>
      <c r="F26" s="122"/>
      <c r="G26" s="121"/>
      <c r="H26" s="122"/>
      <c r="I26" s="123"/>
      <c r="L26" s="61"/>
    </row>
    <row r="27" spans="5:14" ht="15" customHeight="1">
      <c r="E27" s="123"/>
      <c r="F27" s="122"/>
      <c r="G27" s="121"/>
      <c r="H27" s="122"/>
      <c r="I27" s="123"/>
      <c r="L27" s="61"/>
    </row>
    <row r="28" spans="5:14" ht="15" customHeight="1">
      <c r="E28" s="123"/>
      <c r="F28" s="122"/>
      <c r="G28" s="121"/>
      <c r="H28" s="122"/>
      <c r="I28" s="123"/>
      <c r="L28" s="61"/>
    </row>
    <row r="29" spans="5:14" ht="15" customHeight="1">
      <c r="E29" s="123"/>
      <c r="F29" s="122"/>
      <c r="G29" s="121"/>
      <c r="H29" s="122"/>
      <c r="I29" s="123"/>
      <c r="L29" s="61"/>
    </row>
    <row r="30" spans="5:14" ht="15" customHeight="1">
      <c r="E30" s="123"/>
      <c r="F30" s="122"/>
      <c r="G30" s="121"/>
      <c r="H30" s="122"/>
      <c r="I30" s="123"/>
      <c r="L30" s="61"/>
    </row>
    <row r="31" spans="5:14" ht="15" customHeight="1">
      <c r="E31" s="123"/>
      <c r="F31" s="122"/>
      <c r="G31" s="121"/>
      <c r="H31" s="122"/>
      <c r="I31" s="123"/>
      <c r="L31" s="61"/>
    </row>
    <row r="32" spans="5:14" ht="15" customHeight="1">
      <c r="E32" s="123"/>
      <c r="F32" s="122"/>
      <c r="G32" s="121"/>
      <c r="H32" s="122"/>
      <c r="I32" s="123"/>
      <c r="L32" s="61"/>
    </row>
    <row r="33" spans="5:12" ht="15" customHeight="1">
      <c r="E33" s="123"/>
      <c r="F33" s="122"/>
      <c r="G33" s="121"/>
      <c r="H33" s="122"/>
      <c r="I33" s="123"/>
      <c r="L33" s="61"/>
    </row>
    <row r="34" spans="5:12" ht="15" customHeight="1">
      <c r="E34" s="123"/>
      <c r="F34" s="122"/>
      <c r="G34" s="121"/>
      <c r="H34" s="122"/>
      <c r="I34" s="123"/>
      <c r="L34" s="61"/>
    </row>
    <row r="35" spans="5:12" ht="15" customHeight="1">
      <c r="E35" s="123"/>
      <c r="F35" s="122"/>
      <c r="G35" s="121"/>
      <c r="H35" s="122"/>
      <c r="I35" s="123"/>
      <c r="L35" s="61"/>
    </row>
    <row r="36" spans="5:12" ht="15" customHeight="1">
      <c r="F36" s="61"/>
    </row>
    <row r="37" spans="5:12" ht="15" customHeight="1">
      <c r="F37" s="61"/>
    </row>
    <row r="38" spans="5:12" ht="15" customHeight="1">
      <c r="F38" s="61"/>
    </row>
    <row r="39" spans="5:12" ht="15" customHeight="1">
      <c r="F39" s="61"/>
    </row>
    <row r="40" spans="5:12" ht="15" customHeight="1">
      <c r="F40" s="61"/>
    </row>
    <row r="41" spans="5:12" ht="15" customHeight="1">
      <c r="F41" s="61"/>
    </row>
    <row r="42" spans="5:12" ht="15" customHeight="1">
      <c r="F42" s="61"/>
    </row>
    <row r="43" spans="5:12" ht="15" customHeight="1">
      <c r="F43" s="61"/>
    </row>
    <row r="44" spans="5:12" ht="15" customHeight="1">
      <c r="F44" s="61"/>
    </row>
    <row r="45" spans="5:12" ht="15" customHeight="1">
      <c r="F45" s="61"/>
    </row>
    <row r="46" spans="5:12" ht="15" customHeight="1">
      <c r="F46" s="61"/>
    </row>
    <row r="47" spans="5:12" ht="15" customHeight="1">
      <c r="F47" s="61"/>
    </row>
    <row r="48" spans="5:12" ht="15" customHeight="1">
      <c r="F48" s="61"/>
    </row>
    <row r="49" spans="6:6" ht="15" customHeight="1">
      <c r="F49" s="61"/>
    </row>
    <row r="50" spans="6:6" ht="15" customHeight="1">
      <c r="F50" s="61"/>
    </row>
    <row r="51" spans="6:6" ht="15" customHeight="1">
      <c r="F51" s="61"/>
    </row>
    <row r="52" spans="6:6" ht="15" customHeight="1">
      <c r="F52" s="61"/>
    </row>
    <row r="53" spans="6:6" ht="15" customHeight="1">
      <c r="F53" s="61"/>
    </row>
    <row r="54" spans="6:6" ht="15" customHeight="1">
      <c r="F54" s="61"/>
    </row>
    <row r="55" spans="6:6" ht="15" customHeight="1">
      <c r="F55" s="61"/>
    </row>
    <row r="56" spans="6:6" ht="15" customHeight="1">
      <c r="F56" s="61"/>
    </row>
    <row r="57" spans="6:6" ht="15" customHeight="1">
      <c r="F57" s="61"/>
    </row>
    <row r="58" spans="6:6" ht="15" customHeight="1">
      <c r="F58" s="61"/>
    </row>
    <row r="59" spans="6:6" ht="15" customHeight="1">
      <c r="F59" s="61"/>
    </row>
    <row r="60" spans="6:6" ht="15" customHeight="1">
      <c r="F60" s="61"/>
    </row>
    <row r="61" spans="6:6" ht="15" customHeight="1">
      <c r="F61" s="61"/>
    </row>
    <row r="62" spans="6:6" ht="15" customHeight="1">
      <c r="F62" s="61"/>
    </row>
    <row r="63" spans="6:6" ht="15" customHeight="1">
      <c r="F63" s="61"/>
    </row>
    <row r="64" spans="6:6" ht="15" customHeight="1">
      <c r="F64" s="61"/>
    </row>
    <row r="65" spans="6:14" ht="15" customHeight="1">
      <c r="F65" s="61"/>
    </row>
    <row r="66" spans="6:14" ht="15" customHeight="1">
      <c r="F66" s="61"/>
    </row>
    <row r="67" spans="6:14" ht="15" customHeight="1">
      <c r="F67" s="61"/>
    </row>
    <row r="76" spans="6:14" ht="15" customHeight="1">
      <c r="N76" s="38"/>
    </row>
    <row r="77" spans="6:14" ht="15" customHeight="1">
      <c r="N77" s="38"/>
    </row>
    <row r="78" spans="6:14" ht="15" customHeight="1">
      <c r="N78" s="38"/>
    </row>
    <row r="79" spans="6:14" ht="15" customHeight="1">
      <c r="N79" s="38"/>
    </row>
  </sheetData>
  <autoFilter ref="A2:K34" xr:uid="{00000000-0001-0000-0400-000000000000}"/>
  <sortState ref="A1:N20">
    <sortCondition ref="A2"/>
  </sortState>
  <dataConsolidate function="product">
    <dataRefs count="1">
      <dataRef ref="J4:J36" sheet="IH"/>
    </dataRefs>
  </dataConsolidate>
  <mergeCells count="2">
    <mergeCell ref="M1:N2"/>
    <mergeCell ref="A1:D1"/>
  </mergeCells>
  <phoneticPr fontId="24"/>
  <conditionalFormatting sqref="J1:J5 J68:J79 J83:J1048576">
    <cfRule type="beginsWith" dxfId="3" priority="5" operator="beginsWith" text="AJ">
      <formula>LEFT(J1,LEN("AJ"))="AJ"</formula>
    </cfRule>
  </conditionalFormatting>
  <conditionalFormatting sqref="F1:F11 F24 F36:F1048576">
    <cfRule type="duplicateValues" dxfId="2" priority="3"/>
  </conditionalFormatting>
  <conditionalFormatting sqref="F12:F23">
    <cfRule type="duplicateValues" dxfId="1" priority="2"/>
  </conditionalFormatting>
  <conditionalFormatting sqref="F25:F35">
    <cfRule type="duplicateValues" dxfId="0" priority="1"/>
  </conditionalFormatting>
  <pageMargins left="0.7" right="0.7" top="0.75" bottom="0.75" header="0.3" footer="0.3"/>
  <pageSetup paperSize="9" scale="77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70C0"/>
    <pageSetUpPr fitToPage="1"/>
  </sheetPr>
  <dimension ref="A1:N108"/>
  <sheetViews>
    <sheetView workbookViewId="0">
      <pane ySplit="2" topLeftCell="A18" activePane="bottomLeft" state="frozen"/>
      <selection pane="bottomLeft" activeCell="G41" sqref="G41"/>
    </sheetView>
  </sheetViews>
  <sheetFormatPr defaultColWidth="9.1796875" defaultRowHeight="15" customHeight="1"/>
  <cols>
    <col min="1" max="1" width="9.81640625" style="46" bestFit="1" customWidth="1"/>
    <col min="2" max="2" width="7.7265625" style="13" bestFit="1" customWidth="1"/>
    <col min="3" max="3" width="7.54296875" style="13" bestFit="1" customWidth="1"/>
    <col min="4" max="4" width="10.54296875" style="16" bestFit="1" customWidth="1"/>
    <col min="5" max="5" width="9.453125" style="20" bestFit="1" customWidth="1"/>
    <col min="6" max="6" width="18.54296875" style="13" bestFit="1" customWidth="1"/>
    <col min="7" max="7" width="35.54296875" style="13" bestFit="1" customWidth="1"/>
    <col min="8" max="8" width="4.1796875" style="16" bestFit="1" customWidth="1"/>
    <col min="9" max="9" width="8.453125" style="16" customWidth="1"/>
    <col min="10" max="10" width="11.26953125" style="16" bestFit="1" customWidth="1"/>
    <col min="11" max="11" width="9" style="13" bestFit="1" customWidth="1"/>
    <col min="12" max="16384" width="9.1796875" style="13"/>
  </cols>
  <sheetData>
    <row r="1" spans="1:14" ht="15" customHeight="1">
      <c r="A1" s="202" t="s">
        <v>11</v>
      </c>
      <c r="B1" s="202"/>
      <c r="C1" s="202"/>
      <c r="D1" s="202"/>
      <c r="E1" s="25"/>
      <c r="F1" s="24"/>
      <c r="G1" s="24"/>
      <c r="H1" s="53"/>
      <c r="I1" s="24"/>
      <c r="J1" s="24"/>
      <c r="K1" s="26"/>
      <c r="M1" s="200" t="s">
        <v>42</v>
      </c>
      <c r="N1" s="200"/>
    </row>
    <row r="2" spans="1:14" ht="15" customHeight="1">
      <c r="A2" s="45" t="s">
        <v>27</v>
      </c>
      <c r="B2" s="27" t="s">
        <v>29</v>
      </c>
      <c r="C2" s="27" t="s">
        <v>30</v>
      </c>
      <c r="D2" s="54" t="s">
        <v>28</v>
      </c>
      <c r="E2" s="27" t="s">
        <v>24</v>
      </c>
      <c r="F2" s="27" t="s">
        <v>22</v>
      </c>
      <c r="G2" s="27" t="s">
        <v>33</v>
      </c>
      <c r="H2" s="54" t="s">
        <v>2</v>
      </c>
      <c r="I2" s="27" t="s">
        <v>3</v>
      </c>
      <c r="J2" s="27" t="s">
        <v>31</v>
      </c>
      <c r="K2" s="27" t="s">
        <v>32</v>
      </c>
      <c r="M2" s="200"/>
      <c r="N2" s="200"/>
    </row>
    <row r="3" spans="1:14" ht="15" customHeight="1">
      <c r="E3" s="129"/>
      <c r="N3"/>
    </row>
    <row r="4" spans="1:14" ht="15" customHeight="1">
      <c r="E4" s="129"/>
      <c r="N4"/>
    </row>
    <row r="5" spans="1:14" ht="15" customHeight="1">
      <c r="E5" s="129"/>
      <c r="N5"/>
    </row>
    <row r="6" spans="1:14" ht="15" customHeight="1">
      <c r="E6" s="129"/>
    </row>
    <row r="7" spans="1:14" ht="15" customHeight="1">
      <c r="E7" s="129"/>
      <c r="N7"/>
    </row>
    <row r="8" spans="1:14" ht="15" customHeight="1">
      <c r="E8" s="129"/>
      <c r="N8"/>
    </row>
    <row r="9" spans="1:14" ht="15" customHeight="1">
      <c r="E9" s="129"/>
    </row>
    <row r="10" spans="1:14" ht="15" customHeight="1">
      <c r="E10" s="129"/>
    </row>
    <row r="11" spans="1:14" ht="15" customHeight="1">
      <c r="E11" s="129"/>
    </row>
    <row r="12" spans="1:14" ht="15" customHeight="1">
      <c r="E12" s="129"/>
    </row>
    <row r="13" spans="1:14" ht="15" customHeight="1">
      <c r="E13" s="129"/>
    </row>
    <row r="14" spans="1:14" ht="15" customHeight="1">
      <c r="E14" s="129"/>
    </row>
    <row r="15" spans="1:14" ht="15" customHeight="1">
      <c r="E15" s="129"/>
    </row>
    <row r="16" spans="1:14" ht="15" customHeight="1">
      <c r="E16" s="129"/>
    </row>
    <row r="28" spans="7:7" ht="15" customHeight="1">
      <c r="G28" s="98"/>
    </row>
    <row r="39" spans="7:7" ht="15" customHeight="1">
      <c r="G39" s="98"/>
    </row>
    <row r="40" spans="7:7" ht="15" customHeight="1">
      <c r="G40" s="98"/>
    </row>
    <row r="76" spans="6:9" ht="15" customHeight="1">
      <c r="F76" s="122"/>
      <c r="G76" s="122"/>
      <c r="H76" s="123"/>
      <c r="I76" s="123"/>
    </row>
    <row r="77" spans="6:9" ht="15" customHeight="1">
      <c r="F77" s="122"/>
      <c r="G77" s="122"/>
      <c r="H77" s="123"/>
      <c r="I77" s="123"/>
    </row>
    <row r="78" spans="6:9" ht="15" customHeight="1">
      <c r="F78" s="122"/>
      <c r="G78" s="122"/>
      <c r="H78" s="123"/>
      <c r="I78" s="123"/>
    </row>
    <row r="79" spans="6:9" ht="15" customHeight="1">
      <c r="F79" s="122"/>
      <c r="G79" s="122"/>
      <c r="H79" s="123"/>
      <c r="I79" s="123"/>
    </row>
    <row r="80" spans="6:9" ht="15" customHeight="1">
      <c r="F80" s="122"/>
      <c r="G80" s="122"/>
      <c r="H80" s="123"/>
      <c r="I80" s="123"/>
    </row>
    <row r="81" spans="6:9" ht="15" customHeight="1">
      <c r="F81" s="122"/>
      <c r="G81" s="122"/>
      <c r="H81" s="123"/>
      <c r="I81" s="123"/>
    </row>
    <row r="82" spans="6:9" ht="15" customHeight="1">
      <c r="F82" s="122"/>
      <c r="G82" s="122"/>
      <c r="H82" s="123"/>
      <c r="I82" s="123"/>
    </row>
    <row r="83" spans="6:9" ht="15" customHeight="1">
      <c r="F83" s="122"/>
      <c r="G83" s="122"/>
      <c r="H83" s="123"/>
      <c r="I83" s="123"/>
    </row>
    <row r="84" spans="6:9" ht="15" customHeight="1">
      <c r="F84" s="122"/>
      <c r="G84" s="122"/>
      <c r="H84" s="123"/>
      <c r="I84" s="123"/>
    </row>
    <row r="98" spans="7:10" ht="20.25" customHeight="1"/>
    <row r="107" spans="7:10" ht="15" customHeight="1">
      <c r="J107" s="13"/>
    </row>
    <row r="108" spans="7:10" ht="15" customHeight="1">
      <c r="G108" s="122"/>
      <c r="J108" s="13"/>
    </row>
  </sheetData>
  <autoFilter ref="A2:N108" xr:uid="{15F2CA35-BC54-42D5-B287-79CDC50B6A25}">
    <filterColumn colId="12" showButton="0"/>
  </autoFilter>
  <dataConsolidate link="1">
    <dataRefs count="1">
      <dataRef ref="D8:D19" sheet="WH"/>
    </dataRefs>
  </dataConsolidate>
  <mergeCells count="2">
    <mergeCell ref="M1:N2"/>
    <mergeCell ref="A1:D1"/>
  </mergeCells>
  <phoneticPr fontId="24"/>
  <printOptions horizontalCentered="1"/>
  <pageMargins left="0.39370078740157483" right="0.31496062992125984" top="0.39370078740157483" bottom="0.39370078740157483" header="0" footer="0"/>
  <pageSetup paperSize="9" scale="67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FFFF00"/>
    <pageSetUpPr fitToPage="1"/>
  </sheetPr>
  <dimension ref="A1:P245"/>
  <sheetViews>
    <sheetView workbookViewId="0">
      <pane ySplit="2" topLeftCell="A161" activePane="bottomLeft" state="frozen"/>
      <selection pane="bottomLeft" activeCell="G242" sqref="G242"/>
    </sheetView>
  </sheetViews>
  <sheetFormatPr defaultColWidth="9.1796875" defaultRowHeight="15" customHeight="1"/>
  <cols>
    <col min="1" max="1" width="9.81640625" style="46" bestFit="1" customWidth="1"/>
    <col min="2" max="2" width="7.7265625" style="13" bestFit="1" customWidth="1"/>
    <col min="3" max="3" width="7.54296875" style="13" bestFit="1" customWidth="1"/>
    <col min="4" max="4" width="10.54296875" style="16" bestFit="1" customWidth="1"/>
    <col min="5" max="5" width="9.453125" style="16" bestFit="1" customWidth="1"/>
    <col min="6" max="6" width="20.1796875" style="13" customWidth="1"/>
    <col min="7" max="7" width="33.26953125" style="13" bestFit="1" customWidth="1"/>
    <col min="8" max="8" width="4.1796875" style="16" bestFit="1" customWidth="1"/>
    <col min="9" max="9" width="6" style="16" bestFit="1" customWidth="1"/>
    <col min="10" max="10" width="16.54296875" style="13" bestFit="1" customWidth="1"/>
    <col min="11" max="11" width="10.7265625" style="13" bestFit="1" customWidth="1"/>
    <col min="12" max="12" width="14.54296875" style="13" bestFit="1" customWidth="1"/>
    <col min="13" max="13" width="11.54296875" style="13" bestFit="1" customWidth="1"/>
    <col min="14" max="16384" width="9.1796875" style="13"/>
  </cols>
  <sheetData>
    <row r="1" spans="1:16" ht="15" customHeight="1">
      <c r="A1" s="202" t="s">
        <v>71</v>
      </c>
      <c r="B1" s="202"/>
      <c r="C1" s="202"/>
      <c r="D1" s="202"/>
      <c r="E1" s="53"/>
      <c r="F1" s="24"/>
      <c r="G1" s="24"/>
      <c r="H1" s="53"/>
      <c r="I1" s="24"/>
      <c r="J1" s="24"/>
      <c r="K1" s="26"/>
      <c r="L1" s="26"/>
      <c r="M1" s="26"/>
      <c r="O1" s="200" t="s">
        <v>42</v>
      </c>
      <c r="P1" s="200"/>
    </row>
    <row r="2" spans="1:16" ht="15" customHeight="1">
      <c r="A2" s="45" t="s">
        <v>27</v>
      </c>
      <c r="B2" s="27" t="s">
        <v>29</v>
      </c>
      <c r="C2" s="27" t="s">
        <v>30</v>
      </c>
      <c r="D2" s="54" t="s">
        <v>28</v>
      </c>
      <c r="E2" s="54" t="s">
        <v>83</v>
      </c>
      <c r="F2" s="27" t="s">
        <v>22</v>
      </c>
      <c r="G2" s="27" t="s">
        <v>33</v>
      </c>
      <c r="H2" s="54" t="s">
        <v>2</v>
      </c>
      <c r="I2" s="27" t="s">
        <v>3</v>
      </c>
      <c r="J2" s="27" t="s">
        <v>31</v>
      </c>
      <c r="K2" s="27" t="s">
        <v>72</v>
      </c>
      <c r="L2" s="27" t="s">
        <v>73</v>
      </c>
      <c r="M2" s="27" t="s">
        <v>74</v>
      </c>
      <c r="O2" s="200"/>
      <c r="P2" s="200"/>
    </row>
    <row r="3" spans="1:16" ht="15" customHeight="1">
      <c r="A3" s="46">
        <v>43787</v>
      </c>
      <c r="B3" s="13" t="s">
        <v>122</v>
      </c>
      <c r="C3" s="13" t="s">
        <v>101</v>
      </c>
      <c r="D3" s="16" t="s">
        <v>102</v>
      </c>
      <c r="F3" s="13" t="s">
        <v>105</v>
      </c>
      <c r="G3" s="13" t="s">
        <v>616</v>
      </c>
      <c r="H3" s="16" t="s">
        <v>92</v>
      </c>
      <c r="I3" s="13">
        <v>8000</v>
      </c>
      <c r="K3" s="13" t="s">
        <v>100</v>
      </c>
      <c r="M3" s="13" t="s">
        <v>104</v>
      </c>
      <c r="P3"/>
    </row>
    <row r="4" spans="1:16" ht="15" customHeight="1">
      <c r="A4" s="46">
        <v>43787</v>
      </c>
      <c r="B4" s="13" t="s">
        <v>122</v>
      </c>
      <c r="C4" s="13" t="s">
        <v>101</v>
      </c>
      <c r="D4" s="16" t="s">
        <v>102</v>
      </c>
      <c r="F4" s="13" t="s">
        <v>106</v>
      </c>
      <c r="G4" s="13" t="s">
        <v>109</v>
      </c>
      <c r="H4" s="16" t="s">
        <v>79</v>
      </c>
      <c r="I4" s="13">
        <v>3</v>
      </c>
      <c r="J4" s="13" t="s">
        <v>117</v>
      </c>
      <c r="K4" s="13" t="s">
        <v>100</v>
      </c>
      <c r="M4" s="13" t="s">
        <v>104</v>
      </c>
      <c r="P4"/>
    </row>
    <row r="5" spans="1:16" ht="15" customHeight="1">
      <c r="A5" s="46">
        <v>43787</v>
      </c>
      <c r="B5" s="13" t="s">
        <v>122</v>
      </c>
      <c r="C5" s="13" t="s">
        <v>101</v>
      </c>
      <c r="D5" s="16" t="s">
        <v>102</v>
      </c>
      <c r="F5" s="13" t="s">
        <v>107</v>
      </c>
      <c r="G5" s="13" t="s">
        <v>110</v>
      </c>
      <c r="H5" s="16" t="s">
        <v>79</v>
      </c>
      <c r="I5" s="13">
        <v>3</v>
      </c>
      <c r="J5" s="13" t="s">
        <v>117</v>
      </c>
      <c r="K5" s="13" t="s">
        <v>100</v>
      </c>
      <c r="M5" s="13" t="s">
        <v>104</v>
      </c>
      <c r="P5"/>
    </row>
    <row r="6" spans="1:16" ht="15" customHeight="1">
      <c r="A6" s="46">
        <v>43787</v>
      </c>
      <c r="B6" s="13" t="s">
        <v>122</v>
      </c>
      <c r="C6" s="13" t="s">
        <v>101</v>
      </c>
      <c r="D6" s="16" t="s">
        <v>102</v>
      </c>
      <c r="F6" s="13" t="s">
        <v>111</v>
      </c>
      <c r="G6" s="13" t="s">
        <v>112</v>
      </c>
      <c r="H6" s="16" t="s">
        <v>84</v>
      </c>
      <c r="I6" s="13">
        <v>12</v>
      </c>
      <c r="K6" s="13" t="s">
        <v>100</v>
      </c>
      <c r="M6" s="13" t="s">
        <v>104</v>
      </c>
      <c r="P6"/>
    </row>
    <row r="7" spans="1:16" ht="15" customHeight="1">
      <c r="A7" s="46">
        <v>43787</v>
      </c>
      <c r="B7" s="13" t="s">
        <v>122</v>
      </c>
      <c r="C7" s="13" t="s">
        <v>101</v>
      </c>
      <c r="D7" s="16" t="s">
        <v>102</v>
      </c>
      <c r="F7" s="13">
        <v>28625</v>
      </c>
      <c r="G7" s="13" t="s">
        <v>113</v>
      </c>
      <c r="H7" s="16" t="s">
        <v>79</v>
      </c>
      <c r="I7" s="13">
        <v>2</v>
      </c>
      <c r="K7" s="13" t="s">
        <v>100</v>
      </c>
      <c r="M7" s="13" t="s">
        <v>104</v>
      </c>
      <c r="P7"/>
    </row>
    <row r="8" spans="1:16" ht="15" customHeight="1">
      <c r="A8" s="46">
        <v>43787</v>
      </c>
      <c r="B8" s="13" t="s">
        <v>122</v>
      </c>
      <c r="C8" s="13" t="s">
        <v>101</v>
      </c>
      <c r="D8" s="16" t="s">
        <v>102</v>
      </c>
      <c r="F8" s="13">
        <v>7747</v>
      </c>
      <c r="G8" s="13" t="s">
        <v>114</v>
      </c>
      <c r="H8" s="16" t="s">
        <v>80</v>
      </c>
      <c r="I8" s="13">
        <v>30</v>
      </c>
      <c r="K8" s="13" t="s">
        <v>100</v>
      </c>
      <c r="M8" s="13" t="s">
        <v>104</v>
      </c>
      <c r="P8"/>
    </row>
    <row r="9" spans="1:16" ht="15" customHeight="1">
      <c r="A9" s="46">
        <v>43787</v>
      </c>
      <c r="B9" s="13" t="s">
        <v>122</v>
      </c>
      <c r="C9" s="13" t="s">
        <v>101</v>
      </c>
      <c r="D9" s="16" t="s">
        <v>102</v>
      </c>
      <c r="F9" s="13" t="s">
        <v>121</v>
      </c>
      <c r="G9" s="13" t="s">
        <v>115</v>
      </c>
      <c r="H9" s="16" t="s">
        <v>80</v>
      </c>
      <c r="I9" s="13">
        <v>3</v>
      </c>
      <c r="K9" s="13" t="s">
        <v>100</v>
      </c>
      <c r="M9" s="13" t="s">
        <v>104</v>
      </c>
      <c r="P9"/>
    </row>
    <row r="10" spans="1:16" ht="15" customHeight="1">
      <c r="A10" s="46">
        <v>43787</v>
      </c>
      <c r="B10" s="13" t="s">
        <v>122</v>
      </c>
      <c r="C10" s="13" t="s">
        <v>101</v>
      </c>
      <c r="D10" s="16" t="s">
        <v>102</v>
      </c>
      <c r="F10" s="13" t="s">
        <v>119</v>
      </c>
      <c r="G10" s="13" t="s">
        <v>115</v>
      </c>
      <c r="H10" s="16" t="s">
        <v>80</v>
      </c>
      <c r="I10" s="13">
        <v>3</v>
      </c>
      <c r="K10" s="13" t="s">
        <v>100</v>
      </c>
      <c r="M10" s="13" t="s">
        <v>104</v>
      </c>
      <c r="P10"/>
    </row>
    <row r="11" spans="1:16" ht="15" customHeight="1">
      <c r="A11" s="46">
        <v>43787</v>
      </c>
      <c r="B11" s="13" t="s">
        <v>122</v>
      </c>
      <c r="C11" s="13" t="s">
        <v>101</v>
      </c>
      <c r="D11" s="16" t="s">
        <v>102</v>
      </c>
      <c r="F11" s="13" t="s">
        <v>120</v>
      </c>
      <c r="G11" s="13" t="s">
        <v>115</v>
      </c>
      <c r="H11" s="16" t="s">
        <v>80</v>
      </c>
      <c r="I11" s="13">
        <v>3</v>
      </c>
      <c r="K11" s="13" t="s">
        <v>100</v>
      </c>
      <c r="M11" s="13" t="s">
        <v>104</v>
      </c>
      <c r="P11"/>
    </row>
    <row r="12" spans="1:16" ht="15" customHeight="1">
      <c r="A12" s="46">
        <v>43797</v>
      </c>
      <c r="B12" s="13" t="s">
        <v>123</v>
      </c>
      <c r="C12" s="13" t="s">
        <v>101</v>
      </c>
      <c r="D12" s="16" t="s">
        <v>102</v>
      </c>
      <c r="F12" s="13" t="s">
        <v>108</v>
      </c>
      <c r="G12" s="13" t="s">
        <v>116</v>
      </c>
      <c r="H12" s="16" t="s">
        <v>81</v>
      </c>
      <c r="I12" s="13">
        <v>10</v>
      </c>
      <c r="J12" s="13" t="s">
        <v>118</v>
      </c>
      <c r="K12" s="13" t="s">
        <v>100</v>
      </c>
      <c r="M12" s="13" t="s">
        <v>104</v>
      </c>
      <c r="P12"/>
    </row>
    <row r="13" spans="1:16" ht="15" customHeight="1">
      <c r="A13" s="46">
        <v>43822</v>
      </c>
      <c r="B13" s="13" t="s">
        <v>124</v>
      </c>
      <c r="C13" s="13" t="s">
        <v>101</v>
      </c>
      <c r="D13" s="16" t="s">
        <v>102</v>
      </c>
      <c r="F13" s="13" t="s">
        <v>125</v>
      </c>
      <c r="G13" s="13" t="s">
        <v>126</v>
      </c>
      <c r="H13" s="16" t="s">
        <v>127</v>
      </c>
      <c r="I13" s="13">
        <v>10</v>
      </c>
      <c r="K13" s="13" t="s">
        <v>128</v>
      </c>
      <c r="L13" s="13" t="s">
        <v>241</v>
      </c>
      <c r="M13" s="46">
        <v>43849</v>
      </c>
      <c r="P13"/>
    </row>
    <row r="14" spans="1:16" ht="15" customHeight="1">
      <c r="A14" s="46">
        <v>43822</v>
      </c>
      <c r="B14" s="13" t="s">
        <v>124</v>
      </c>
      <c r="C14" s="13" t="s">
        <v>101</v>
      </c>
      <c r="D14" s="16" t="s">
        <v>102</v>
      </c>
      <c r="F14" s="13" t="s">
        <v>129</v>
      </c>
      <c r="G14" s="13" t="s">
        <v>126</v>
      </c>
      <c r="H14" s="16" t="s">
        <v>127</v>
      </c>
      <c r="I14" s="13">
        <v>10</v>
      </c>
      <c r="K14" s="13" t="s">
        <v>128</v>
      </c>
      <c r="L14" s="13" t="s">
        <v>241</v>
      </c>
      <c r="M14" s="46">
        <v>43849</v>
      </c>
      <c r="P14"/>
    </row>
    <row r="15" spans="1:16" ht="15" customHeight="1">
      <c r="A15" s="46">
        <v>43822</v>
      </c>
      <c r="B15" s="13" t="s">
        <v>124</v>
      </c>
      <c r="C15" s="13" t="s">
        <v>101</v>
      </c>
      <c r="D15" s="16" t="s">
        <v>102</v>
      </c>
      <c r="F15" s="13" t="s">
        <v>130</v>
      </c>
      <c r="G15" s="13" t="s">
        <v>131</v>
      </c>
      <c r="H15" s="16" t="s">
        <v>127</v>
      </c>
      <c r="I15" s="13">
        <v>1</v>
      </c>
      <c r="K15" s="13" t="s">
        <v>128</v>
      </c>
      <c r="L15" s="13" t="s">
        <v>241</v>
      </c>
      <c r="M15" s="46">
        <v>43849</v>
      </c>
      <c r="P15"/>
    </row>
    <row r="16" spans="1:16" ht="15" customHeight="1">
      <c r="A16" s="46">
        <v>43822</v>
      </c>
      <c r="B16" s="13" t="s">
        <v>124</v>
      </c>
      <c r="C16" s="13" t="s">
        <v>101</v>
      </c>
      <c r="D16" s="16" t="s">
        <v>102</v>
      </c>
      <c r="F16" s="13">
        <v>4489</v>
      </c>
      <c r="G16" s="13" t="s">
        <v>132</v>
      </c>
      <c r="H16" s="16" t="s">
        <v>127</v>
      </c>
      <c r="I16" s="13">
        <v>5</v>
      </c>
      <c r="K16" s="13" t="s">
        <v>128</v>
      </c>
      <c r="L16" s="13" t="s">
        <v>241</v>
      </c>
      <c r="M16" s="46">
        <v>43849</v>
      </c>
      <c r="P16"/>
    </row>
    <row r="17" spans="1:16" ht="15" customHeight="1">
      <c r="A17" s="46">
        <v>43822</v>
      </c>
      <c r="B17" s="13" t="s">
        <v>124</v>
      </c>
      <c r="C17" s="13" t="s">
        <v>101</v>
      </c>
      <c r="D17" s="16" t="s">
        <v>102</v>
      </c>
      <c r="F17" s="13" t="s">
        <v>133</v>
      </c>
      <c r="G17" s="13" t="s">
        <v>126</v>
      </c>
      <c r="H17" s="16" t="s">
        <v>127</v>
      </c>
      <c r="I17" s="13">
        <v>10</v>
      </c>
      <c r="K17" s="13" t="s">
        <v>128</v>
      </c>
      <c r="L17" s="13" t="s">
        <v>241</v>
      </c>
      <c r="M17" s="46">
        <v>43849</v>
      </c>
      <c r="P17"/>
    </row>
    <row r="18" spans="1:16" ht="15" customHeight="1">
      <c r="A18" s="46">
        <v>43822</v>
      </c>
      <c r="B18" s="13" t="s">
        <v>124</v>
      </c>
      <c r="C18" s="13" t="s">
        <v>101</v>
      </c>
      <c r="D18" s="16" t="s">
        <v>102</v>
      </c>
      <c r="F18" s="13" t="s">
        <v>134</v>
      </c>
      <c r="G18" s="13" t="s">
        <v>135</v>
      </c>
      <c r="H18" s="16" t="s">
        <v>136</v>
      </c>
      <c r="I18" s="13">
        <v>10</v>
      </c>
      <c r="K18" s="13" t="s">
        <v>128</v>
      </c>
      <c r="L18" s="13" t="s">
        <v>241</v>
      </c>
      <c r="M18" s="46">
        <v>43849</v>
      </c>
      <c r="P18"/>
    </row>
    <row r="19" spans="1:16" ht="15" customHeight="1">
      <c r="A19" s="46">
        <v>43822</v>
      </c>
      <c r="B19" s="13" t="s">
        <v>124</v>
      </c>
      <c r="C19" s="13" t="s">
        <v>101</v>
      </c>
      <c r="D19" s="16" t="s">
        <v>102</v>
      </c>
      <c r="F19" s="13" t="s">
        <v>137</v>
      </c>
      <c r="G19" s="13" t="s">
        <v>138</v>
      </c>
      <c r="H19" s="16" t="s">
        <v>139</v>
      </c>
      <c r="I19" s="13">
        <v>1</v>
      </c>
      <c r="K19" s="13" t="s">
        <v>128</v>
      </c>
      <c r="L19" s="13" t="s">
        <v>241</v>
      </c>
      <c r="M19" s="46">
        <v>43849</v>
      </c>
      <c r="P19"/>
    </row>
    <row r="20" spans="1:16" ht="15" customHeight="1">
      <c r="A20" s="46">
        <v>43822</v>
      </c>
      <c r="B20" s="13" t="s">
        <v>124</v>
      </c>
      <c r="C20" s="13" t="s">
        <v>101</v>
      </c>
      <c r="D20" s="16" t="s">
        <v>102</v>
      </c>
      <c r="F20" s="13" t="s">
        <v>140</v>
      </c>
      <c r="G20" s="13" t="s">
        <v>141</v>
      </c>
      <c r="H20" s="16" t="s">
        <v>127</v>
      </c>
      <c r="I20" s="13">
        <v>2</v>
      </c>
      <c r="K20" s="13" t="s">
        <v>128</v>
      </c>
      <c r="L20" s="13" t="s">
        <v>241</v>
      </c>
      <c r="M20" s="46">
        <v>43849</v>
      </c>
      <c r="P20"/>
    </row>
    <row r="21" spans="1:16" ht="15" customHeight="1">
      <c r="A21" s="46">
        <v>43822</v>
      </c>
      <c r="B21" s="13" t="s">
        <v>124</v>
      </c>
      <c r="C21" s="13" t="s">
        <v>101</v>
      </c>
      <c r="D21" s="16" t="s">
        <v>102</v>
      </c>
      <c r="F21" s="13" t="s">
        <v>142</v>
      </c>
      <c r="G21" s="13" t="s">
        <v>141</v>
      </c>
      <c r="H21" s="16" t="s">
        <v>127</v>
      </c>
      <c r="I21" s="13">
        <v>2</v>
      </c>
      <c r="K21" s="13" t="s">
        <v>128</v>
      </c>
      <c r="L21" s="13" t="s">
        <v>241</v>
      </c>
      <c r="M21" s="46">
        <v>43849</v>
      </c>
      <c r="P21"/>
    </row>
    <row r="22" spans="1:16" ht="15" customHeight="1">
      <c r="A22" s="46">
        <v>43822</v>
      </c>
      <c r="B22" s="13" t="s">
        <v>124</v>
      </c>
      <c r="C22" s="13" t="s">
        <v>101</v>
      </c>
      <c r="D22" s="16" t="s">
        <v>102</v>
      </c>
      <c r="F22" s="13" t="s">
        <v>143</v>
      </c>
      <c r="G22" s="13" t="s">
        <v>144</v>
      </c>
      <c r="H22" s="16" t="s">
        <v>127</v>
      </c>
      <c r="I22" s="13">
        <v>2</v>
      </c>
      <c r="K22" s="13" t="s">
        <v>128</v>
      </c>
      <c r="L22" s="13" t="s">
        <v>241</v>
      </c>
      <c r="M22" s="46">
        <v>43849</v>
      </c>
      <c r="P22"/>
    </row>
    <row r="23" spans="1:16" ht="15" customHeight="1">
      <c r="A23" s="46">
        <v>43822</v>
      </c>
      <c r="B23" s="13" t="s">
        <v>145</v>
      </c>
      <c r="C23" s="13" t="s">
        <v>101</v>
      </c>
      <c r="D23" s="16" t="s">
        <v>102</v>
      </c>
      <c r="F23" s="13" t="s">
        <v>146</v>
      </c>
      <c r="G23" s="13" t="s">
        <v>147</v>
      </c>
      <c r="H23" s="16" t="s">
        <v>127</v>
      </c>
      <c r="I23" s="13">
        <v>10</v>
      </c>
      <c r="K23" s="13" t="s">
        <v>128</v>
      </c>
      <c r="L23" s="13" t="s">
        <v>241</v>
      </c>
      <c r="M23" s="46">
        <v>43849</v>
      </c>
      <c r="P23"/>
    </row>
    <row r="24" spans="1:16" ht="15" customHeight="1">
      <c r="A24" s="46">
        <v>43822</v>
      </c>
      <c r="B24" s="13" t="s">
        <v>145</v>
      </c>
      <c r="C24" s="13" t="s">
        <v>101</v>
      </c>
      <c r="D24" s="16" t="s">
        <v>102</v>
      </c>
      <c r="F24" s="13" t="s">
        <v>148</v>
      </c>
      <c r="G24" s="13" t="s">
        <v>149</v>
      </c>
      <c r="H24" s="16" t="s">
        <v>127</v>
      </c>
      <c r="I24" s="13">
        <v>3</v>
      </c>
      <c r="K24" s="13" t="s">
        <v>128</v>
      </c>
      <c r="L24" s="13" t="s">
        <v>241</v>
      </c>
      <c r="M24" s="46">
        <v>43849</v>
      </c>
      <c r="P24"/>
    </row>
    <row r="25" spans="1:16" ht="15" customHeight="1">
      <c r="A25" s="46">
        <v>43822</v>
      </c>
      <c r="B25" s="13" t="s">
        <v>145</v>
      </c>
      <c r="C25" s="13" t="s">
        <v>101</v>
      </c>
      <c r="D25" s="16" t="s">
        <v>102</v>
      </c>
      <c r="F25" s="13" t="s">
        <v>150</v>
      </c>
      <c r="G25" s="13" t="s">
        <v>151</v>
      </c>
      <c r="H25" s="16" t="s">
        <v>127</v>
      </c>
      <c r="I25" s="13">
        <v>3</v>
      </c>
      <c r="K25" s="13" t="s">
        <v>128</v>
      </c>
      <c r="L25" s="13" t="s">
        <v>241</v>
      </c>
      <c r="M25" s="46">
        <v>43849</v>
      </c>
      <c r="P25"/>
    </row>
    <row r="26" spans="1:16" ht="15" customHeight="1">
      <c r="A26" s="46">
        <v>43822</v>
      </c>
      <c r="B26" s="13" t="s">
        <v>145</v>
      </c>
      <c r="C26" s="13" t="s">
        <v>101</v>
      </c>
      <c r="D26" s="16" t="s">
        <v>102</v>
      </c>
      <c r="F26" s="13" t="s">
        <v>152</v>
      </c>
      <c r="G26" s="13" t="s">
        <v>153</v>
      </c>
      <c r="H26" s="16" t="s">
        <v>127</v>
      </c>
      <c r="I26" s="13">
        <v>8</v>
      </c>
      <c r="K26" s="13" t="s">
        <v>128</v>
      </c>
      <c r="L26" s="13" t="s">
        <v>241</v>
      </c>
      <c r="M26" s="46">
        <v>43849</v>
      </c>
      <c r="P26"/>
    </row>
    <row r="27" spans="1:16" ht="15" customHeight="1">
      <c r="A27" s="46">
        <v>43822</v>
      </c>
      <c r="B27" s="13" t="s">
        <v>145</v>
      </c>
      <c r="C27" s="13" t="s">
        <v>101</v>
      </c>
      <c r="D27" s="16" t="s">
        <v>102</v>
      </c>
      <c r="F27" s="13" t="s">
        <v>154</v>
      </c>
      <c r="G27" s="13" t="s">
        <v>155</v>
      </c>
      <c r="H27" s="16" t="s">
        <v>127</v>
      </c>
      <c r="I27" s="13">
        <v>3</v>
      </c>
      <c r="K27" s="13" t="s">
        <v>128</v>
      </c>
      <c r="L27" s="13" t="s">
        <v>241</v>
      </c>
      <c r="M27" s="46">
        <v>43849</v>
      </c>
      <c r="P27"/>
    </row>
    <row r="28" spans="1:16" ht="15" customHeight="1">
      <c r="A28" s="46">
        <v>43822</v>
      </c>
      <c r="B28" s="13" t="s">
        <v>145</v>
      </c>
      <c r="C28" s="13" t="s">
        <v>101</v>
      </c>
      <c r="D28" s="16" t="s">
        <v>102</v>
      </c>
      <c r="F28" s="13" t="s">
        <v>156</v>
      </c>
      <c r="G28" s="13" t="s">
        <v>157</v>
      </c>
      <c r="H28" s="16" t="s">
        <v>127</v>
      </c>
      <c r="I28" s="13">
        <v>3</v>
      </c>
      <c r="K28" s="13" t="s">
        <v>128</v>
      </c>
      <c r="L28" s="13" t="s">
        <v>241</v>
      </c>
      <c r="M28" s="46">
        <v>43849</v>
      </c>
      <c r="P28"/>
    </row>
    <row r="29" spans="1:16" ht="15" customHeight="1">
      <c r="A29" s="46">
        <v>43822</v>
      </c>
      <c r="B29" s="13" t="s">
        <v>145</v>
      </c>
      <c r="C29" s="13" t="s">
        <v>101</v>
      </c>
      <c r="D29" s="16" t="s">
        <v>102</v>
      </c>
      <c r="F29" s="13" t="s">
        <v>158</v>
      </c>
      <c r="G29" s="13" t="s">
        <v>157</v>
      </c>
      <c r="H29" s="16" t="s">
        <v>127</v>
      </c>
      <c r="I29" s="13">
        <v>3</v>
      </c>
      <c r="K29" s="13" t="s">
        <v>128</v>
      </c>
      <c r="L29" s="13" t="s">
        <v>241</v>
      </c>
      <c r="M29" s="46">
        <v>43849</v>
      </c>
      <c r="P29"/>
    </row>
    <row r="30" spans="1:16" ht="15" customHeight="1">
      <c r="A30" s="46">
        <v>43822</v>
      </c>
      <c r="B30" s="13" t="s">
        <v>145</v>
      </c>
      <c r="C30" s="13" t="s">
        <v>101</v>
      </c>
      <c r="D30" s="16" t="s">
        <v>102</v>
      </c>
      <c r="F30" s="13" t="s">
        <v>159</v>
      </c>
      <c r="G30" s="13" t="s">
        <v>160</v>
      </c>
      <c r="H30" s="16" t="s">
        <v>127</v>
      </c>
      <c r="I30" s="13">
        <v>25</v>
      </c>
      <c r="K30" s="13" t="s">
        <v>128</v>
      </c>
      <c r="L30" s="13" t="s">
        <v>241</v>
      </c>
      <c r="M30" s="46">
        <v>43849</v>
      </c>
      <c r="P30"/>
    </row>
    <row r="31" spans="1:16" ht="15" customHeight="1">
      <c r="A31" s="46">
        <v>43822</v>
      </c>
      <c r="B31" s="13" t="s">
        <v>145</v>
      </c>
      <c r="C31" s="13" t="s">
        <v>101</v>
      </c>
      <c r="D31" s="16" t="s">
        <v>102</v>
      </c>
      <c r="F31" s="13" t="s">
        <v>161</v>
      </c>
      <c r="G31" s="13" t="s">
        <v>160</v>
      </c>
      <c r="H31" s="16" t="s">
        <v>127</v>
      </c>
      <c r="I31" s="13">
        <v>25</v>
      </c>
      <c r="K31" s="13" t="s">
        <v>128</v>
      </c>
      <c r="L31" s="13" t="s">
        <v>241</v>
      </c>
      <c r="M31" s="46">
        <v>43849</v>
      </c>
      <c r="P31"/>
    </row>
    <row r="32" spans="1:16" ht="15" customHeight="1">
      <c r="A32" s="46">
        <v>43822</v>
      </c>
      <c r="B32" s="13" t="s">
        <v>145</v>
      </c>
      <c r="C32" s="13" t="s">
        <v>101</v>
      </c>
      <c r="D32" s="16" t="s">
        <v>102</v>
      </c>
      <c r="F32" s="13" t="s">
        <v>162</v>
      </c>
      <c r="G32" s="13" t="s">
        <v>163</v>
      </c>
      <c r="H32" s="16" t="s">
        <v>127</v>
      </c>
      <c r="I32" s="13">
        <v>10</v>
      </c>
      <c r="K32" s="13" t="s">
        <v>128</v>
      </c>
      <c r="L32" s="13" t="s">
        <v>241</v>
      </c>
      <c r="M32" s="46">
        <v>43849</v>
      </c>
      <c r="P32"/>
    </row>
    <row r="33" spans="1:16" ht="15" customHeight="1">
      <c r="A33" s="46">
        <v>43822</v>
      </c>
      <c r="B33" s="13" t="s">
        <v>164</v>
      </c>
      <c r="C33" s="13" t="s">
        <v>101</v>
      </c>
      <c r="D33" s="16" t="s">
        <v>102</v>
      </c>
      <c r="F33" s="13">
        <v>5028901</v>
      </c>
      <c r="G33" s="13" t="s">
        <v>165</v>
      </c>
      <c r="H33" s="16" t="s">
        <v>127</v>
      </c>
      <c r="I33" s="13">
        <v>1</v>
      </c>
      <c r="K33" s="13" t="s">
        <v>128</v>
      </c>
      <c r="L33" s="13" t="s">
        <v>241</v>
      </c>
      <c r="M33" s="46">
        <v>43849</v>
      </c>
      <c r="P33"/>
    </row>
    <row r="34" spans="1:16" ht="15" customHeight="1">
      <c r="A34" s="46">
        <v>43822</v>
      </c>
      <c r="B34" s="13" t="s">
        <v>164</v>
      </c>
      <c r="C34" s="13" t="s">
        <v>101</v>
      </c>
      <c r="D34" s="16" t="s">
        <v>102</v>
      </c>
      <c r="F34" s="13" t="s">
        <v>166</v>
      </c>
      <c r="G34" s="13" t="s">
        <v>167</v>
      </c>
      <c r="H34" s="16" t="s">
        <v>127</v>
      </c>
      <c r="I34" s="13">
        <v>200</v>
      </c>
      <c r="K34" s="13" t="s">
        <v>128</v>
      </c>
      <c r="L34" s="13" t="s">
        <v>241</v>
      </c>
      <c r="M34" s="46">
        <v>43849</v>
      </c>
      <c r="P34"/>
    </row>
    <row r="35" spans="1:16" ht="15" customHeight="1">
      <c r="A35" s="46">
        <v>43822</v>
      </c>
      <c r="B35" s="13" t="s">
        <v>164</v>
      </c>
      <c r="C35" s="13" t="s">
        <v>101</v>
      </c>
      <c r="D35" s="16" t="s">
        <v>102</v>
      </c>
      <c r="F35" s="13" t="s">
        <v>168</v>
      </c>
      <c r="G35" s="13" t="s">
        <v>167</v>
      </c>
      <c r="H35" s="16" t="s">
        <v>127</v>
      </c>
      <c r="I35" s="16">
        <v>200</v>
      </c>
      <c r="K35" s="13" t="s">
        <v>128</v>
      </c>
      <c r="L35" s="13" t="s">
        <v>241</v>
      </c>
      <c r="M35" s="46">
        <v>43849</v>
      </c>
      <c r="P35"/>
    </row>
    <row r="36" spans="1:16" ht="15" customHeight="1">
      <c r="A36" s="46">
        <v>43822</v>
      </c>
      <c r="B36" s="13" t="s">
        <v>164</v>
      </c>
      <c r="C36" s="13" t="s">
        <v>101</v>
      </c>
      <c r="D36" s="16" t="s">
        <v>102</v>
      </c>
      <c r="F36" s="13" t="s">
        <v>169</v>
      </c>
      <c r="G36" s="13" t="s">
        <v>170</v>
      </c>
      <c r="H36" s="16" t="s">
        <v>171</v>
      </c>
      <c r="I36" s="16">
        <v>10</v>
      </c>
      <c r="K36" s="13" t="s">
        <v>128</v>
      </c>
      <c r="L36" s="13" t="s">
        <v>241</v>
      </c>
      <c r="M36" s="46">
        <v>43849</v>
      </c>
      <c r="P36"/>
    </row>
    <row r="37" spans="1:16" ht="15" customHeight="1">
      <c r="A37" s="46">
        <v>43822</v>
      </c>
      <c r="B37" s="13" t="s">
        <v>164</v>
      </c>
      <c r="C37" s="13" t="s">
        <v>101</v>
      </c>
      <c r="D37" s="16" t="s">
        <v>102</v>
      </c>
      <c r="F37" s="13" t="s">
        <v>172</v>
      </c>
      <c r="G37" s="13" t="s">
        <v>173</v>
      </c>
      <c r="H37" s="16" t="s">
        <v>127</v>
      </c>
      <c r="I37" s="16">
        <v>5</v>
      </c>
      <c r="K37" s="13" t="s">
        <v>128</v>
      </c>
      <c r="L37" s="13" t="s">
        <v>241</v>
      </c>
      <c r="M37" s="46">
        <v>43849</v>
      </c>
      <c r="P37"/>
    </row>
    <row r="38" spans="1:16" ht="15" customHeight="1">
      <c r="A38" s="46">
        <v>43822</v>
      </c>
      <c r="B38" s="13" t="s">
        <v>164</v>
      </c>
      <c r="C38" s="13" t="s">
        <v>101</v>
      </c>
      <c r="D38" s="16" t="s">
        <v>102</v>
      </c>
      <c r="F38" s="13" t="s">
        <v>174</v>
      </c>
      <c r="G38" s="13" t="s">
        <v>175</v>
      </c>
      <c r="H38" s="16" t="s">
        <v>127</v>
      </c>
      <c r="I38" s="16">
        <v>2</v>
      </c>
      <c r="K38" s="13" t="s">
        <v>128</v>
      </c>
      <c r="L38" s="13" t="s">
        <v>241</v>
      </c>
      <c r="M38" s="46">
        <v>43849</v>
      </c>
      <c r="P38"/>
    </row>
    <row r="39" spans="1:16" ht="15" customHeight="1">
      <c r="A39" s="46">
        <v>43822</v>
      </c>
      <c r="B39" s="13" t="s">
        <v>164</v>
      </c>
      <c r="C39" s="13" t="s">
        <v>101</v>
      </c>
      <c r="D39" s="16" t="s">
        <v>102</v>
      </c>
      <c r="F39" s="13" t="s">
        <v>176</v>
      </c>
      <c r="G39" s="13" t="s">
        <v>175</v>
      </c>
      <c r="H39" s="16" t="s">
        <v>127</v>
      </c>
      <c r="I39" s="16">
        <v>2</v>
      </c>
      <c r="K39" s="13" t="s">
        <v>128</v>
      </c>
      <c r="L39" s="13" t="s">
        <v>241</v>
      </c>
      <c r="M39" s="46">
        <v>43849</v>
      </c>
      <c r="P39"/>
    </row>
    <row r="40" spans="1:16" ht="15" customHeight="1">
      <c r="A40" s="46">
        <v>43822</v>
      </c>
      <c r="B40" s="13" t="s">
        <v>177</v>
      </c>
      <c r="C40" s="13" t="s">
        <v>101</v>
      </c>
      <c r="D40" s="16" t="s">
        <v>102</v>
      </c>
      <c r="F40" s="13" t="s">
        <v>178</v>
      </c>
      <c r="G40" s="13" t="s">
        <v>179</v>
      </c>
      <c r="H40" s="16" t="s">
        <v>127</v>
      </c>
      <c r="I40" s="16">
        <v>30</v>
      </c>
      <c r="K40" s="13" t="s">
        <v>128</v>
      </c>
      <c r="L40" s="13" t="s">
        <v>241</v>
      </c>
      <c r="M40" s="46">
        <v>43849</v>
      </c>
      <c r="P40"/>
    </row>
    <row r="41" spans="1:16" ht="15" customHeight="1">
      <c r="A41" s="46">
        <v>43822</v>
      </c>
      <c r="B41" s="13" t="s">
        <v>177</v>
      </c>
      <c r="C41" s="13" t="s">
        <v>101</v>
      </c>
      <c r="D41" s="16" t="s">
        <v>102</v>
      </c>
      <c r="F41" s="13" t="s">
        <v>180</v>
      </c>
      <c r="G41" s="13" t="s">
        <v>179</v>
      </c>
      <c r="H41" s="16" t="s">
        <v>127</v>
      </c>
      <c r="I41" s="16">
        <v>20</v>
      </c>
      <c r="K41" s="13" t="s">
        <v>128</v>
      </c>
      <c r="L41" s="13" t="s">
        <v>241</v>
      </c>
      <c r="M41" s="46">
        <v>43849</v>
      </c>
      <c r="P41"/>
    </row>
    <row r="42" spans="1:16" ht="15" customHeight="1">
      <c r="A42" s="46">
        <v>43822</v>
      </c>
      <c r="B42" s="13" t="s">
        <v>177</v>
      </c>
      <c r="C42" s="13" t="s">
        <v>101</v>
      </c>
      <c r="D42" s="16" t="s">
        <v>102</v>
      </c>
      <c r="F42" s="13" t="s">
        <v>349</v>
      </c>
      <c r="G42" s="13" t="s">
        <v>179</v>
      </c>
      <c r="H42" s="16" t="s">
        <v>127</v>
      </c>
      <c r="I42" s="16">
        <v>20</v>
      </c>
      <c r="K42" s="13" t="s">
        <v>128</v>
      </c>
      <c r="L42" s="13" t="s">
        <v>241</v>
      </c>
      <c r="M42" s="46">
        <v>43849</v>
      </c>
      <c r="P42"/>
    </row>
    <row r="43" spans="1:16" ht="15" customHeight="1">
      <c r="A43" s="46">
        <v>43822</v>
      </c>
      <c r="B43" s="13" t="s">
        <v>177</v>
      </c>
      <c r="C43" s="13" t="s">
        <v>101</v>
      </c>
      <c r="D43" s="16" t="s">
        <v>102</v>
      </c>
      <c r="F43" s="13" t="s">
        <v>181</v>
      </c>
      <c r="G43" s="13" t="s">
        <v>182</v>
      </c>
      <c r="H43" s="16" t="s">
        <v>127</v>
      </c>
      <c r="I43" s="16">
        <v>10</v>
      </c>
      <c r="K43" s="13" t="s">
        <v>128</v>
      </c>
      <c r="L43" s="13" t="s">
        <v>241</v>
      </c>
      <c r="M43" s="46">
        <v>43849</v>
      </c>
      <c r="P43"/>
    </row>
    <row r="44" spans="1:16" ht="15" customHeight="1">
      <c r="A44" s="46">
        <v>43822</v>
      </c>
      <c r="B44" s="13" t="s">
        <v>177</v>
      </c>
      <c r="C44" s="13" t="s">
        <v>101</v>
      </c>
      <c r="D44" s="16" t="s">
        <v>102</v>
      </c>
      <c r="F44" s="13" t="s">
        <v>183</v>
      </c>
      <c r="G44" s="13" t="s">
        <v>184</v>
      </c>
      <c r="H44" s="16" t="s">
        <v>127</v>
      </c>
      <c r="I44" s="16">
        <v>10</v>
      </c>
      <c r="K44" s="13" t="s">
        <v>128</v>
      </c>
      <c r="L44" s="13" t="s">
        <v>241</v>
      </c>
      <c r="M44" s="46">
        <v>43849</v>
      </c>
      <c r="P44"/>
    </row>
    <row r="45" spans="1:16" ht="15" customHeight="1">
      <c r="A45" s="46">
        <v>43822</v>
      </c>
      <c r="B45" s="13" t="s">
        <v>177</v>
      </c>
      <c r="C45" s="13" t="s">
        <v>101</v>
      </c>
      <c r="D45" s="16" t="s">
        <v>102</v>
      </c>
      <c r="F45" s="13" t="s">
        <v>185</v>
      </c>
      <c r="G45" s="13" t="s">
        <v>186</v>
      </c>
      <c r="H45" s="16" t="s">
        <v>127</v>
      </c>
      <c r="I45" s="16">
        <v>10</v>
      </c>
      <c r="K45" s="13" t="s">
        <v>128</v>
      </c>
      <c r="L45" s="13" t="s">
        <v>241</v>
      </c>
      <c r="M45" s="46">
        <v>43849</v>
      </c>
      <c r="P45"/>
    </row>
    <row r="46" spans="1:16" ht="15" customHeight="1">
      <c r="A46" s="46">
        <v>43822</v>
      </c>
      <c r="B46" s="13" t="s">
        <v>187</v>
      </c>
      <c r="C46" s="13" t="s">
        <v>101</v>
      </c>
      <c r="D46" s="16" t="s">
        <v>102</v>
      </c>
      <c r="F46" s="13" t="s">
        <v>188</v>
      </c>
      <c r="G46" s="13" t="s">
        <v>189</v>
      </c>
      <c r="H46" s="16" t="s">
        <v>127</v>
      </c>
      <c r="I46" s="16">
        <v>2</v>
      </c>
      <c r="K46" s="13" t="s">
        <v>128</v>
      </c>
      <c r="L46" s="13" t="s">
        <v>241</v>
      </c>
      <c r="M46" s="46">
        <v>43849</v>
      </c>
      <c r="P46"/>
    </row>
    <row r="47" spans="1:16" ht="15" customHeight="1">
      <c r="A47" s="46">
        <v>43822</v>
      </c>
      <c r="B47" s="13" t="s">
        <v>187</v>
      </c>
      <c r="C47" s="13" t="s">
        <v>101</v>
      </c>
      <c r="D47" s="16" t="s">
        <v>102</v>
      </c>
      <c r="F47" s="13" t="s">
        <v>190</v>
      </c>
      <c r="G47" s="13" t="s">
        <v>191</v>
      </c>
      <c r="H47" s="16" t="s">
        <v>127</v>
      </c>
      <c r="I47" s="16">
        <v>2</v>
      </c>
      <c r="K47" s="13" t="s">
        <v>128</v>
      </c>
      <c r="L47" s="13" t="s">
        <v>241</v>
      </c>
      <c r="M47" s="46">
        <v>43849</v>
      </c>
      <c r="P47"/>
    </row>
    <row r="48" spans="1:16" ht="15" customHeight="1">
      <c r="A48" s="46">
        <v>43822</v>
      </c>
      <c r="B48" s="13" t="s">
        <v>192</v>
      </c>
      <c r="C48" s="13" t="s">
        <v>101</v>
      </c>
      <c r="D48" s="16" t="s">
        <v>102</v>
      </c>
      <c r="F48" s="13" t="s">
        <v>193</v>
      </c>
      <c r="G48" s="13" t="s">
        <v>194</v>
      </c>
      <c r="H48" s="16" t="s">
        <v>127</v>
      </c>
      <c r="I48" s="16">
        <v>2</v>
      </c>
      <c r="K48" s="13" t="s">
        <v>128</v>
      </c>
      <c r="L48" s="13" t="s">
        <v>241</v>
      </c>
      <c r="M48" s="46">
        <v>43849</v>
      </c>
      <c r="P48"/>
    </row>
    <row r="49" spans="1:16" ht="15" customHeight="1">
      <c r="A49" s="46">
        <v>43822</v>
      </c>
      <c r="B49" s="13" t="s">
        <v>192</v>
      </c>
      <c r="C49" s="13" t="s">
        <v>101</v>
      </c>
      <c r="D49" s="16" t="s">
        <v>102</v>
      </c>
      <c r="F49" s="13" t="s">
        <v>195</v>
      </c>
      <c r="G49" s="13" t="s">
        <v>196</v>
      </c>
      <c r="H49" s="16" t="s">
        <v>197</v>
      </c>
      <c r="I49" s="16">
        <v>1</v>
      </c>
      <c r="K49" s="13" t="s">
        <v>128</v>
      </c>
      <c r="L49" s="13" t="s">
        <v>241</v>
      </c>
      <c r="M49" s="46">
        <v>43849</v>
      </c>
      <c r="P49"/>
    </row>
    <row r="50" spans="1:16" ht="15" customHeight="1">
      <c r="A50" s="46">
        <v>43822</v>
      </c>
      <c r="B50" s="13" t="s">
        <v>192</v>
      </c>
      <c r="C50" s="13" t="s">
        <v>101</v>
      </c>
      <c r="D50" s="16" t="s">
        <v>102</v>
      </c>
      <c r="F50" s="13" t="s">
        <v>198</v>
      </c>
      <c r="G50" s="13" t="s">
        <v>199</v>
      </c>
      <c r="H50" s="16" t="s">
        <v>139</v>
      </c>
      <c r="I50" s="16">
        <v>3</v>
      </c>
      <c r="K50" s="13" t="s">
        <v>128</v>
      </c>
      <c r="L50" s="13" t="s">
        <v>241</v>
      </c>
      <c r="M50" s="46">
        <v>43849</v>
      </c>
      <c r="P50"/>
    </row>
    <row r="51" spans="1:16" ht="15" customHeight="1">
      <c r="A51" s="46">
        <v>43822</v>
      </c>
      <c r="B51" s="13" t="s">
        <v>192</v>
      </c>
      <c r="C51" s="13" t="s">
        <v>101</v>
      </c>
      <c r="D51" s="16" t="s">
        <v>102</v>
      </c>
      <c r="F51" s="13" t="s">
        <v>200</v>
      </c>
      <c r="G51" s="13" t="s">
        <v>144</v>
      </c>
      <c r="H51" s="16" t="s">
        <v>127</v>
      </c>
      <c r="I51" s="16">
        <v>2</v>
      </c>
      <c r="K51" s="13" t="s">
        <v>128</v>
      </c>
      <c r="L51" s="13" t="s">
        <v>241</v>
      </c>
      <c r="M51" s="46">
        <v>43849</v>
      </c>
      <c r="P51"/>
    </row>
    <row r="52" spans="1:16" ht="15" customHeight="1">
      <c r="A52" s="46">
        <v>43822</v>
      </c>
      <c r="B52" s="13" t="s">
        <v>192</v>
      </c>
      <c r="C52" s="13" t="s">
        <v>101</v>
      </c>
      <c r="D52" s="16" t="s">
        <v>102</v>
      </c>
      <c r="F52" s="13" t="s">
        <v>201</v>
      </c>
      <c r="G52" s="13" t="s">
        <v>144</v>
      </c>
      <c r="H52" s="16" t="s">
        <v>127</v>
      </c>
      <c r="I52" s="16">
        <v>2</v>
      </c>
      <c r="K52" s="13" t="s">
        <v>128</v>
      </c>
      <c r="L52" s="13" t="s">
        <v>241</v>
      </c>
      <c r="M52" s="46">
        <v>43849</v>
      </c>
      <c r="P52"/>
    </row>
    <row r="53" spans="1:16" ht="15" customHeight="1">
      <c r="A53" s="46">
        <v>43822</v>
      </c>
      <c r="B53" s="13" t="s">
        <v>192</v>
      </c>
      <c r="C53" s="13" t="s">
        <v>101</v>
      </c>
      <c r="D53" s="16" t="s">
        <v>102</v>
      </c>
      <c r="F53" s="13" t="s">
        <v>202</v>
      </c>
      <c r="G53" s="13" t="s">
        <v>203</v>
      </c>
      <c r="H53" s="16" t="s">
        <v>127</v>
      </c>
      <c r="I53" s="13">
        <v>2</v>
      </c>
      <c r="K53" s="13" t="s">
        <v>128</v>
      </c>
      <c r="L53" s="13" t="s">
        <v>241</v>
      </c>
      <c r="M53" s="46">
        <v>43849</v>
      </c>
      <c r="P53"/>
    </row>
    <row r="54" spans="1:16" ht="15" customHeight="1">
      <c r="A54" s="46">
        <v>43822</v>
      </c>
      <c r="B54" s="13" t="s">
        <v>192</v>
      </c>
      <c r="C54" s="13" t="s">
        <v>101</v>
      </c>
      <c r="D54" s="16" t="s">
        <v>102</v>
      </c>
      <c r="F54" s="13" t="s">
        <v>204</v>
      </c>
      <c r="G54" s="13" t="s">
        <v>205</v>
      </c>
      <c r="H54" s="16" t="s">
        <v>82</v>
      </c>
      <c r="I54" s="16">
        <v>200</v>
      </c>
      <c r="K54" s="13" t="s">
        <v>128</v>
      </c>
      <c r="L54" s="13" t="s">
        <v>241</v>
      </c>
      <c r="M54" s="46">
        <v>43849</v>
      </c>
      <c r="P54"/>
    </row>
    <row r="55" spans="1:16" ht="15" customHeight="1">
      <c r="A55" s="46">
        <v>43822</v>
      </c>
      <c r="B55" s="13" t="s">
        <v>206</v>
      </c>
      <c r="C55" s="13" t="s">
        <v>101</v>
      </c>
      <c r="D55" s="16" t="s">
        <v>102</v>
      </c>
      <c r="F55" s="13" t="s">
        <v>207</v>
      </c>
      <c r="G55" s="13" t="s">
        <v>208</v>
      </c>
      <c r="H55" s="16" t="s">
        <v>127</v>
      </c>
      <c r="I55" s="16">
        <v>30</v>
      </c>
      <c r="K55" s="13" t="s">
        <v>128</v>
      </c>
      <c r="L55" s="13" t="s">
        <v>241</v>
      </c>
      <c r="M55" s="46">
        <v>43849</v>
      </c>
      <c r="P55"/>
    </row>
    <row r="56" spans="1:16" ht="15" customHeight="1">
      <c r="A56" s="46">
        <v>43822</v>
      </c>
      <c r="B56" s="13" t="s">
        <v>206</v>
      </c>
      <c r="C56" s="13" t="s">
        <v>101</v>
      </c>
      <c r="D56" s="16" t="s">
        <v>102</v>
      </c>
      <c r="F56" s="13" t="s">
        <v>209</v>
      </c>
      <c r="G56" s="13" t="s">
        <v>208</v>
      </c>
      <c r="H56" s="16" t="s">
        <v>127</v>
      </c>
      <c r="I56" s="16">
        <v>30</v>
      </c>
      <c r="K56" s="13" t="s">
        <v>128</v>
      </c>
      <c r="L56" s="13" t="s">
        <v>241</v>
      </c>
      <c r="M56" s="46">
        <v>43849</v>
      </c>
      <c r="P56"/>
    </row>
    <row r="57" spans="1:16" ht="15" customHeight="1">
      <c r="A57" s="46">
        <v>43822</v>
      </c>
      <c r="B57" s="13" t="s">
        <v>206</v>
      </c>
      <c r="C57" s="13" t="s">
        <v>101</v>
      </c>
      <c r="D57" s="16" t="s">
        <v>102</v>
      </c>
      <c r="F57" s="13" t="s">
        <v>210</v>
      </c>
      <c r="G57" s="13" t="s">
        <v>208</v>
      </c>
      <c r="H57" s="16" t="s">
        <v>127</v>
      </c>
      <c r="I57" s="16">
        <v>30</v>
      </c>
      <c r="K57" s="13" t="s">
        <v>128</v>
      </c>
      <c r="L57" s="13" t="s">
        <v>241</v>
      </c>
      <c r="M57" s="46">
        <v>43849</v>
      </c>
      <c r="P57"/>
    </row>
    <row r="58" spans="1:16" ht="15" customHeight="1">
      <c r="A58" s="46">
        <v>43822</v>
      </c>
      <c r="B58" s="13" t="s">
        <v>206</v>
      </c>
      <c r="C58" s="13" t="s">
        <v>101</v>
      </c>
      <c r="D58" s="16" t="s">
        <v>102</v>
      </c>
      <c r="F58" s="13" t="s">
        <v>211</v>
      </c>
      <c r="G58" s="13" t="s">
        <v>208</v>
      </c>
      <c r="H58" s="16" t="s">
        <v>127</v>
      </c>
      <c r="I58" s="16">
        <v>30</v>
      </c>
      <c r="K58" s="13" t="s">
        <v>128</v>
      </c>
      <c r="L58" s="13" t="s">
        <v>241</v>
      </c>
      <c r="M58" s="46">
        <v>43849</v>
      </c>
      <c r="P58"/>
    </row>
    <row r="59" spans="1:16" ht="15" customHeight="1">
      <c r="A59" s="46">
        <v>43822</v>
      </c>
      <c r="B59" s="13" t="s">
        <v>206</v>
      </c>
      <c r="C59" s="13" t="s">
        <v>101</v>
      </c>
      <c r="D59" s="16" t="s">
        <v>102</v>
      </c>
      <c r="F59" s="13" t="s">
        <v>212</v>
      </c>
      <c r="G59" s="13" t="s">
        <v>208</v>
      </c>
      <c r="H59" s="16" t="s">
        <v>127</v>
      </c>
      <c r="I59" s="16">
        <v>30</v>
      </c>
      <c r="K59" s="13" t="s">
        <v>128</v>
      </c>
      <c r="L59" s="13" t="s">
        <v>241</v>
      </c>
      <c r="M59" s="46">
        <v>43849</v>
      </c>
      <c r="P59"/>
    </row>
    <row r="60" spans="1:16" ht="15" customHeight="1">
      <c r="A60" s="46">
        <v>43822</v>
      </c>
      <c r="B60" s="13" t="s">
        <v>206</v>
      </c>
      <c r="C60" s="13" t="s">
        <v>101</v>
      </c>
      <c r="D60" s="16" t="s">
        <v>102</v>
      </c>
      <c r="F60" s="13" t="s">
        <v>213</v>
      </c>
      <c r="G60" s="13" t="s">
        <v>214</v>
      </c>
      <c r="H60" s="16" t="s">
        <v>127</v>
      </c>
      <c r="I60" s="16">
        <v>100</v>
      </c>
      <c r="K60" s="13" t="s">
        <v>128</v>
      </c>
      <c r="L60" s="13" t="s">
        <v>241</v>
      </c>
      <c r="M60" s="46">
        <v>43849</v>
      </c>
      <c r="P60"/>
    </row>
    <row r="61" spans="1:16" ht="15" customHeight="1">
      <c r="A61" s="46">
        <v>43851</v>
      </c>
      <c r="B61" s="13" t="s">
        <v>218</v>
      </c>
      <c r="C61" s="13" t="s">
        <v>101</v>
      </c>
      <c r="D61" s="16" t="s">
        <v>103</v>
      </c>
      <c r="F61" s="13" t="s">
        <v>215</v>
      </c>
      <c r="G61" s="13" t="s">
        <v>216</v>
      </c>
      <c r="H61" s="16" t="s">
        <v>79</v>
      </c>
      <c r="I61" s="16">
        <v>2</v>
      </c>
      <c r="J61" s="13" t="s">
        <v>217</v>
      </c>
      <c r="K61" s="13" t="s">
        <v>100</v>
      </c>
      <c r="M61" s="13" t="s">
        <v>104</v>
      </c>
      <c r="P61"/>
    </row>
    <row r="62" spans="1:16" ht="15" customHeight="1">
      <c r="A62" s="46">
        <v>43895</v>
      </c>
      <c r="B62" s="13" t="s">
        <v>240</v>
      </c>
      <c r="C62" s="13" t="s">
        <v>101</v>
      </c>
      <c r="D62" s="16" t="s">
        <v>102</v>
      </c>
      <c r="F62" s="13" t="s">
        <v>221</v>
      </c>
      <c r="G62" s="13" t="s">
        <v>222</v>
      </c>
      <c r="H62" s="16" t="s">
        <v>79</v>
      </c>
      <c r="I62" s="16">
        <v>2</v>
      </c>
      <c r="K62" s="13" t="s">
        <v>100</v>
      </c>
      <c r="L62" s="13" t="s">
        <v>241</v>
      </c>
      <c r="M62" s="13" t="s">
        <v>239</v>
      </c>
      <c r="P62"/>
    </row>
    <row r="63" spans="1:16" ht="15" customHeight="1">
      <c r="A63" s="46">
        <v>43895</v>
      </c>
      <c r="B63" s="13" t="s">
        <v>240</v>
      </c>
      <c r="C63" s="13" t="s">
        <v>101</v>
      </c>
      <c r="D63" s="16" t="s">
        <v>102</v>
      </c>
      <c r="F63" s="13" t="s">
        <v>223</v>
      </c>
      <c r="G63" s="13" t="s">
        <v>224</v>
      </c>
      <c r="H63" s="16" t="s">
        <v>79</v>
      </c>
      <c r="I63" s="16">
        <v>1</v>
      </c>
      <c r="K63" s="13" t="s">
        <v>100</v>
      </c>
      <c r="L63" s="13" t="s">
        <v>241</v>
      </c>
      <c r="M63" s="13" t="s">
        <v>239</v>
      </c>
      <c r="P63"/>
    </row>
    <row r="64" spans="1:16" ht="15" customHeight="1">
      <c r="A64" s="46">
        <v>43895</v>
      </c>
      <c r="B64" s="13" t="s">
        <v>240</v>
      </c>
      <c r="C64" s="13" t="s">
        <v>101</v>
      </c>
      <c r="D64" s="16" t="s">
        <v>102</v>
      </c>
      <c r="F64" s="13" t="s">
        <v>225</v>
      </c>
      <c r="G64" s="13" t="s">
        <v>226</v>
      </c>
      <c r="H64" s="16" t="s">
        <v>79</v>
      </c>
      <c r="I64" s="16">
        <v>2</v>
      </c>
      <c r="K64" s="13" t="s">
        <v>100</v>
      </c>
      <c r="L64" s="13" t="s">
        <v>241</v>
      </c>
      <c r="M64" s="13" t="s">
        <v>239</v>
      </c>
      <c r="P64"/>
    </row>
    <row r="65" spans="1:16" ht="15" customHeight="1">
      <c r="A65" s="46">
        <v>43895</v>
      </c>
      <c r="B65" s="13" t="s">
        <v>240</v>
      </c>
      <c r="C65" s="13" t="s">
        <v>101</v>
      </c>
      <c r="D65" s="16" t="s">
        <v>102</v>
      </c>
      <c r="F65" s="13" t="s">
        <v>227</v>
      </c>
      <c r="G65" s="13" t="s">
        <v>228</v>
      </c>
      <c r="H65" s="16" t="s">
        <v>229</v>
      </c>
      <c r="I65" s="16">
        <v>5</v>
      </c>
      <c r="J65" s="13" t="s">
        <v>230</v>
      </c>
      <c r="K65" s="13" t="s">
        <v>100</v>
      </c>
      <c r="L65" s="13" t="s">
        <v>241</v>
      </c>
      <c r="M65" s="13" t="s">
        <v>239</v>
      </c>
      <c r="P65"/>
    </row>
    <row r="66" spans="1:16" ht="15" customHeight="1">
      <c r="A66" s="46">
        <v>43895</v>
      </c>
      <c r="B66" s="13" t="s">
        <v>240</v>
      </c>
      <c r="C66" s="13" t="s">
        <v>101</v>
      </c>
      <c r="D66" s="16" t="s">
        <v>102</v>
      </c>
      <c r="F66" s="13" t="s">
        <v>231</v>
      </c>
      <c r="G66" s="13" t="s">
        <v>232</v>
      </c>
      <c r="H66" s="16" t="s">
        <v>79</v>
      </c>
      <c r="I66" s="16">
        <v>3</v>
      </c>
      <c r="K66" s="13" t="s">
        <v>100</v>
      </c>
      <c r="L66" s="13" t="s">
        <v>241</v>
      </c>
      <c r="M66" s="13" t="s">
        <v>239</v>
      </c>
      <c r="P66"/>
    </row>
    <row r="67" spans="1:16" ht="15" customHeight="1">
      <c r="A67" s="46">
        <v>43895</v>
      </c>
      <c r="B67" s="13" t="s">
        <v>240</v>
      </c>
      <c r="C67" s="13" t="s">
        <v>101</v>
      </c>
      <c r="D67" s="66" t="s">
        <v>102</v>
      </c>
      <c r="F67" s="13" t="s">
        <v>233</v>
      </c>
      <c r="G67" s="13" t="s">
        <v>234</v>
      </c>
      <c r="H67" s="16" t="s">
        <v>79</v>
      </c>
      <c r="I67" s="16">
        <v>3</v>
      </c>
      <c r="K67" s="13" t="s">
        <v>100</v>
      </c>
      <c r="L67" s="13" t="s">
        <v>241</v>
      </c>
      <c r="M67" s="13" t="s">
        <v>239</v>
      </c>
      <c r="P67"/>
    </row>
    <row r="68" spans="1:16" ht="15" customHeight="1">
      <c r="A68" s="46">
        <v>43895</v>
      </c>
      <c r="B68" s="13" t="s">
        <v>240</v>
      </c>
      <c r="C68" s="13" t="s">
        <v>101</v>
      </c>
      <c r="D68" s="66" t="s">
        <v>102</v>
      </c>
      <c r="F68" s="13" t="s">
        <v>235</v>
      </c>
      <c r="G68" s="13" t="s">
        <v>236</v>
      </c>
      <c r="H68" s="16" t="s">
        <v>79</v>
      </c>
      <c r="I68" s="16">
        <v>3</v>
      </c>
      <c r="K68" s="13" t="s">
        <v>100</v>
      </c>
      <c r="L68" s="13" t="s">
        <v>241</v>
      </c>
      <c r="M68" s="13" t="s">
        <v>239</v>
      </c>
      <c r="P68"/>
    </row>
    <row r="69" spans="1:16" ht="15" customHeight="1">
      <c r="A69" s="46">
        <v>43895</v>
      </c>
      <c r="B69" s="13" t="s">
        <v>240</v>
      </c>
      <c r="C69" s="13" t="s">
        <v>101</v>
      </c>
      <c r="D69" s="66" t="s">
        <v>102</v>
      </c>
      <c r="F69" s="13" t="s">
        <v>237</v>
      </c>
      <c r="G69" s="13" t="s">
        <v>238</v>
      </c>
      <c r="H69" s="16" t="s">
        <v>79</v>
      </c>
      <c r="I69" s="16">
        <v>1</v>
      </c>
      <c r="K69" s="13" t="s">
        <v>100</v>
      </c>
      <c r="L69" s="13" t="s">
        <v>241</v>
      </c>
      <c r="M69" s="13" t="s">
        <v>239</v>
      </c>
      <c r="P69"/>
    </row>
    <row r="70" spans="1:16" ht="15" customHeight="1">
      <c r="A70" s="46">
        <v>43902</v>
      </c>
      <c r="B70" s="13" t="s">
        <v>124</v>
      </c>
      <c r="C70" s="13" t="s">
        <v>101</v>
      </c>
      <c r="D70" s="16" t="s">
        <v>102</v>
      </c>
      <c r="F70" s="13" t="s">
        <v>243</v>
      </c>
      <c r="G70" s="13" t="s">
        <v>244</v>
      </c>
      <c r="H70" s="16" t="s">
        <v>79</v>
      </c>
      <c r="I70" s="16">
        <v>20</v>
      </c>
      <c r="K70" s="13" t="s">
        <v>100</v>
      </c>
      <c r="L70" s="13" t="s">
        <v>241</v>
      </c>
      <c r="M70" s="13" t="s">
        <v>245</v>
      </c>
      <c r="P70"/>
    </row>
    <row r="71" spans="1:16" ht="15" customHeight="1">
      <c r="A71" s="46">
        <v>43906</v>
      </c>
      <c r="B71" s="13" t="s">
        <v>253</v>
      </c>
      <c r="C71" s="13" t="s">
        <v>101</v>
      </c>
      <c r="D71" s="16" t="s">
        <v>102</v>
      </c>
      <c r="F71" s="13" t="s">
        <v>250</v>
      </c>
      <c r="G71" s="13" t="s">
        <v>251</v>
      </c>
      <c r="H71" s="16" t="s">
        <v>79</v>
      </c>
      <c r="I71" s="16">
        <v>2</v>
      </c>
      <c r="K71" s="13" t="s">
        <v>100</v>
      </c>
      <c r="L71" s="13" t="s">
        <v>241</v>
      </c>
      <c r="M71" s="13" t="s">
        <v>252</v>
      </c>
      <c r="P71"/>
    </row>
    <row r="72" spans="1:16" ht="15" customHeight="1">
      <c r="A72" s="46">
        <v>43910</v>
      </c>
      <c r="B72" s="13" t="s">
        <v>258</v>
      </c>
      <c r="C72" s="13" t="s">
        <v>101</v>
      </c>
      <c r="D72" s="16" t="s">
        <v>102</v>
      </c>
      <c r="F72" s="13" t="s">
        <v>254</v>
      </c>
      <c r="G72" s="13" t="s">
        <v>255</v>
      </c>
      <c r="H72" s="16" t="s">
        <v>79</v>
      </c>
      <c r="I72" s="16">
        <v>1</v>
      </c>
      <c r="K72" s="13" t="s">
        <v>100</v>
      </c>
      <c r="L72" s="13" t="s">
        <v>256</v>
      </c>
      <c r="M72" s="13" t="s">
        <v>257</v>
      </c>
      <c r="P72"/>
    </row>
    <row r="73" spans="1:16" ht="15" customHeight="1">
      <c r="A73" s="46">
        <v>43910</v>
      </c>
      <c r="B73" s="13" t="s">
        <v>265</v>
      </c>
      <c r="C73" s="13" t="s">
        <v>101</v>
      </c>
      <c r="D73" s="16" t="s">
        <v>102</v>
      </c>
      <c r="F73" s="13" t="s">
        <v>259</v>
      </c>
      <c r="G73" s="13" t="s">
        <v>263</v>
      </c>
      <c r="H73" s="16" t="s">
        <v>79</v>
      </c>
      <c r="I73" s="16">
        <v>34</v>
      </c>
      <c r="K73" s="13" t="s">
        <v>100</v>
      </c>
      <c r="L73" s="13" t="s">
        <v>264</v>
      </c>
      <c r="M73" s="13" t="s">
        <v>257</v>
      </c>
      <c r="N73" s="13">
        <v>689</v>
      </c>
      <c r="P73"/>
    </row>
    <row r="74" spans="1:16" ht="15" customHeight="1">
      <c r="A74" s="46">
        <v>43910</v>
      </c>
      <c r="B74" s="13" t="s">
        <v>265</v>
      </c>
      <c r="C74" s="13" t="s">
        <v>101</v>
      </c>
      <c r="D74" s="16" t="s">
        <v>102</v>
      </c>
      <c r="F74" s="13" t="s">
        <v>260</v>
      </c>
      <c r="G74" s="13" t="s">
        <v>263</v>
      </c>
      <c r="H74" s="16" t="s">
        <v>79</v>
      </c>
      <c r="I74" s="16">
        <v>8</v>
      </c>
      <c r="K74" s="13" t="s">
        <v>100</v>
      </c>
      <c r="L74" s="13" t="s">
        <v>264</v>
      </c>
      <c r="M74" s="13" t="s">
        <v>257</v>
      </c>
      <c r="N74" s="13">
        <v>689</v>
      </c>
      <c r="P74"/>
    </row>
    <row r="75" spans="1:16" ht="15" customHeight="1">
      <c r="A75" s="46">
        <v>43910</v>
      </c>
      <c r="B75" s="13" t="s">
        <v>265</v>
      </c>
      <c r="C75" s="13" t="s">
        <v>101</v>
      </c>
      <c r="D75" s="16" t="s">
        <v>102</v>
      </c>
      <c r="F75" s="13" t="s">
        <v>261</v>
      </c>
      <c r="G75" s="13" t="s">
        <v>263</v>
      </c>
      <c r="H75" s="16" t="s">
        <v>79</v>
      </c>
      <c r="I75" s="16">
        <v>32</v>
      </c>
      <c r="K75" s="13" t="s">
        <v>100</v>
      </c>
      <c r="L75" s="13" t="s">
        <v>264</v>
      </c>
      <c r="M75" s="13" t="s">
        <v>257</v>
      </c>
      <c r="N75" s="13">
        <v>689</v>
      </c>
      <c r="P75"/>
    </row>
    <row r="76" spans="1:16" ht="15" customHeight="1">
      <c r="A76" s="46">
        <v>43910</v>
      </c>
      <c r="B76" s="13" t="s">
        <v>265</v>
      </c>
      <c r="C76" s="13" t="s">
        <v>101</v>
      </c>
      <c r="D76" s="16" t="s">
        <v>102</v>
      </c>
      <c r="F76" s="13" t="s">
        <v>262</v>
      </c>
      <c r="G76" s="13" t="s">
        <v>263</v>
      </c>
      <c r="H76" s="16" t="s">
        <v>79</v>
      </c>
      <c r="I76" s="16">
        <v>2</v>
      </c>
      <c r="K76" s="13" t="s">
        <v>100</v>
      </c>
      <c r="L76" s="13" t="s">
        <v>264</v>
      </c>
      <c r="M76" s="13" t="s">
        <v>257</v>
      </c>
      <c r="N76" s="13">
        <v>689</v>
      </c>
    </row>
    <row r="77" spans="1:16" ht="15" customHeight="1">
      <c r="A77" s="46">
        <v>43948</v>
      </c>
      <c r="B77" s="13" t="s">
        <v>273</v>
      </c>
      <c r="C77" s="13" t="s">
        <v>269</v>
      </c>
      <c r="D77" s="16" t="s">
        <v>102</v>
      </c>
      <c r="F77" s="13" t="s">
        <v>270</v>
      </c>
      <c r="G77" s="13" t="s">
        <v>271</v>
      </c>
      <c r="H77" s="16" t="s">
        <v>79</v>
      </c>
      <c r="I77" s="16">
        <v>10</v>
      </c>
      <c r="K77" s="13" t="s">
        <v>100</v>
      </c>
      <c r="L77" s="13" t="s">
        <v>272</v>
      </c>
      <c r="M77" s="13" t="s">
        <v>274</v>
      </c>
    </row>
    <row r="78" spans="1:16" ht="15" customHeight="1">
      <c r="A78" s="46">
        <v>43948</v>
      </c>
      <c r="B78" s="13" t="s">
        <v>284</v>
      </c>
      <c r="C78" s="13" t="s">
        <v>269</v>
      </c>
      <c r="D78" s="16" t="s">
        <v>102</v>
      </c>
      <c r="F78" s="13" t="s">
        <v>275</v>
      </c>
      <c r="G78" s="13" t="s">
        <v>276</v>
      </c>
      <c r="H78" s="16" t="s">
        <v>79</v>
      </c>
      <c r="I78" s="16">
        <v>20</v>
      </c>
      <c r="K78" s="13" t="s">
        <v>100</v>
      </c>
      <c r="L78" s="13" t="s">
        <v>283</v>
      </c>
      <c r="M78" s="13" t="s">
        <v>274</v>
      </c>
    </row>
    <row r="79" spans="1:16" ht="15" customHeight="1">
      <c r="A79" s="46">
        <v>43948</v>
      </c>
      <c r="B79" s="13" t="s">
        <v>284</v>
      </c>
      <c r="C79" s="13" t="s">
        <v>269</v>
      </c>
      <c r="D79" s="16" t="s">
        <v>102</v>
      </c>
      <c r="F79" s="13" t="s">
        <v>277</v>
      </c>
      <c r="G79" s="13" t="s">
        <v>278</v>
      </c>
      <c r="H79" s="16" t="s">
        <v>79</v>
      </c>
      <c r="I79" s="16">
        <v>130</v>
      </c>
      <c r="K79" s="13" t="s">
        <v>100</v>
      </c>
      <c r="L79" s="13" t="s">
        <v>283</v>
      </c>
      <c r="M79" s="13" t="s">
        <v>274</v>
      </c>
    </row>
    <row r="80" spans="1:16" ht="15" customHeight="1">
      <c r="A80" s="46">
        <v>43948</v>
      </c>
      <c r="B80" s="13" t="s">
        <v>284</v>
      </c>
      <c r="C80" s="13" t="s">
        <v>269</v>
      </c>
      <c r="D80" s="16" t="s">
        <v>102</v>
      </c>
      <c r="F80" s="13" t="s">
        <v>279</v>
      </c>
      <c r="G80" s="13" t="s">
        <v>280</v>
      </c>
      <c r="H80" s="16" t="s">
        <v>79</v>
      </c>
      <c r="I80" s="16">
        <v>20</v>
      </c>
      <c r="K80" s="13" t="s">
        <v>100</v>
      </c>
      <c r="L80" s="13" t="s">
        <v>283</v>
      </c>
      <c r="M80" s="13" t="s">
        <v>274</v>
      </c>
    </row>
    <row r="81" spans="1:14" ht="15" customHeight="1">
      <c r="A81" s="46">
        <v>43948</v>
      </c>
      <c r="B81" s="13" t="s">
        <v>284</v>
      </c>
      <c r="C81" s="13" t="s">
        <v>269</v>
      </c>
      <c r="D81" s="16" t="s">
        <v>102</v>
      </c>
      <c r="F81" s="13" t="s">
        <v>281</v>
      </c>
      <c r="G81" s="13" t="s">
        <v>282</v>
      </c>
      <c r="H81" s="16" t="s">
        <v>79</v>
      </c>
      <c r="I81" s="16">
        <v>250</v>
      </c>
      <c r="K81" s="13" t="s">
        <v>100</v>
      </c>
      <c r="L81" s="13" t="s">
        <v>283</v>
      </c>
      <c r="M81" s="13" t="s">
        <v>274</v>
      </c>
    </row>
    <row r="82" spans="1:14" ht="15" customHeight="1">
      <c r="A82" s="46">
        <v>43957</v>
      </c>
      <c r="B82" s="13" t="s">
        <v>348</v>
      </c>
      <c r="C82" s="13" t="s">
        <v>269</v>
      </c>
      <c r="D82" s="16" t="s">
        <v>102</v>
      </c>
      <c r="F82" s="13" t="s">
        <v>337</v>
      </c>
      <c r="G82" s="13" t="s">
        <v>338</v>
      </c>
      <c r="H82" s="16" t="s">
        <v>79</v>
      </c>
      <c r="I82" s="16">
        <v>1</v>
      </c>
      <c r="K82" s="13" t="s">
        <v>100</v>
      </c>
      <c r="L82" s="13" t="s">
        <v>347</v>
      </c>
      <c r="M82" s="13" t="s">
        <v>274</v>
      </c>
      <c r="N82" s="13" t="s">
        <v>387</v>
      </c>
    </row>
    <row r="83" spans="1:14" ht="15" customHeight="1">
      <c r="A83" s="46">
        <v>43957</v>
      </c>
      <c r="B83" s="13" t="s">
        <v>348</v>
      </c>
      <c r="C83" s="13" t="s">
        <v>269</v>
      </c>
      <c r="D83" s="16" t="s">
        <v>102</v>
      </c>
      <c r="F83" s="13" t="s">
        <v>339</v>
      </c>
      <c r="G83" s="13" t="s">
        <v>340</v>
      </c>
      <c r="H83" s="16" t="s">
        <v>79</v>
      </c>
      <c r="I83" s="16">
        <v>1</v>
      </c>
      <c r="K83" s="13" t="s">
        <v>100</v>
      </c>
      <c r="L83" s="13" t="s">
        <v>347</v>
      </c>
      <c r="M83" s="13" t="s">
        <v>274</v>
      </c>
      <c r="N83" s="13" t="s">
        <v>387</v>
      </c>
    </row>
    <row r="84" spans="1:14" ht="15" customHeight="1">
      <c r="A84" s="46">
        <v>43957</v>
      </c>
      <c r="B84" s="13" t="s">
        <v>348</v>
      </c>
      <c r="C84" s="13" t="s">
        <v>269</v>
      </c>
      <c r="D84" s="16" t="s">
        <v>102</v>
      </c>
      <c r="F84" s="13" t="s">
        <v>341</v>
      </c>
      <c r="G84" s="13" t="s">
        <v>342</v>
      </c>
      <c r="H84" s="16" t="s">
        <v>79</v>
      </c>
      <c r="I84" s="16">
        <v>5</v>
      </c>
      <c r="K84" s="13" t="s">
        <v>100</v>
      </c>
      <c r="L84" s="13" t="s">
        <v>347</v>
      </c>
      <c r="M84" s="13" t="s">
        <v>274</v>
      </c>
      <c r="N84" s="13" t="s">
        <v>387</v>
      </c>
    </row>
    <row r="85" spans="1:14" ht="15" customHeight="1">
      <c r="A85" s="46">
        <v>43957</v>
      </c>
      <c r="B85" s="13" t="s">
        <v>348</v>
      </c>
      <c r="C85" s="13" t="s">
        <v>269</v>
      </c>
      <c r="D85" s="16" t="s">
        <v>102</v>
      </c>
      <c r="F85" s="13" t="s">
        <v>343</v>
      </c>
      <c r="G85" s="13" t="s">
        <v>344</v>
      </c>
      <c r="H85" s="16" t="s">
        <v>79</v>
      </c>
      <c r="I85" s="16">
        <v>5</v>
      </c>
      <c r="K85" s="13" t="s">
        <v>100</v>
      </c>
      <c r="L85" s="13" t="s">
        <v>347</v>
      </c>
      <c r="M85" s="13" t="s">
        <v>274</v>
      </c>
      <c r="N85" s="13" t="s">
        <v>388</v>
      </c>
    </row>
    <row r="86" spans="1:14" ht="15" customHeight="1">
      <c r="A86" s="46">
        <v>43957</v>
      </c>
      <c r="B86" s="13" t="s">
        <v>348</v>
      </c>
      <c r="C86" s="13" t="s">
        <v>269</v>
      </c>
      <c r="D86" s="16" t="s">
        <v>102</v>
      </c>
      <c r="F86" s="13" t="s">
        <v>345</v>
      </c>
      <c r="G86" s="13" t="s">
        <v>346</v>
      </c>
      <c r="H86" s="16" t="s">
        <v>79</v>
      </c>
      <c r="I86" s="16">
        <v>3</v>
      </c>
      <c r="K86" s="13" t="s">
        <v>100</v>
      </c>
      <c r="L86" s="13" t="s">
        <v>347</v>
      </c>
      <c r="M86" s="13" t="s">
        <v>274</v>
      </c>
      <c r="N86" s="13" t="s">
        <v>387</v>
      </c>
    </row>
    <row r="87" spans="1:14" ht="15" customHeight="1">
      <c r="A87" s="46">
        <v>43998</v>
      </c>
      <c r="B87" s="13" t="s">
        <v>253</v>
      </c>
      <c r="C87" s="13" t="s">
        <v>269</v>
      </c>
      <c r="D87" s="16" t="s">
        <v>102</v>
      </c>
      <c r="E87" s="16" t="s">
        <v>375</v>
      </c>
      <c r="F87" s="13" t="s">
        <v>363</v>
      </c>
      <c r="G87" s="13" t="s">
        <v>266</v>
      </c>
      <c r="H87" s="16" t="s">
        <v>79</v>
      </c>
      <c r="I87" s="16">
        <v>100</v>
      </c>
      <c r="K87" s="13" t="s">
        <v>100</v>
      </c>
      <c r="L87" s="13" t="s">
        <v>241</v>
      </c>
      <c r="M87" s="13" t="s">
        <v>362</v>
      </c>
      <c r="N87" s="13" t="s">
        <v>376</v>
      </c>
    </row>
    <row r="88" spans="1:14" ht="15" customHeight="1">
      <c r="A88" s="46">
        <v>43998</v>
      </c>
      <c r="B88" s="13" t="s">
        <v>253</v>
      </c>
      <c r="C88" s="13" t="s">
        <v>269</v>
      </c>
      <c r="D88" s="16" t="s">
        <v>102</v>
      </c>
      <c r="E88" s="16" t="s">
        <v>375</v>
      </c>
      <c r="F88" s="13" t="s">
        <v>364</v>
      </c>
      <c r="G88" s="13" t="s">
        <v>365</v>
      </c>
      <c r="H88" s="16" t="s">
        <v>79</v>
      </c>
      <c r="I88" s="16">
        <v>100</v>
      </c>
      <c r="K88" s="13" t="s">
        <v>100</v>
      </c>
      <c r="L88" s="13" t="s">
        <v>241</v>
      </c>
      <c r="M88" s="13" t="s">
        <v>362</v>
      </c>
      <c r="N88" s="13" t="s">
        <v>376</v>
      </c>
    </row>
    <row r="89" spans="1:14" ht="15" customHeight="1">
      <c r="A89" s="46">
        <v>44015</v>
      </c>
      <c r="B89" s="13" t="s">
        <v>368</v>
      </c>
      <c r="C89" s="13" t="s">
        <v>269</v>
      </c>
      <c r="D89" s="16" t="s">
        <v>102</v>
      </c>
      <c r="E89" s="16" t="s">
        <v>373</v>
      </c>
      <c r="F89" s="13" t="s">
        <v>220</v>
      </c>
      <c r="G89" s="13" t="s">
        <v>242</v>
      </c>
      <c r="H89" s="16" t="s">
        <v>79</v>
      </c>
      <c r="I89" s="16">
        <v>5</v>
      </c>
      <c r="K89" s="13" t="s">
        <v>100</v>
      </c>
      <c r="L89" s="13" t="s">
        <v>241</v>
      </c>
      <c r="M89" s="13" t="s">
        <v>369</v>
      </c>
      <c r="N89" s="13" t="s">
        <v>395</v>
      </c>
    </row>
    <row r="90" spans="1:14" ht="15" customHeight="1">
      <c r="A90" s="46">
        <v>44049</v>
      </c>
      <c r="B90" s="13" t="s">
        <v>348</v>
      </c>
      <c r="C90" s="13" t="s">
        <v>269</v>
      </c>
      <c r="D90" s="16" t="s">
        <v>102</v>
      </c>
      <c r="E90" s="16" t="s">
        <v>394</v>
      </c>
      <c r="F90" s="13" t="s">
        <v>389</v>
      </c>
      <c r="G90" s="13" t="s">
        <v>392</v>
      </c>
      <c r="H90" s="16" t="s">
        <v>229</v>
      </c>
      <c r="I90" s="16">
        <v>14</v>
      </c>
      <c r="K90" s="13" t="s">
        <v>100</v>
      </c>
      <c r="M90" s="13" t="s">
        <v>393</v>
      </c>
    </row>
    <row r="91" spans="1:14" ht="15" customHeight="1">
      <c r="A91" s="46">
        <v>44049</v>
      </c>
      <c r="B91" s="13" t="s">
        <v>348</v>
      </c>
      <c r="C91" s="13" t="s">
        <v>269</v>
      </c>
      <c r="D91" s="16" t="s">
        <v>102</v>
      </c>
      <c r="E91" s="16" t="s">
        <v>394</v>
      </c>
      <c r="F91" s="13" t="s">
        <v>391</v>
      </c>
      <c r="G91" s="13" t="s">
        <v>390</v>
      </c>
      <c r="H91" s="16" t="s">
        <v>229</v>
      </c>
      <c r="I91" s="16">
        <v>12</v>
      </c>
      <c r="K91" s="13" t="s">
        <v>100</v>
      </c>
      <c r="M91" s="13" t="s">
        <v>393</v>
      </c>
    </row>
    <row r="92" spans="1:14" ht="15" customHeight="1">
      <c r="A92" s="46">
        <v>44064</v>
      </c>
      <c r="B92" s="13" t="s">
        <v>218</v>
      </c>
      <c r="C92" s="13" t="s">
        <v>269</v>
      </c>
      <c r="D92" s="16" t="s">
        <v>102</v>
      </c>
      <c r="E92" s="16" t="s">
        <v>424</v>
      </c>
      <c r="F92" s="13" t="s">
        <v>397</v>
      </c>
      <c r="G92" s="13" t="s">
        <v>398</v>
      </c>
      <c r="H92" s="16" t="s">
        <v>79</v>
      </c>
      <c r="I92" s="16">
        <v>2</v>
      </c>
      <c r="K92" s="13" t="s">
        <v>100</v>
      </c>
      <c r="M92" s="13" t="s">
        <v>404</v>
      </c>
    </row>
    <row r="93" spans="1:14" ht="15" customHeight="1">
      <c r="A93" s="46">
        <v>44064</v>
      </c>
      <c r="B93" s="13" t="s">
        <v>218</v>
      </c>
      <c r="C93" s="13" t="s">
        <v>269</v>
      </c>
      <c r="D93" s="16" t="s">
        <v>102</v>
      </c>
      <c r="E93" s="16" t="s">
        <v>424</v>
      </c>
      <c r="F93" s="13" t="s">
        <v>399</v>
      </c>
      <c r="G93" s="13" t="s">
        <v>400</v>
      </c>
      <c r="H93" s="16" t="s">
        <v>79</v>
      </c>
      <c r="I93" s="16">
        <v>10</v>
      </c>
      <c r="K93" s="13" t="s">
        <v>100</v>
      </c>
      <c r="M93" s="13" t="s">
        <v>404</v>
      </c>
    </row>
    <row r="94" spans="1:14" ht="15" customHeight="1">
      <c r="A94" s="46">
        <v>44064</v>
      </c>
      <c r="B94" s="13" t="s">
        <v>218</v>
      </c>
      <c r="C94" s="13" t="s">
        <v>269</v>
      </c>
      <c r="D94" s="16" t="s">
        <v>102</v>
      </c>
      <c r="E94" s="16" t="s">
        <v>424</v>
      </c>
      <c r="F94" s="13">
        <v>703169</v>
      </c>
      <c r="G94" s="13" t="s">
        <v>401</v>
      </c>
      <c r="H94" s="16" t="s">
        <v>229</v>
      </c>
      <c r="I94" s="16">
        <v>2</v>
      </c>
      <c r="K94" s="13" t="s">
        <v>100</v>
      </c>
      <c r="M94" s="13" t="s">
        <v>404</v>
      </c>
    </row>
    <row r="95" spans="1:14" ht="15" customHeight="1">
      <c r="A95" s="46">
        <v>44064</v>
      </c>
      <c r="B95" s="13" t="s">
        <v>218</v>
      </c>
      <c r="C95" s="13" t="s">
        <v>269</v>
      </c>
      <c r="D95" s="16" t="s">
        <v>102</v>
      </c>
      <c r="E95" s="16" t="s">
        <v>424</v>
      </c>
      <c r="F95" s="13" t="s">
        <v>402</v>
      </c>
      <c r="G95" s="13" t="s">
        <v>403</v>
      </c>
      <c r="H95" s="16" t="s">
        <v>79</v>
      </c>
      <c r="I95" s="16">
        <v>2</v>
      </c>
      <c r="K95" s="13" t="s">
        <v>100</v>
      </c>
      <c r="M95" s="13" t="s">
        <v>404</v>
      </c>
    </row>
    <row r="96" spans="1:14" ht="15" customHeight="1">
      <c r="A96" s="46">
        <v>44064</v>
      </c>
      <c r="B96" s="13" t="s">
        <v>416</v>
      </c>
      <c r="C96" s="13" t="s">
        <v>269</v>
      </c>
      <c r="D96" s="16" t="s">
        <v>102</v>
      </c>
      <c r="E96" s="16" t="s">
        <v>427</v>
      </c>
      <c r="F96" s="13" t="s">
        <v>405</v>
      </c>
      <c r="G96" s="13" t="s">
        <v>406</v>
      </c>
      <c r="H96" s="16" t="s">
        <v>97</v>
      </c>
      <c r="I96" s="16">
        <v>2</v>
      </c>
      <c r="K96" s="13" t="s">
        <v>100</v>
      </c>
      <c r="M96" s="13" t="s">
        <v>404</v>
      </c>
      <c r="N96" s="13" t="s">
        <v>455</v>
      </c>
    </row>
    <row r="97" spans="1:14" ht="15" customHeight="1">
      <c r="A97" s="46">
        <v>44064</v>
      </c>
      <c r="B97" s="13" t="s">
        <v>416</v>
      </c>
      <c r="C97" s="13" t="s">
        <v>269</v>
      </c>
      <c r="D97" s="16" t="s">
        <v>102</v>
      </c>
      <c r="E97" s="16" t="s">
        <v>427</v>
      </c>
      <c r="F97" s="13" t="s">
        <v>407</v>
      </c>
      <c r="G97" s="13" t="s">
        <v>406</v>
      </c>
      <c r="H97" s="16" t="s">
        <v>97</v>
      </c>
      <c r="I97" s="16">
        <v>3</v>
      </c>
      <c r="K97" s="13" t="s">
        <v>100</v>
      </c>
      <c r="M97" s="13" t="s">
        <v>404</v>
      </c>
      <c r="N97" s="13" t="s">
        <v>455</v>
      </c>
    </row>
    <row r="98" spans="1:14" ht="15" customHeight="1">
      <c r="A98" s="46">
        <v>44064</v>
      </c>
      <c r="B98" s="13" t="s">
        <v>416</v>
      </c>
      <c r="C98" s="13" t="s">
        <v>269</v>
      </c>
      <c r="D98" s="16" t="s">
        <v>102</v>
      </c>
      <c r="E98" s="16" t="s">
        <v>427</v>
      </c>
      <c r="F98" s="13" t="s">
        <v>408</v>
      </c>
      <c r="G98" s="13" t="s">
        <v>409</v>
      </c>
      <c r="H98" s="16" t="s">
        <v>97</v>
      </c>
      <c r="I98" s="16">
        <v>8</v>
      </c>
      <c r="K98" s="13" t="s">
        <v>100</v>
      </c>
      <c r="M98" s="13" t="s">
        <v>404</v>
      </c>
      <c r="N98" s="13" t="s">
        <v>455</v>
      </c>
    </row>
    <row r="99" spans="1:14" ht="15" customHeight="1">
      <c r="A99" s="46">
        <v>44064</v>
      </c>
      <c r="B99" s="13" t="s">
        <v>416</v>
      </c>
      <c r="C99" s="13" t="s">
        <v>269</v>
      </c>
      <c r="D99" s="16" t="s">
        <v>102</v>
      </c>
      <c r="E99" s="16" t="s">
        <v>427</v>
      </c>
      <c r="F99" s="13" t="s">
        <v>410</v>
      </c>
      <c r="G99" s="13" t="s">
        <v>406</v>
      </c>
      <c r="H99" s="16" t="s">
        <v>97</v>
      </c>
      <c r="I99" s="16">
        <v>10</v>
      </c>
      <c r="K99" s="13" t="s">
        <v>100</v>
      </c>
      <c r="M99" s="13" t="s">
        <v>404</v>
      </c>
      <c r="N99" s="13" t="s">
        <v>455</v>
      </c>
    </row>
    <row r="100" spans="1:14" ht="15" customHeight="1">
      <c r="A100" s="46">
        <v>44064</v>
      </c>
      <c r="B100" s="13" t="s">
        <v>416</v>
      </c>
      <c r="C100" s="13" t="s">
        <v>269</v>
      </c>
      <c r="D100" s="16" t="s">
        <v>102</v>
      </c>
      <c r="E100" s="16" t="s">
        <v>427</v>
      </c>
      <c r="F100" s="13" t="s">
        <v>411</v>
      </c>
      <c r="G100" s="13" t="s">
        <v>398</v>
      </c>
      <c r="H100" s="16" t="s">
        <v>79</v>
      </c>
      <c r="I100" s="16">
        <v>2</v>
      </c>
      <c r="K100" s="13" t="s">
        <v>100</v>
      </c>
      <c r="M100" s="13" t="s">
        <v>404</v>
      </c>
      <c r="N100" s="13" t="s">
        <v>455</v>
      </c>
    </row>
    <row r="101" spans="1:14" ht="15" customHeight="1">
      <c r="A101" s="46">
        <v>44064</v>
      </c>
      <c r="B101" s="13" t="s">
        <v>416</v>
      </c>
      <c r="C101" s="13" t="s">
        <v>269</v>
      </c>
      <c r="D101" s="16" t="s">
        <v>102</v>
      </c>
      <c r="E101" s="16" t="s">
        <v>427</v>
      </c>
      <c r="F101" s="13" t="s">
        <v>412</v>
      </c>
      <c r="G101" s="13" t="s">
        <v>413</v>
      </c>
      <c r="H101" s="16" t="s">
        <v>79</v>
      </c>
      <c r="I101" s="16">
        <v>3</v>
      </c>
      <c r="K101" s="13" t="s">
        <v>100</v>
      </c>
      <c r="M101" s="13" t="s">
        <v>404</v>
      </c>
      <c r="N101" s="13" t="s">
        <v>455</v>
      </c>
    </row>
    <row r="102" spans="1:14" ht="15" customHeight="1">
      <c r="A102" s="46">
        <v>44064</v>
      </c>
      <c r="B102" s="13" t="s">
        <v>416</v>
      </c>
      <c r="C102" s="13" t="s">
        <v>269</v>
      </c>
      <c r="D102" s="16" t="s">
        <v>102</v>
      </c>
      <c r="E102" s="16" t="s">
        <v>427</v>
      </c>
      <c r="F102" s="13" t="s">
        <v>414</v>
      </c>
      <c r="G102" s="13" t="s">
        <v>415</v>
      </c>
      <c r="H102" s="16" t="s">
        <v>79</v>
      </c>
      <c r="I102" s="16">
        <v>2</v>
      </c>
      <c r="K102" s="13" t="s">
        <v>100</v>
      </c>
      <c r="M102" s="13" t="s">
        <v>404</v>
      </c>
      <c r="N102" s="13" t="s">
        <v>455</v>
      </c>
    </row>
    <row r="103" spans="1:14" ht="15" customHeight="1">
      <c r="A103" s="69">
        <v>44064</v>
      </c>
      <c r="B103" s="70" t="s">
        <v>420</v>
      </c>
      <c r="C103" s="70" t="s">
        <v>269</v>
      </c>
      <c r="D103" s="71" t="s">
        <v>102</v>
      </c>
      <c r="E103" s="71" t="s">
        <v>425</v>
      </c>
      <c r="F103" s="70" t="s">
        <v>417</v>
      </c>
      <c r="G103" s="70" t="s">
        <v>418</v>
      </c>
      <c r="H103" s="71" t="s">
        <v>92</v>
      </c>
      <c r="I103" s="71">
        <v>10</v>
      </c>
      <c r="J103" s="70"/>
      <c r="K103" s="70" t="s">
        <v>100</v>
      </c>
      <c r="L103" s="70"/>
      <c r="M103" s="70" t="s">
        <v>419</v>
      </c>
      <c r="N103" s="13" t="s">
        <v>428</v>
      </c>
    </row>
    <row r="104" spans="1:14" ht="15" customHeight="1">
      <c r="A104" s="46">
        <v>44064</v>
      </c>
      <c r="B104" s="13" t="s">
        <v>423</v>
      </c>
      <c r="C104" s="13" t="s">
        <v>269</v>
      </c>
      <c r="D104" s="16" t="s">
        <v>102</v>
      </c>
      <c r="E104" s="16" t="s">
        <v>426</v>
      </c>
      <c r="F104" s="13" t="s">
        <v>421</v>
      </c>
      <c r="G104" s="13" t="s">
        <v>422</v>
      </c>
      <c r="H104" s="16" t="s">
        <v>229</v>
      </c>
      <c r="I104" s="16">
        <v>3</v>
      </c>
      <c r="J104" s="13" t="s">
        <v>495</v>
      </c>
      <c r="K104" s="13" t="s">
        <v>100</v>
      </c>
      <c r="M104" s="13" t="s">
        <v>404</v>
      </c>
      <c r="N104" s="13" t="s">
        <v>485</v>
      </c>
    </row>
    <row r="105" spans="1:14" ht="15" customHeight="1">
      <c r="A105" s="46">
        <v>44097</v>
      </c>
      <c r="B105" s="13" t="s">
        <v>446</v>
      </c>
      <c r="C105" s="13" t="s">
        <v>269</v>
      </c>
      <c r="D105" s="16" t="s">
        <v>102</v>
      </c>
      <c r="E105" s="16" t="s">
        <v>445</v>
      </c>
      <c r="F105" s="13" t="s">
        <v>442</v>
      </c>
      <c r="G105" s="13" t="s">
        <v>440</v>
      </c>
      <c r="H105" s="16" t="s">
        <v>79</v>
      </c>
      <c r="I105" s="16">
        <v>1</v>
      </c>
      <c r="K105" s="13" t="s">
        <v>100</v>
      </c>
      <c r="M105" s="13" t="s">
        <v>444</v>
      </c>
      <c r="N105" s="13" t="s">
        <v>454</v>
      </c>
    </row>
    <row r="106" spans="1:14" ht="15" customHeight="1">
      <c r="A106" s="46">
        <v>44097</v>
      </c>
      <c r="B106" s="13" t="s">
        <v>446</v>
      </c>
      <c r="C106" s="13" t="s">
        <v>269</v>
      </c>
      <c r="D106" s="16" t="s">
        <v>102</v>
      </c>
      <c r="E106" s="16" t="s">
        <v>445</v>
      </c>
      <c r="F106" s="13" t="s">
        <v>443</v>
      </c>
      <c r="G106" s="13" t="s">
        <v>441</v>
      </c>
      <c r="H106" s="16" t="s">
        <v>79</v>
      </c>
      <c r="I106" s="16">
        <v>1</v>
      </c>
      <c r="K106" s="13" t="s">
        <v>100</v>
      </c>
      <c r="M106" s="13" t="s">
        <v>444</v>
      </c>
      <c r="N106" s="13" t="s">
        <v>454</v>
      </c>
    </row>
    <row r="107" spans="1:14" ht="15" customHeight="1">
      <c r="A107" s="46">
        <v>44116</v>
      </c>
      <c r="B107" s="13" t="s">
        <v>124</v>
      </c>
      <c r="C107" s="13" t="s">
        <v>269</v>
      </c>
      <c r="D107" s="16" t="s">
        <v>102</v>
      </c>
      <c r="E107" s="16" t="s">
        <v>460</v>
      </c>
      <c r="F107" s="13" t="s">
        <v>461</v>
      </c>
      <c r="G107" s="13" t="s">
        <v>462</v>
      </c>
      <c r="H107" s="16" t="s">
        <v>79</v>
      </c>
      <c r="I107" s="16">
        <v>4</v>
      </c>
      <c r="J107" s="13">
        <v>1742</v>
      </c>
      <c r="K107" s="13" t="s">
        <v>100</v>
      </c>
      <c r="L107" s="13" t="s">
        <v>456</v>
      </c>
      <c r="M107" s="13" t="s">
        <v>458</v>
      </c>
      <c r="N107" s="13" t="s">
        <v>457</v>
      </c>
    </row>
    <row r="108" spans="1:14" ht="15" customHeight="1">
      <c r="A108" s="46">
        <v>44116</v>
      </c>
      <c r="B108" s="13" t="s">
        <v>145</v>
      </c>
      <c r="C108" s="13" t="s">
        <v>269</v>
      </c>
      <c r="D108" s="16" t="s">
        <v>102</v>
      </c>
      <c r="E108" s="16" t="s">
        <v>467</v>
      </c>
      <c r="F108" s="13" t="s">
        <v>463</v>
      </c>
      <c r="G108" s="13" t="s">
        <v>464</v>
      </c>
      <c r="H108" s="16" t="s">
        <v>171</v>
      </c>
      <c r="I108" s="16">
        <v>2</v>
      </c>
      <c r="J108" s="13">
        <v>1741</v>
      </c>
      <c r="K108" s="13" t="s">
        <v>100</v>
      </c>
      <c r="L108" s="13" t="s">
        <v>456</v>
      </c>
      <c r="M108" s="13" t="s">
        <v>458</v>
      </c>
      <c r="N108" s="13" t="s">
        <v>457</v>
      </c>
    </row>
    <row r="109" spans="1:14" ht="15" customHeight="1">
      <c r="A109" s="46">
        <v>44116</v>
      </c>
      <c r="B109" s="13" t="s">
        <v>145</v>
      </c>
      <c r="C109" s="13" t="s">
        <v>269</v>
      </c>
      <c r="D109" s="16" t="s">
        <v>102</v>
      </c>
      <c r="E109" s="16" t="s">
        <v>467</v>
      </c>
      <c r="F109" s="13" t="s">
        <v>465</v>
      </c>
      <c r="G109" s="13" t="s">
        <v>466</v>
      </c>
      <c r="H109" s="16" t="s">
        <v>171</v>
      </c>
      <c r="I109" s="16">
        <v>1</v>
      </c>
      <c r="J109" s="13">
        <v>1741</v>
      </c>
      <c r="K109" s="13" t="s">
        <v>100</v>
      </c>
      <c r="L109" s="13" t="s">
        <v>456</v>
      </c>
      <c r="M109" s="13" t="s">
        <v>458</v>
      </c>
      <c r="N109" s="13" t="s">
        <v>457</v>
      </c>
    </row>
    <row r="110" spans="1:14" ht="15" customHeight="1">
      <c r="A110" s="46">
        <v>44116</v>
      </c>
      <c r="B110" s="13" t="s">
        <v>164</v>
      </c>
      <c r="C110" s="13" t="s">
        <v>269</v>
      </c>
      <c r="D110" s="16" t="s">
        <v>102</v>
      </c>
      <c r="E110" s="16" t="s">
        <v>470</v>
      </c>
      <c r="F110" s="13" t="s">
        <v>468</v>
      </c>
      <c r="G110" s="13" t="s">
        <v>469</v>
      </c>
      <c r="H110" s="16" t="s">
        <v>79</v>
      </c>
      <c r="I110" s="16">
        <v>50</v>
      </c>
      <c r="K110" s="13" t="s">
        <v>100</v>
      </c>
      <c r="L110" s="13" t="s">
        <v>456</v>
      </c>
      <c r="M110" s="13" t="s">
        <v>459</v>
      </c>
      <c r="N110" s="13" t="s">
        <v>457</v>
      </c>
    </row>
    <row r="111" spans="1:14" ht="15" customHeight="1">
      <c r="A111" s="46">
        <v>44116</v>
      </c>
      <c r="B111" s="13" t="s">
        <v>177</v>
      </c>
      <c r="C111" s="13" t="s">
        <v>269</v>
      </c>
      <c r="D111" s="16" t="s">
        <v>102</v>
      </c>
      <c r="E111" s="16" t="s">
        <v>473</v>
      </c>
      <c r="F111" s="13" t="s">
        <v>471</v>
      </c>
      <c r="G111" s="13" t="s">
        <v>472</v>
      </c>
      <c r="H111" s="16" t="s">
        <v>79</v>
      </c>
      <c r="I111" s="16">
        <v>1</v>
      </c>
      <c r="K111" s="13" t="s">
        <v>100</v>
      </c>
      <c r="L111" s="13" t="s">
        <v>456</v>
      </c>
      <c r="M111" s="13" t="s">
        <v>458</v>
      </c>
      <c r="N111" s="13" t="s">
        <v>457</v>
      </c>
    </row>
    <row r="112" spans="1:14" ht="15" customHeight="1">
      <c r="A112" s="46">
        <v>44116</v>
      </c>
      <c r="B112" s="13" t="s">
        <v>177</v>
      </c>
      <c r="C112" s="13" t="s">
        <v>269</v>
      </c>
      <c r="D112" s="16" t="s">
        <v>102</v>
      </c>
      <c r="E112" s="16" t="s">
        <v>473</v>
      </c>
      <c r="F112" s="13" t="s">
        <v>474</v>
      </c>
      <c r="G112" s="13" t="s">
        <v>475</v>
      </c>
      <c r="H112" s="16" t="s">
        <v>79</v>
      </c>
      <c r="I112" s="16">
        <v>2</v>
      </c>
      <c r="K112" s="13" t="s">
        <v>100</v>
      </c>
      <c r="L112" s="13" t="s">
        <v>456</v>
      </c>
      <c r="M112" s="13" t="s">
        <v>458</v>
      </c>
      <c r="N112" s="13" t="s">
        <v>457</v>
      </c>
    </row>
    <row r="113" spans="1:14" ht="15" customHeight="1">
      <c r="A113" s="46">
        <v>44116</v>
      </c>
      <c r="B113" s="13" t="s">
        <v>177</v>
      </c>
      <c r="C113" s="13" t="s">
        <v>269</v>
      </c>
      <c r="D113" s="16" t="s">
        <v>102</v>
      </c>
      <c r="E113" s="16" t="s">
        <v>473</v>
      </c>
      <c r="F113" s="13">
        <v>74156</v>
      </c>
      <c r="G113" s="13" t="s">
        <v>476</v>
      </c>
      <c r="H113" s="16" t="s">
        <v>79</v>
      </c>
      <c r="I113" s="16">
        <v>2</v>
      </c>
      <c r="K113" s="13" t="s">
        <v>100</v>
      </c>
      <c r="L113" s="13" t="s">
        <v>456</v>
      </c>
      <c r="M113" s="13" t="s">
        <v>458</v>
      </c>
      <c r="N113" s="13" t="s">
        <v>457</v>
      </c>
    </row>
    <row r="114" spans="1:14" ht="15" customHeight="1">
      <c r="A114" s="46">
        <v>44116</v>
      </c>
      <c r="B114" s="13" t="s">
        <v>187</v>
      </c>
      <c r="C114" s="13" t="s">
        <v>269</v>
      </c>
      <c r="D114" s="16" t="s">
        <v>102</v>
      </c>
      <c r="E114" s="16" t="s">
        <v>484</v>
      </c>
      <c r="F114" s="13" t="s">
        <v>477</v>
      </c>
      <c r="G114" s="13" t="s">
        <v>478</v>
      </c>
      <c r="H114" s="16" t="s">
        <v>79</v>
      </c>
      <c r="I114" s="16">
        <v>2</v>
      </c>
      <c r="K114" s="13" t="s">
        <v>100</v>
      </c>
      <c r="L114" s="13" t="s">
        <v>456</v>
      </c>
      <c r="M114" s="13" t="s">
        <v>458</v>
      </c>
      <c r="N114" s="13" t="s">
        <v>457</v>
      </c>
    </row>
    <row r="115" spans="1:14" ht="15" customHeight="1">
      <c r="A115" s="46">
        <v>44116</v>
      </c>
      <c r="B115" s="13" t="s">
        <v>187</v>
      </c>
      <c r="C115" s="13" t="s">
        <v>269</v>
      </c>
      <c r="D115" s="16" t="s">
        <v>102</v>
      </c>
      <c r="E115" s="16" t="s">
        <v>484</v>
      </c>
      <c r="F115" s="13" t="s">
        <v>479</v>
      </c>
      <c r="G115" s="13" t="s">
        <v>480</v>
      </c>
      <c r="H115" s="16" t="s">
        <v>79</v>
      </c>
      <c r="I115" s="16">
        <v>4</v>
      </c>
      <c r="K115" s="13" t="s">
        <v>100</v>
      </c>
      <c r="L115" s="13" t="s">
        <v>456</v>
      </c>
      <c r="M115" s="13" t="s">
        <v>458</v>
      </c>
      <c r="N115" s="13" t="s">
        <v>457</v>
      </c>
    </row>
    <row r="116" spans="1:14" ht="15" customHeight="1">
      <c r="A116" s="46">
        <v>44116</v>
      </c>
      <c r="B116" s="13" t="s">
        <v>187</v>
      </c>
      <c r="C116" s="13" t="s">
        <v>269</v>
      </c>
      <c r="D116" s="16" t="s">
        <v>102</v>
      </c>
      <c r="E116" s="16" t="s">
        <v>484</v>
      </c>
      <c r="F116" s="13">
        <v>200901893</v>
      </c>
      <c r="G116" s="13" t="s">
        <v>481</v>
      </c>
      <c r="H116" s="16" t="s">
        <v>79</v>
      </c>
      <c r="I116" s="16">
        <v>5</v>
      </c>
      <c r="K116" s="13" t="s">
        <v>100</v>
      </c>
      <c r="L116" s="13" t="s">
        <v>456</v>
      </c>
      <c r="M116" s="13" t="s">
        <v>458</v>
      </c>
      <c r="N116" s="13" t="s">
        <v>457</v>
      </c>
    </row>
    <row r="117" spans="1:14" ht="15" customHeight="1">
      <c r="A117" s="46">
        <v>44116</v>
      </c>
      <c r="B117" s="13" t="s">
        <v>187</v>
      </c>
      <c r="C117" s="13" t="s">
        <v>269</v>
      </c>
      <c r="D117" s="16" t="s">
        <v>102</v>
      </c>
      <c r="E117" s="16" t="s">
        <v>484</v>
      </c>
      <c r="F117" s="13" t="s">
        <v>483</v>
      </c>
      <c r="G117" s="13" t="s">
        <v>482</v>
      </c>
      <c r="H117" s="16" t="s">
        <v>79</v>
      </c>
      <c r="I117" s="16">
        <v>2</v>
      </c>
      <c r="K117" s="13" t="s">
        <v>100</v>
      </c>
      <c r="L117" s="13" t="s">
        <v>456</v>
      </c>
      <c r="M117" s="13" t="s">
        <v>458</v>
      </c>
      <c r="N117" s="13" t="s">
        <v>457</v>
      </c>
    </row>
    <row r="118" spans="1:14" ht="15" customHeight="1">
      <c r="A118" s="46">
        <v>44125</v>
      </c>
      <c r="B118" s="13" t="s">
        <v>218</v>
      </c>
      <c r="C118" s="13" t="s">
        <v>269</v>
      </c>
      <c r="D118" s="16" t="s">
        <v>102</v>
      </c>
      <c r="E118" s="16" t="s">
        <v>489</v>
      </c>
      <c r="F118" s="13" t="s">
        <v>486</v>
      </c>
      <c r="G118" s="13" t="s">
        <v>488</v>
      </c>
      <c r="H118" s="16" t="s">
        <v>79</v>
      </c>
      <c r="I118" s="16">
        <v>1</v>
      </c>
      <c r="K118" s="13" t="s">
        <v>100</v>
      </c>
      <c r="L118" s="13" t="s">
        <v>487</v>
      </c>
      <c r="M118" s="13" t="s">
        <v>458</v>
      </c>
      <c r="N118" s="13" t="s">
        <v>457</v>
      </c>
    </row>
    <row r="119" spans="1:14" ht="15" customHeight="1">
      <c r="A119" s="46">
        <v>44138</v>
      </c>
      <c r="B119" s="13" t="s">
        <v>368</v>
      </c>
      <c r="C119" s="13" t="s">
        <v>269</v>
      </c>
      <c r="D119" s="16" t="s">
        <v>102</v>
      </c>
      <c r="E119" s="16" t="s">
        <v>491</v>
      </c>
      <c r="F119" s="13" t="s">
        <v>498</v>
      </c>
      <c r="G119" s="13" t="s">
        <v>492</v>
      </c>
      <c r="H119" s="16" t="s">
        <v>79</v>
      </c>
      <c r="I119" s="16">
        <v>1</v>
      </c>
      <c r="K119" s="13" t="s">
        <v>100</v>
      </c>
      <c r="M119" s="13" t="s">
        <v>490</v>
      </c>
    </row>
    <row r="120" spans="1:14" ht="15" customHeight="1">
      <c r="A120" s="46">
        <v>44154</v>
      </c>
      <c r="B120" s="13" t="s">
        <v>514</v>
      </c>
      <c r="C120" s="13" t="s">
        <v>269</v>
      </c>
      <c r="D120" s="16" t="s">
        <v>102</v>
      </c>
      <c r="E120" s="16" t="s">
        <v>521</v>
      </c>
      <c r="F120" s="13" t="s">
        <v>510</v>
      </c>
      <c r="G120" s="13" t="s">
        <v>511</v>
      </c>
      <c r="H120" s="16" t="s">
        <v>79</v>
      </c>
      <c r="I120" s="16">
        <v>1</v>
      </c>
      <c r="K120" s="13" t="s">
        <v>100</v>
      </c>
      <c r="L120" s="13" t="s">
        <v>512</v>
      </c>
      <c r="M120" s="13" t="s">
        <v>513</v>
      </c>
      <c r="N120" s="13" t="s">
        <v>598</v>
      </c>
    </row>
    <row r="121" spans="1:14" ht="15" customHeight="1">
      <c r="A121" s="46">
        <v>44154</v>
      </c>
      <c r="B121" s="13" t="s">
        <v>517</v>
      </c>
      <c r="C121" s="13" t="s">
        <v>269</v>
      </c>
      <c r="D121" s="16" t="s">
        <v>102</v>
      </c>
      <c r="E121" s="16" t="s">
        <v>522</v>
      </c>
      <c r="F121" s="13" t="s">
        <v>515</v>
      </c>
      <c r="G121" s="13" t="s">
        <v>524</v>
      </c>
      <c r="H121" s="16" t="s">
        <v>79</v>
      </c>
      <c r="I121" s="16">
        <v>1</v>
      </c>
      <c r="K121" s="13" t="s">
        <v>100</v>
      </c>
      <c r="L121" s="13" t="s">
        <v>512</v>
      </c>
      <c r="M121" s="13" t="s">
        <v>513</v>
      </c>
      <c r="N121" s="13" t="s">
        <v>599</v>
      </c>
    </row>
    <row r="122" spans="1:14" ht="15" customHeight="1">
      <c r="A122" s="46">
        <v>44154</v>
      </c>
      <c r="B122" s="13" t="s">
        <v>517</v>
      </c>
      <c r="C122" s="13" t="s">
        <v>269</v>
      </c>
      <c r="D122" s="16" t="s">
        <v>102</v>
      </c>
      <c r="E122" s="16" t="s">
        <v>522</v>
      </c>
      <c r="F122" s="13" t="s">
        <v>516</v>
      </c>
      <c r="G122" s="13" t="s">
        <v>604</v>
      </c>
      <c r="H122" s="16" t="s">
        <v>79</v>
      </c>
      <c r="I122" s="16">
        <v>1</v>
      </c>
      <c r="K122" s="13" t="s">
        <v>100</v>
      </c>
      <c r="L122" s="13" t="s">
        <v>512</v>
      </c>
      <c r="M122" s="13" t="s">
        <v>513</v>
      </c>
      <c r="N122" s="13" t="s">
        <v>599</v>
      </c>
    </row>
    <row r="123" spans="1:14" ht="15" customHeight="1">
      <c r="A123" s="46">
        <v>44154</v>
      </c>
      <c r="B123" s="13" t="s">
        <v>520</v>
      </c>
      <c r="C123" s="13" t="s">
        <v>269</v>
      </c>
      <c r="D123" s="16" t="s">
        <v>102</v>
      </c>
      <c r="E123" s="16" t="s">
        <v>523</v>
      </c>
      <c r="F123" s="13" t="s">
        <v>518</v>
      </c>
      <c r="G123" s="13" t="s">
        <v>525</v>
      </c>
      <c r="H123" s="16" t="s">
        <v>79</v>
      </c>
      <c r="I123" s="16">
        <v>1</v>
      </c>
      <c r="K123" s="13" t="s">
        <v>100</v>
      </c>
      <c r="L123" s="13" t="s">
        <v>512</v>
      </c>
      <c r="M123" s="13" t="s">
        <v>513</v>
      </c>
      <c r="N123" s="13" t="s">
        <v>594</v>
      </c>
    </row>
    <row r="124" spans="1:14" ht="15" customHeight="1">
      <c r="A124" s="46">
        <v>44154</v>
      </c>
      <c r="B124" s="13" t="s">
        <v>520</v>
      </c>
      <c r="C124" s="13" t="s">
        <v>269</v>
      </c>
      <c r="D124" s="16" t="s">
        <v>102</v>
      </c>
      <c r="E124" s="16" t="s">
        <v>523</v>
      </c>
      <c r="F124" s="13" t="s">
        <v>519</v>
      </c>
      <c r="G124" s="13" t="s">
        <v>526</v>
      </c>
      <c r="H124" s="16" t="s">
        <v>79</v>
      </c>
      <c r="I124" s="16">
        <v>1</v>
      </c>
      <c r="K124" s="13" t="s">
        <v>100</v>
      </c>
      <c r="L124" s="13" t="s">
        <v>512</v>
      </c>
      <c r="M124" s="13" t="s">
        <v>513</v>
      </c>
      <c r="N124" s="13" t="s">
        <v>594</v>
      </c>
    </row>
    <row r="125" spans="1:14" ht="15" customHeight="1">
      <c r="A125" s="46">
        <v>44159</v>
      </c>
      <c r="B125" s="13" t="s">
        <v>531</v>
      </c>
      <c r="C125" s="13" t="s">
        <v>269</v>
      </c>
      <c r="D125" s="16" t="s">
        <v>102</v>
      </c>
      <c r="E125" s="16" t="s">
        <v>529</v>
      </c>
      <c r="F125" s="13" t="s">
        <v>527</v>
      </c>
      <c r="G125" s="13" t="s">
        <v>528</v>
      </c>
      <c r="H125" s="16" t="s">
        <v>229</v>
      </c>
      <c r="I125" s="16">
        <v>2</v>
      </c>
      <c r="K125" s="13" t="s">
        <v>100</v>
      </c>
      <c r="L125" s="13" t="s">
        <v>568</v>
      </c>
      <c r="M125" s="13" t="s">
        <v>530</v>
      </c>
    </row>
    <row r="126" spans="1:14" ht="15" customHeight="1">
      <c r="A126" s="46">
        <v>44159</v>
      </c>
      <c r="B126" s="13" t="s">
        <v>536</v>
      </c>
      <c r="C126" s="13" t="s">
        <v>269</v>
      </c>
      <c r="D126" s="16" t="s">
        <v>102</v>
      </c>
      <c r="E126" s="16" t="s">
        <v>537</v>
      </c>
      <c r="F126" s="13" t="s">
        <v>532</v>
      </c>
      <c r="G126" s="13" t="s">
        <v>534</v>
      </c>
      <c r="H126" s="16" t="s">
        <v>229</v>
      </c>
      <c r="I126" s="16">
        <v>2</v>
      </c>
      <c r="K126" s="13" t="s">
        <v>100</v>
      </c>
      <c r="L126" s="13" t="s">
        <v>568</v>
      </c>
      <c r="M126" s="13" t="s">
        <v>530</v>
      </c>
    </row>
    <row r="127" spans="1:14" ht="15" customHeight="1">
      <c r="A127" s="46">
        <v>44159</v>
      </c>
      <c r="B127" s="13" t="s">
        <v>536</v>
      </c>
      <c r="C127" s="13" t="s">
        <v>269</v>
      </c>
      <c r="D127" s="16" t="s">
        <v>102</v>
      </c>
      <c r="E127" s="16" t="s">
        <v>537</v>
      </c>
      <c r="F127" s="13" t="s">
        <v>533</v>
      </c>
      <c r="G127" s="13" t="s">
        <v>535</v>
      </c>
      <c r="H127" s="16" t="s">
        <v>229</v>
      </c>
      <c r="I127" s="16">
        <v>2</v>
      </c>
      <c r="K127" s="13" t="s">
        <v>100</v>
      </c>
      <c r="L127" s="13" t="s">
        <v>568</v>
      </c>
      <c r="M127" s="13" t="s">
        <v>530</v>
      </c>
    </row>
    <row r="128" spans="1:14" ht="15" customHeight="1">
      <c r="A128" s="46">
        <v>44166</v>
      </c>
      <c r="B128" s="13" t="s">
        <v>542</v>
      </c>
      <c r="C128" s="13" t="s">
        <v>269</v>
      </c>
      <c r="D128" s="16" t="s">
        <v>102</v>
      </c>
      <c r="E128" s="16" t="s">
        <v>543</v>
      </c>
      <c r="F128" s="13">
        <v>233967</v>
      </c>
      <c r="G128" s="13" t="s">
        <v>540</v>
      </c>
      <c r="H128" s="16" t="s">
        <v>88</v>
      </c>
      <c r="I128" s="16">
        <v>10</v>
      </c>
      <c r="K128" s="13" t="s">
        <v>100</v>
      </c>
      <c r="L128" s="13" t="s">
        <v>568</v>
      </c>
      <c r="M128" s="13" t="s">
        <v>541</v>
      </c>
    </row>
    <row r="129" spans="1:13" ht="15" customHeight="1">
      <c r="A129" s="46">
        <v>44168</v>
      </c>
      <c r="B129" s="13" t="s">
        <v>368</v>
      </c>
      <c r="C129" s="13" t="s">
        <v>269</v>
      </c>
      <c r="D129" s="16" t="s">
        <v>102</v>
      </c>
      <c r="E129" s="16" t="s">
        <v>559</v>
      </c>
      <c r="F129" s="13" t="s">
        <v>544</v>
      </c>
      <c r="G129" s="13" t="s">
        <v>551</v>
      </c>
      <c r="H129" s="16" t="s">
        <v>79</v>
      </c>
      <c r="I129" s="16">
        <v>5</v>
      </c>
      <c r="K129" s="13" t="s">
        <v>100</v>
      </c>
      <c r="L129" s="13" t="s">
        <v>568</v>
      </c>
      <c r="M129" s="13" t="s">
        <v>558</v>
      </c>
    </row>
    <row r="130" spans="1:13" ht="15" customHeight="1">
      <c r="A130" s="46">
        <v>44168</v>
      </c>
      <c r="B130" s="13" t="s">
        <v>368</v>
      </c>
      <c r="C130" s="13" t="s">
        <v>269</v>
      </c>
      <c r="D130" s="16" t="s">
        <v>102</v>
      </c>
      <c r="E130" s="16" t="s">
        <v>559</v>
      </c>
      <c r="F130" s="13" t="s">
        <v>545</v>
      </c>
      <c r="G130" s="13" t="s">
        <v>552</v>
      </c>
      <c r="H130" s="16" t="s">
        <v>79</v>
      </c>
      <c r="I130" s="16">
        <v>5</v>
      </c>
      <c r="K130" s="13" t="s">
        <v>100</v>
      </c>
      <c r="L130" s="13" t="s">
        <v>568</v>
      </c>
      <c r="M130" s="13" t="s">
        <v>558</v>
      </c>
    </row>
    <row r="131" spans="1:13" ht="15" customHeight="1">
      <c r="A131" s="46">
        <v>44168</v>
      </c>
      <c r="B131" s="13" t="s">
        <v>368</v>
      </c>
      <c r="C131" s="13" t="s">
        <v>269</v>
      </c>
      <c r="D131" s="16" t="s">
        <v>102</v>
      </c>
      <c r="E131" s="16" t="s">
        <v>559</v>
      </c>
      <c r="F131" s="13" t="s">
        <v>546</v>
      </c>
      <c r="G131" s="13" t="s">
        <v>553</v>
      </c>
      <c r="H131" s="16" t="s">
        <v>79</v>
      </c>
      <c r="I131" s="16">
        <v>5</v>
      </c>
      <c r="K131" s="13" t="s">
        <v>100</v>
      </c>
      <c r="L131" s="13" t="s">
        <v>568</v>
      </c>
      <c r="M131" s="13" t="s">
        <v>558</v>
      </c>
    </row>
    <row r="132" spans="1:13" ht="15" customHeight="1">
      <c r="A132" s="46">
        <v>44168</v>
      </c>
      <c r="B132" s="13" t="s">
        <v>368</v>
      </c>
      <c r="C132" s="13" t="s">
        <v>269</v>
      </c>
      <c r="D132" s="16" t="s">
        <v>102</v>
      </c>
      <c r="E132" s="16" t="s">
        <v>559</v>
      </c>
      <c r="F132" s="13" t="s">
        <v>547</v>
      </c>
      <c r="G132" s="13" t="s">
        <v>554</v>
      </c>
      <c r="H132" s="16" t="s">
        <v>79</v>
      </c>
      <c r="I132" s="16">
        <v>5</v>
      </c>
      <c r="K132" s="13" t="s">
        <v>100</v>
      </c>
      <c r="L132" s="13" t="s">
        <v>568</v>
      </c>
      <c r="M132" s="13" t="s">
        <v>558</v>
      </c>
    </row>
    <row r="133" spans="1:13" ht="15" customHeight="1">
      <c r="A133" s="46">
        <v>44168</v>
      </c>
      <c r="B133" s="13" t="s">
        <v>368</v>
      </c>
      <c r="C133" s="13" t="s">
        <v>269</v>
      </c>
      <c r="D133" s="16" t="s">
        <v>102</v>
      </c>
      <c r="E133" s="16" t="s">
        <v>559</v>
      </c>
      <c r="F133" s="13" t="s">
        <v>548</v>
      </c>
      <c r="G133" s="13" t="s">
        <v>555</v>
      </c>
      <c r="H133" s="16" t="s">
        <v>79</v>
      </c>
      <c r="I133" s="16">
        <v>5</v>
      </c>
      <c r="K133" s="13" t="s">
        <v>100</v>
      </c>
      <c r="L133" s="13" t="s">
        <v>568</v>
      </c>
      <c r="M133" s="13" t="s">
        <v>558</v>
      </c>
    </row>
    <row r="134" spans="1:13" ht="15" customHeight="1">
      <c r="A134" s="46">
        <v>44168</v>
      </c>
      <c r="B134" s="13" t="s">
        <v>368</v>
      </c>
      <c r="C134" s="13" t="s">
        <v>269</v>
      </c>
      <c r="D134" s="16" t="s">
        <v>102</v>
      </c>
      <c r="E134" s="16" t="s">
        <v>559</v>
      </c>
      <c r="F134" s="13" t="s">
        <v>549</v>
      </c>
      <c r="G134" s="13" t="s">
        <v>556</v>
      </c>
      <c r="H134" s="16" t="s">
        <v>79</v>
      </c>
      <c r="I134" s="16">
        <v>5</v>
      </c>
      <c r="K134" s="13" t="s">
        <v>100</v>
      </c>
      <c r="L134" s="13" t="s">
        <v>568</v>
      </c>
      <c r="M134" s="13" t="s">
        <v>558</v>
      </c>
    </row>
    <row r="135" spans="1:13" ht="15" customHeight="1">
      <c r="A135" s="46">
        <v>44168</v>
      </c>
      <c r="B135" s="13" t="s">
        <v>368</v>
      </c>
      <c r="C135" s="13" t="s">
        <v>269</v>
      </c>
      <c r="D135" s="16" t="s">
        <v>102</v>
      </c>
      <c r="E135" s="16" t="s">
        <v>559</v>
      </c>
      <c r="F135" s="13" t="s">
        <v>550</v>
      </c>
      <c r="G135" s="13" t="s">
        <v>557</v>
      </c>
      <c r="H135" s="16" t="s">
        <v>79</v>
      </c>
      <c r="I135" s="16">
        <v>5</v>
      </c>
      <c r="K135" s="13" t="s">
        <v>100</v>
      </c>
      <c r="L135" s="13" t="s">
        <v>568</v>
      </c>
      <c r="M135" s="13" t="s">
        <v>558</v>
      </c>
    </row>
    <row r="136" spans="1:13" ht="15" customHeight="1">
      <c r="A136" s="46">
        <v>44169</v>
      </c>
      <c r="B136" s="13" t="s">
        <v>566</v>
      </c>
      <c r="C136" s="13" t="s">
        <v>269</v>
      </c>
      <c r="D136" s="16" t="s">
        <v>102</v>
      </c>
      <c r="E136" s="16" t="s">
        <v>567</v>
      </c>
      <c r="F136" s="13" t="s">
        <v>564</v>
      </c>
      <c r="G136" s="13" t="s">
        <v>565</v>
      </c>
      <c r="H136" s="16" t="s">
        <v>171</v>
      </c>
      <c r="I136" s="16">
        <v>500</v>
      </c>
      <c r="K136" s="13" t="s">
        <v>100</v>
      </c>
      <c r="L136" s="13" t="s">
        <v>568</v>
      </c>
      <c r="M136" s="13" t="s">
        <v>572</v>
      </c>
    </row>
    <row r="137" spans="1:13" ht="15" customHeight="1">
      <c r="A137" s="46">
        <v>44173</v>
      </c>
      <c r="B137" s="13" t="s">
        <v>573</v>
      </c>
      <c r="C137" s="13" t="s">
        <v>269</v>
      </c>
      <c r="D137" s="16" t="s">
        <v>102</v>
      </c>
      <c r="E137" s="16" t="s">
        <v>585</v>
      </c>
      <c r="F137" s="13" t="s">
        <v>584</v>
      </c>
      <c r="G137" s="13" t="s">
        <v>586</v>
      </c>
      <c r="H137" s="16" t="s">
        <v>2</v>
      </c>
      <c r="I137" s="16">
        <v>4</v>
      </c>
      <c r="K137" s="13" t="s">
        <v>100</v>
      </c>
      <c r="L137" s="13" t="s">
        <v>568</v>
      </c>
      <c r="M137" s="13" t="s">
        <v>572</v>
      </c>
    </row>
    <row r="138" spans="1:13" ht="15" customHeight="1">
      <c r="A138" s="46">
        <v>44173</v>
      </c>
      <c r="B138" s="13" t="s">
        <v>587</v>
      </c>
      <c r="C138" s="13" t="s">
        <v>269</v>
      </c>
      <c r="D138" s="16" t="s">
        <v>102</v>
      </c>
      <c r="E138" s="16" t="s">
        <v>574</v>
      </c>
      <c r="F138" s="13" t="s">
        <v>569</v>
      </c>
      <c r="G138" s="13" t="s">
        <v>570</v>
      </c>
      <c r="H138" s="16" t="s">
        <v>79</v>
      </c>
      <c r="I138" s="16">
        <v>45</v>
      </c>
      <c r="K138" s="13" t="s">
        <v>100</v>
      </c>
      <c r="M138" s="13" t="s">
        <v>571</v>
      </c>
    </row>
    <row r="139" spans="1:13" ht="15" customHeight="1">
      <c r="A139" s="46">
        <v>44182</v>
      </c>
      <c r="B139" s="13" t="s">
        <v>592</v>
      </c>
      <c r="C139" s="13" t="s">
        <v>269</v>
      </c>
      <c r="D139" s="16" t="s">
        <v>102</v>
      </c>
      <c r="E139" s="16" t="s">
        <v>593</v>
      </c>
      <c r="F139" s="13" t="s">
        <v>589</v>
      </c>
      <c r="G139" s="13" t="s">
        <v>590</v>
      </c>
      <c r="H139" s="16" t="s">
        <v>79</v>
      </c>
      <c r="I139" s="16">
        <v>1</v>
      </c>
      <c r="K139" s="13" t="s">
        <v>100</v>
      </c>
      <c r="L139" s="13" t="s">
        <v>568</v>
      </c>
      <c r="M139" s="13" t="s">
        <v>591</v>
      </c>
    </row>
    <row r="140" spans="1:13" ht="15" customHeight="1">
      <c r="A140" s="46">
        <v>44188</v>
      </c>
      <c r="B140" s="13" t="s">
        <v>446</v>
      </c>
      <c r="C140" s="13" t="s">
        <v>269</v>
      </c>
      <c r="D140" s="16" t="s">
        <v>102</v>
      </c>
      <c r="E140" s="16" t="s">
        <v>608</v>
      </c>
      <c r="F140" s="13" t="s">
        <v>606</v>
      </c>
      <c r="G140" s="13" t="s">
        <v>605</v>
      </c>
      <c r="H140" s="16" t="s">
        <v>81</v>
      </c>
      <c r="I140" s="16">
        <v>20</v>
      </c>
      <c r="K140" s="13" t="s">
        <v>100</v>
      </c>
      <c r="L140" s="13" t="s">
        <v>568</v>
      </c>
      <c r="M140" s="13" t="s">
        <v>607</v>
      </c>
    </row>
    <row r="141" spans="1:13" ht="15" customHeight="1">
      <c r="A141" s="46">
        <v>44188</v>
      </c>
      <c r="B141" s="13" t="s">
        <v>613</v>
      </c>
      <c r="C141" s="13" t="s">
        <v>269</v>
      </c>
      <c r="D141" s="16" t="s">
        <v>102</v>
      </c>
      <c r="E141" s="16" t="s">
        <v>612</v>
      </c>
      <c r="F141" s="13" t="s">
        <v>609</v>
      </c>
      <c r="G141" s="13" t="s">
        <v>610</v>
      </c>
      <c r="H141" s="16" t="s">
        <v>79</v>
      </c>
      <c r="I141" s="16">
        <v>100</v>
      </c>
      <c r="K141" s="13" t="s">
        <v>100</v>
      </c>
      <c r="L141" s="13" t="s">
        <v>568</v>
      </c>
      <c r="M141" s="13" t="s">
        <v>611</v>
      </c>
    </row>
    <row r="142" spans="1:13" ht="15" customHeight="1">
      <c r="A142" s="46">
        <v>44200</v>
      </c>
      <c r="B142" s="13" t="s">
        <v>566</v>
      </c>
      <c r="C142" s="13" t="s">
        <v>269</v>
      </c>
      <c r="D142" s="16" t="s">
        <v>102</v>
      </c>
      <c r="E142" s="16" t="s">
        <v>617</v>
      </c>
      <c r="F142" s="13" t="s">
        <v>105</v>
      </c>
      <c r="G142" s="13" t="s">
        <v>616</v>
      </c>
      <c r="H142" s="16" t="s">
        <v>92</v>
      </c>
      <c r="I142" s="16">
        <v>1200</v>
      </c>
      <c r="K142" s="13" t="s">
        <v>100</v>
      </c>
      <c r="L142" s="13" t="s">
        <v>568</v>
      </c>
      <c r="M142" s="13" t="s">
        <v>615</v>
      </c>
    </row>
    <row r="143" spans="1:13" ht="15" customHeight="1">
      <c r="A143" s="46">
        <v>44200</v>
      </c>
      <c r="B143" s="13" t="s">
        <v>622</v>
      </c>
      <c r="C143" s="13" t="s">
        <v>269</v>
      </c>
      <c r="D143" s="16" t="s">
        <v>102</v>
      </c>
      <c r="E143" s="16" t="s">
        <v>624</v>
      </c>
      <c r="F143" s="13" t="s">
        <v>618</v>
      </c>
      <c r="G143" s="13" t="s">
        <v>621</v>
      </c>
      <c r="H143" s="16" t="s">
        <v>88</v>
      </c>
      <c r="I143" s="16">
        <v>2</v>
      </c>
      <c r="K143" s="13" t="s">
        <v>100</v>
      </c>
      <c r="L143" s="13" t="s">
        <v>568</v>
      </c>
      <c r="M143" s="13" t="s">
        <v>623</v>
      </c>
    </row>
    <row r="144" spans="1:13" ht="15" customHeight="1">
      <c r="A144" s="46">
        <v>44200</v>
      </c>
      <c r="B144" s="13" t="s">
        <v>622</v>
      </c>
      <c r="C144" s="13" t="s">
        <v>269</v>
      </c>
      <c r="D144" s="16" t="s">
        <v>102</v>
      </c>
      <c r="E144" s="16" t="s">
        <v>624</v>
      </c>
      <c r="F144" s="13" t="s">
        <v>619</v>
      </c>
      <c r="G144" s="13" t="s">
        <v>620</v>
      </c>
      <c r="H144" s="16" t="s">
        <v>88</v>
      </c>
      <c r="I144" s="16">
        <v>2</v>
      </c>
      <c r="K144" s="13" t="s">
        <v>100</v>
      </c>
      <c r="L144" s="13" t="s">
        <v>568</v>
      </c>
      <c r="M144" s="13" t="s">
        <v>623</v>
      </c>
    </row>
    <row r="145" spans="1:13" ht="15" customHeight="1">
      <c r="A145" s="46">
        <v>44202</v>
      </c>
      <c r="B145" s="13" t="s">
        <v>348</v>
      </c>
      <c r="C145" s="13" t="s">
        <v>269</v>
      </c>
      <c r="D145" s="16" t="s">
        <v>102</v>
      </c>
      <c r="E145" s="16" t="s">
        <v>632</v>
      </c>
      <c r="F145" s="13" t="s">
        <v>627</v>
      </c>
      <c r="G145" s="13" t="s">
        <v>628</v>
      </c>
      <c r="H145" s="16" t="s">
        <v>82</v>
      </c>
      <c r="I145" s="16">
        <v>50</v>
      </c>
      <c r="K145" s="13" t="s">
        <v>100</v>
      </c>
      <c r="L145" s="13" t="s">
        <v>568</v>
      </c>
      <c r="M145" s="13" t="s">
        <v>629</v>
      </c>
    </row>
    <row r="146" spans="1:13" ht="15" customHeight="1">
      <c r="A146" s="46">
        <v>44202</v>
      </c>
      <c r="B146" s="13" t="s">
        <v>631</v>
      </c>
      <c r="C146" s="13" t="s">
        <v>269</v>
      </c>
      <c r="D146" s="16" t="s">
        <v>102</v>
      </c>
      <c r="E146" s="16" t="s">
        <v>634</v>
      </c>
      <c r="F146" s="13" t="s">
        <v>630</v>
      </c>
      <c r="G146" s="13" t="s">
        <v>633</v>
      </c>
      <c r="H146" s="16" t="s">
        <v>79</v>
      </c>
      <c r="I146" s="16">
        <v>10</v>
      </c>
      <c r="K146" s="13" t="s">
        <v>100</v>
      </c>
      <c r="L146" s="13" t="s">
        <v>568</v>
      </c>
      <c r="M146" s="13" t="s">
        <v>629</v>
      </c>
    </row>
    <row r="147" spans="1:13" ht="15" customHeight="1">
      <c r="A147" s="46">
        <v>44203</v>
      </c>
      <c r="B147" s="13" t="s">
        <v>638</v>
      </c>
      <c r="C147" s="13" t="s">
        <v>269</v>
      </c>
      <c r="D147" s="16" t="s">
        <v>102</v>
      </c>
      <c r="E147" s="16" t="s">
        <v>637</v>
      </c>
      <c r="F147" s="13" t="s">
        <v>635</v>
      </c>
      <c r="G147" s="13" t="s">
        <v>636</v>
      </c>
      <c r="H147" s="16" t="s">
        <v>79</v>
      </c>
      <c r="I147" s="16">
        <v>1</v>
      </c>
      <c r="K147" s="13" t="s">
        <v>100</v>
      </c>
      <c r="L147" s="13" t="s">
        <v>568</v>
      </c>
      <c r="M147" s="13" t="s">
        <v>611</v>
      </c>
    </row>
    <row r="148" spans="1:13" ht="15" customHeight="1">
      <c r="A148" s="46">
        <v>44216</v>
      </c>
      <c r="B148" s="13" t="s">
        <v>258</v>
      </c>
      <c r="C148" s="13" t="s">
        <v>269</v>
      </c>
      <c r="D148" s="16" t="s">
        <v>102</v>
      </c>
      <c r="E148" s="16" t="s">
        <v>650</v>
      </c>
      <c r="F148" s="13" t="s">
        <v>655</v>
      </c>
      <c r="G148" s="13" t="s">
        <v>644</v>
      </c>
      <c r="H148" s="16" t="s">
        <v>88</v>
      </c>
      <c r="I148" s="16">
        <v>10</v>
      </c>
      <c r="K148" s="13" t="s">
        <v>100</v>
      </c>
      <c r="L148" s="13" t="s">
        <v>568</v>
      </c>
      <c r="M148" s="13" t="s">
        <v>649</v>
      </c>
    </row>
    <row r="149" spans="1:13" ht="15" customHeight="1">
      <c r="A149" s="46">
        <v>44216</v>
      </c>
      <c r="B149" s="13" t="s">
        <v>258</v>
      </c>
      <c r="C149" s="13" t="s">
        <v>269</v>
      </c>
      <c r="D149" s="16" t="s">
        <v>102</v>
      </c>
      <c r="E149" s="16" t="s">
        <v>650</v>
      </c>
      <c r="F149" s="13" t="s">
        <v>647</v>
      </c>
      <c r="G149" s="13" t="s">
        <v>645</v>
      </c>
      <c r="H149" s="16" t="s">
        <v>88</v>
      </c>
      <c r="I149" s="16">
        <v>10</v>
      </c>
      <c r="K149" s="13" t="s">
        <v>100</v>
      </c>
      <c r="L149" s="13" t="s">
        <v>568</v>
      </c>
      <c r="M149" s="13" t="s">
        <v>649</v>
      </c>
    </row>
    <row r="150" spans="1:13" ht="15" customHeight="1">
      <c r="A150" s="46">
        <v>44216</v>
      </c>
      <c r="B150" s="13" t="s">
        <v>258</v>
      </c>
      <c r="C150" s="13" t="s">
        <v>269</v>
      </c>
      <c r="D150" s="16" t="s">
        <v>102</v>
      </c>
      <c r="E150" s="16" t="s">
        <v>650</v>
      </c>
      <c r="F150" s="13" t="s">
        <v>648</v>
      </c>
      <c r="G150" s="13" t="s">
        <v>646</v>
      </c>
      <c r="H150" s="16" t="s">
        <v>88</v>
      </c>
      <c r="I150" s="16">
        <v>10</v>
      </c>
      <c r="K150" s="13" t="s">
        <v>100</v>
      </c>
      <c r="L150" s="13" t="s">
        <v>568</v>
      </c>
      <c r="M150" s="13" t="s">
        <v>649</v>
      </c>
    </row>
    <row r="151" spans="1:13" ht="15" customHeight="1">
      <c r="A151" s="46">
        <v>44258</v>
      </c>
      <c r="B151" s="13" t="s">
        <v>368</v>
      </c>
      <c r="C151" s="13" t="s">
        <v>269</v>
      </c>
      <c r="D151" s="16" t="s">
        <v>102</v>
      </c>
      <c r="E151" s="16" t="s">
        <v>668</v>
      </c>
      <c r="F151" s="13" t="s">
        <v>665</v>
      </c>
      <c r="G151" s="13" t="s">
        <v>664</v>
      </c>
      <c r="H151" s="16" t="s">
        <v>79</v>
      </c>
      <c r="I151" s="16">
        <v>1</v>
      </c>
      <c r="K151" s="13" t="s">
        <v>100</v>
      </c>
      <c r="L151" s="13" t="s">
        <v>669</v>
      </c>
      <c r="M151" s="13" t="s">
        <v>670</v>
      </c>
    </row>
    <row r="152" spans="1:13" ht="15" customHeight="1">
      <c r="A152" s="46">
        <v>44258</v>
      </c>
      <c r="B152" s="13" t="s">
        <v>368</v>
      </c>
      <c r="C152" s="13" t="s">
        <v>269</v>
      </c>
      <c r="D152" s="16" t="s">
        <v>102</v>
      </c>
      <c r="E152" s="16" t="s">
        <v>668</v>
      </c>
      <c r="F152" s="13" t="s">
        <v>667</v>
      </c>
      <c r="G152" s="13" t="s">
        <v>666</v>
      </c>
      <c r="H152" s="16" t="s">
        <v>92</v>
      </c>
      <c r="I152" s="16">
        <v>10</v>
      </c>
      <c r="K152" s="13" t="s">
        <v>100</v>
      </c>
      <c r="L152" s="13" t="s">
        <v>669</v>
      </c>
      <c r="M152" s="13" t="s">
        <v>670</v>
      </c>
    </row>
    <row r="153" spans="1:13" ht="15" customHeight="1">
      <c r="A153" s="46">
        <v>44263</v>
      </c>
      <c r="B153" s="13" t="s">
        <v>573</v>
      </c>
      <c r="C153" s="13" t="s">
        <v>269</v>
      </c>
      <c r="D153" s="16" t="s">
        <v>102</v>
      </c>
      <c r="E153" s="16" t="s">
        <v>659</v>
      </c>
      <c r="F153" s="13">
        <v>2608600267</v>
      </c>
      <c r="G153" s="13" t="s">
        <v>656</v>
      </c>
      <c r="H153" s="16" t="s">
        <v>79</v>
      </c>
      <c r="I153" s="16">
        <v>30</v>
      </c>
      <c r="K153" s="13" t="s">
        <v>100</v>
      </c>
      <c r="L153" s="13" t="s">
        <v>568</v>
      </c>
      <c r="M153" s="13" t="s">
        <v>658</v>
      </c>
    </row>
    <row r="154" spans="1:13" ht="15" customHeight="1">
      <c r="A154" s="46">
        <v>44263</v>
      </c>
      <c r="B154" s="13" t="s">
        <v>573</v>
      </c>
      <c r="C154" s="13" t="s">
        <v>269</v>
      </c>
      <c r="D154" s="16" t="s">
        <v>102</v>
      </c>
      <c r="E154" s="16" t="s">
        <v>659</v>
      </c>
      <c r="F154" s="13">
        <v>2608600017</v>
      </c>
      <c r="G154" s="13" t="s">
        <v>657</v>
      </c>
      <c r="H154" s="16" t="s">
        <v>79</v>
      </c>
      <c r="I154" s="16">
        <v>30</v>
      </c>
      <c r="K154" s="13" t="s">
        <v>100</v>
      </c>
      <c r="L154" s="13" t="s">
        <v>568</v>
      </c>
      <c r="M154" s="13" t="s">
        <v>658</v>
      </c>
    </row>
    <row r="155" spans="1:13" ht="15" customHeight="1">
      <c r="A155" s="46">
        <v>44265</v>
      </c>
      <c r="B155" s="13" t="s">
        <v>663</v>
      </c>
      <c r="C155" s="13" t="s">
        <v>269</v>
      </c>
      <c r="D155" s="16" t="s">
        <v>102</v>
      </c>
      <c r="E155" s="16" t="s">
        <v>662</v>
      </c>
      <c r="F155" s="13" t="s">
        <v>370</v>
      </c>
      <c r="G155" s="13" t="s">
        <v>660</v>
      </c>
      <c r="H155" s="16" t="s">
        <v>79</v>
      </c>
      <c r="I155" s="16">
        <v>2</v>
      </c>
      <c r="K155" s="13" t="s">
        <v>100</v>
      </c>
      <c r="L155" s="13" t="s">
        <v>568</v>
      </c>
      <c r="M155" s="13" t="s">
        <v>661</v>
      </c>
    </row>
    <row r="156" spans="1:13" ht="15" customHeight="1">
      <c r="A156" s="46">
        <v>44291</v>
      </c>
      <c r="B156" s="13" t="s">
        <v>240</v>
      </c>
      <c r="C156" s="13" t="s">
        <v>269</v>
      </c>
      <c r="D156" s="16" t="s">
        <v>102</v>
      </c>
      <c r="E156" s="16" t="s">
        <v>681</v>
      </c>
      <c r="F156" s="13" t="s">
        <v>678</v>
      </c>
      <c r="G156" s="13" t="s">
        <v>677</v>
      </c>
      <c r="H156" s="16" t="s">
        <v>79</v>
      </c>
      <c r="I156" s="16">
        <v>350</v>
      </c>
      <c r="K156" s="13" t="s">
        <v>100</v>
      </c>
      <c r="L156" s="13" t="s">
        <v>679</v>
      </c>
      <c r="M156" s="13" t="s">
        <v>680</v>
      </c>
    </row>
    <row r="157" spans="1:13" ht="15" customHeight="1">
      <c r="A157" s="46">
        <v>44322</v>
      </c>
      <c r="B157" s="13" t="s">
        <v>348</v>
      </c>
      <c r="C157" s="13" t="s">
        <v>269</v>
      </c>
      <c r="D157" s="16" t="s">
        <v>102</v>
      </c>
      <c r="E157" s="16" t="s">
        <v>693</v>
      </c>
      <c r="F157" s="13" t="s">
        <v>686</v>
      </c>
      <c r="G157" s="13" t="s">
        <v>690</v>
      </c>
      <c r="H157" s="16" t="s">
        <v>79</v>
      </c>
      <c r="I157" s="16">
        <v>5</v>
      </c>
      <c r="K157" s="13" t="s">
        <v>100</v>
      </c>
      <c r="L157" s="13" t="s">
        <v>688</v>
      </c>
      <c r="M157" s="13" t="s">
        <v>689</v>
      </c>
    </row>
    <row r="158" spans="1:13" ht="15" customHeight="1">
      <c r="A158" s="46">
        <v>44322</v>
      </c>
      <c r="B158" s="13" t="s">
        <v>348</v>
      </c>
      <c r="C158" s="13" t="s">
        <v>269</v>
      </c>
      <c r="D158" s="16" t="s">
        <v>102</v>
      </c>
      <c r="E158" s="16" t="s">
        <v>693</v>
      </c>
      <c r="F158" s="13" t="s">
        <v>687</v>
      </c>
      <c r="G158" s="13" t="s">
        <v>685</v>
      </c>
      <c r="H158" s="16" t="s">
        <v>79</v>
      </c>
      <c r="I158" s="16">
        <v>10</v>
      </c>
      <c r="K158" s="13" t="s">
        <v>100</v>
      </c>
      <c r="L158" s="13" t="s">
        <v>688</v>
      </c>
      <c r="M158" s="13" t="s">
        <v>689</v>
      </c>
    </row>
    <row r="159" spans="1:13" ht="15" customHeight="1">
      <c r="A159" s="46">
        <v>44322</v>
      </c>
      <c r="B159" s="13" t="s">
        <v>348</v>
      </c>
      <c r="C159" s="13" t="s">
        <v>269</v>
      </c>
      <c r="D159" s="16" t="s">
        <v>102</v>
      </c>
      <c r="E159" s="16" t="s">
        <v>693</v>
      </c>
      <c r="F159" s="13" t="s">
        <v>692</v>
      </c>
      <c r="G159" s="13" t="s">
        <v>691</v>
      </c>
      <c r="H159" s="16" t="s">
        <v>171</v>
      </c>
      <c r="I159" s="16">
        <v>1</v>
      </c>
      <c r="K159" s="13" t="s">
        <v>100</v>
      </c>
      <c r="L159" s="13" t="s">
        <v>688</v>
      </c>
      <c r="M159" s="13" t="s">
        <v>689</v>
      </c>
    </row>
    <row r="160" spans="1:13" ht="15" customHeight="1">
      <c r="A160" s="46">
        <v>44324</v>
      </c>
      <c r="B160" s="13" t="s">
        <v>573</v>
      </c>
      <c r="C160" s="13" t="s">
        <v>269</v>
      </c>
      <c r="D160" s="16" t="s">
        <v>102</v>
      </c>
      <c r="E160" s="16" t="s">
        <v>698</v>
      </c>
      <c r="F160" s="13" t="s">
        <v>108</v>
      </c>
      <c r="G160" s="13" t="s">
        <v>116</v>
      </c>
      <c r="H160" s="16" t="s">
        <v>81</v>
      </c>
      <c r="I160" s="16">
        <v>40</v>
      </c>
      <c r="J160" s="13" t="s">
        <v>325</v>
      </c>
      <c r="K160" s="13" t="s">
        <v>100</v>
      </c>
      <c r="M160" s="13" t="s">
        <v>694</v>
      </c>
    </row>
    <row r="161" spans="1:13" ht="15" customHeight="1">
      <c r="A161" s="46">
        <v>44333</v>
      </c>
      <c r="B161" s="13" t="s">
        <v>592</v>
      </c>
      <c r="C161" s="13" t="s">
        <v>269</v>
      </c>
      <c r="D161" s="16" t="s">
        <v>102</v>
      </c>
      <c r="E161" s="16" t="s">
        <v>700</v>
      </c>
      <c r="F161" s="13" t="s">
        <v>696</v>
      </c>
      <c r="G161" s="13" t="s">
        <v>695</v>
      </c>
      <c r="H161" s="16" t="s">
        <v>79</v>
      </c>
      <c r="I161" s="16">
        <v>128</v>
      </c>
      <c r="K161" s="13" t="s">
        <v>100</v>
      </c>
      <c r="L161" s="13" t="s">
        <v>697</v>
      </c>
      <c r="M161" s="13" t="s">
        <v>699</v>
      </c>
    </row>
    <row r="162" spans="1:13" ht="15" customHeight="1">
      <c r="A162" s="46">
        <v>44334</v>
      </c>
      <c r="B162" s="13" t="s">
        <v>122</v>
      </c>
      <c r="C162" s="13" t="s">
        <v>269</v>
      </c>
      <c r="D162" s="16" t="s">
        <v>102</v>
      </c>
      <c r="E162" s="16" t="s">
        <v>701</v>
      </c>
      <c r="F162" s="13" t="s">
        <v>619</v>
      </c>
      <c r="G162" s="13" t="s">
        <v>620</v>
      </c>
      <c r="H162" s="16" t="s">
        <v>88</v>
      </c>
      <c r="I162" s="16">
        <v>8</v>
      </c>
      <c r="J162" s="13" t="s">
        <v>643</v>
      </c>
      <c r="K162" s="13" t="s">
        <v>100</v>
      </c>
      <c r="M162" s="13" t="s">
        <v>703</v>
      </c>
    </row>
    <row r="163" spans="1:13" ht="15" customHeight="1">
      <c r="A163" s="46">
        <v>44335</v>
      </c>
      <c r="B163" s="13" t="s">
        <v>514</v>
      </c>
      <c r="C163" s="13" t="s">
        <v>269</v>
      </c>
      <c r="D163" s="16" t="s">
        <v>102</v>
      </c>
      <c r="E163" s="16" t="s">
        <v>702</v>
      </c>
      <c r="F163" s="13" t="s">
        <v>533</v>
      </c>
      <c r="G163" s="13" t="s">
        <v>535</v>
      </c>
      <c r="H163" s="16" t="s">
        <v>229</v>
      </c>
      <c r="I163" s="16">
        <v>5</v>
      </c>
      <c r="J163" s="13" t="s">
        <v>560</v>
      </c>
      <c r="K163" s="13" t="s">
        <v>100</v>
      </c>
      <c r="M163" s="13" t="s">
        <v>704</v>
      </c>
    </row>
    <row r="164" spans="1:13" ht="15" customHeight="1">
      <c r="A164" s="46">
        <v>44335</v>
      </c>
      <c r="B164" s="13" t="s">
        <v>514</v>
      </c>
      <c r="C164" s="13" t="s">
        <v>269</v>
      </c>
      <c r="D164" s="16" t="s">
        <v>102</v>
      </c>
      <c r="E164" s="16" t="s">
        <v>702</v>
      </c>
      <c r="F164" s="13" t="s">
        <v>532</v>
      </c>
      <c r="G164" s="13" t="s">
        <v>534</v>
      </c>
      <c r="H164" s="16" t="s">
        <v>229</v>
      </c>
      <c r="I164" s="16">
        <v>10</v>
      </c>
      <c r="J164" s="13" t="s">
        <v>562</v>
      </c>
      <c r="K164" s="13" t="s">
        <v>100</v>
      </c>
      <c r="M164" s="13" t="s">
        <v>704</v>
      </c>
    </row>
    <row r="165" spans="1:13" ht="15" customHeight="1">
      <c r="A165" s="46">
        <v>44350</v>
      </c>
      <c r="B165" s="13" t="s">
        <v>368</v>
      </c>
      <c r="C165" s="13" t="s">
        <v>269</v>
      </c>
      <c r="D165" s="16" t="s">
        <v>102</v>
      </c>
      <c r="E165" s="16" t="s">
        <v>706</v>
      </c>
      <c r="F165" s="13" t="s">
        <v>549</v>
      </c>
      <c r="G165" s="13" t="s">
        <v>556</v>
      </c>
      <c r="H165" s="16" t="s">
        <v>79</v>
      </c>
      <c r="I165" s="16">
        <v>5</v>
      </c>
      <c r="J165" s="13" t="s">
        <v>577</v>
      </c>
      <c r="K165" s="13" t="s">
        <v>100</v>
      </c>
      <c r="M165" s="13" t="s">
        <v>705</v>
      </c>
    </row>
    <row r="166" spans="1:13" ht="15" customHeight="1">
      <c r="A166" s="46">
        <v>44350</v>
      </c>
      <c r="B166" s="13" t="s">
        <v>368</v>
      </c>
      <c r="C166" s="13" t="s">
        <v>269</v>
      </c>
      <c r="D166" s="16" t="s">
        <v>102</v>
      </c>
      <c r="E166" s="16" t="s">
        <v>706</v>
      </c>
      <c r="F166" s="13" t="s">
        <v>548</v>
      </c>
      <c r="G166" s="13" t="s">
        <v>555</v>
      </c>
      <c r="H166" s="16" t="s">
        <v>79</v>
      </c>
      <c r="I166" s="16">
        <v>5</v>
      </c>
      <c r="J166" s="13" t="s">
        <v>578</v>
      </c>
      <c r="K166" s="13" t="s">
        <v>100</v>
      </c>
      <c r="M166" s="13" t="s">
        <v>705</v>
      </c>
    </row>
    <row r="167" spans="1:13" ht="15" customHeight="1">
      <c r="A167" s="46">
        <v>44350</v>
      </c>
      <c r="B167" s="13" t="s">
        <v>368</v>
      </c>
      <c r="C167" s="13" t="s">
        <v>269</v>
      </c>
      <c r="D167" s="16" t="s">
        <v>102</v>
      </c>
      <c r="E167" s="16" t="s">
        <v>706</v>
      </c>
      <c r="F167" s="13" t="s">
        <v>546</v>
      </c>
      <c r="G167" s="13" t="s">
        <v>553</v>
      </c>
      <c r="H167" s="16" t="s">
        <v>79</v>
      </c>
      <c r="I167" s="16">
        <v>5</v>
      </c>
      <c r="J167" s="13" t="s">
        <v>579</v>
      </c>
      <c r="K167" s="13" t="s">
        <v>100</v>
      </c>
      <c r="M167" s="13" t="s">
        <v>705</v>
      </c>
    </row>
    <row r="168" spans="1:13" ht="15" customHeight="1">
      <c r="A168" s="46">
        <v>44350</v>
      </c>
      <c r="B168" s="13" t="s">
        <v>368</v>
      </c>
      <c r="C168" s="13" t="s">
        <v>269</v>
      </c>
      <c r="D168" s="16" t="s">
        <v>102</v>
      </c>
      <c r="E168" s="16" t="s">
        <v>706</v>
      </c>
      <c r="F168" s="13" t="s">
        <v>547</v>
      </c>
      <c r="G168" s="13" t="s">
        <v>554</v>
      </c>
      <c r="H168" s="16" t="s">
        <v>79</v>
      </c>
      <c r="I168" s="16">
        <v>5</v>
      </c>
      <c r="J168" s="13" t="s">
        <v>581</v>
      </c>
      <c r="K168" s="13" t="s">
        <v>100</v>
      </c>
      <c r="M168" s="13" t="s">
        <v>705</v>
      </c>
    </row>
    <row r="169" spans="1:13" ht="15" customHeight="1">
      <c r="A169" s="46">
        <v>44350</v>
      </c>
      <c r="B169" s="13" t="s">
        <v>368</v>
      </c>
      <c r="C169" s="13" t="s">
        <v>269</v>
      </c>
      <c r="D169" s="16" t="s">
        <v>102</v>
      </c>
      <c r="E169" s="16" t="s">
        <v>706</v>
      </c>
      <c r="F169" s="13" t="s">
        <v>550</v>
      </c>
      <c r="G169" s="13" t="s">
        <v>557</v>
      </c>
      <c r="H169" s="16" t="s">
        <v>79</v>
      </c>
      <c r="I169" s="16">
        <v>5</v>
      </c>
      <c r="J169" s="13" t="s">
        <v>583</v>
      </c>
      <c r="K169" s="13" t="s">
        <v>100</v>
      </c>
      <c r="M169" s="13" t="s">
        <v>705</v>
      </c>
    </row>
    <row r="170" spans="1:13" ht="15" customHeight="1">
      <c r="A170" s="46">
        <v>44351</v>
      </c>
      <c r="B170" s="13" t="s">
        <v>566</v>
      </c>
      <c r="C170" s="13" t="s">
        <v>269</v>
      </c>
      <c r="D170" s="16" t="s">
        <v>102</v>
      </c>
      <c r="E170" s="16" t="s">
        <v>713</v>
      </c>
      <c r="F170" s="13" t="s">
        <v>707</v>
      </c>
      <c r="G170" s="13" t="s">
        <v>708</v>
      </c>
      <c r="H170" s="16" t="s">
        <v>84</v>
      </c>
      <c r="I170" s="16">
        <v>2</v>
      </c>
      <c r="K170" s="13" t="s">
        <v>100</v>
      </c>
      <c r="M170" s="13" t="s">
        <v>709</v>
      </c>
    </row>
    <row r="171" spans="1:13" ht="15" customHeight="1">
      <c r="A171" s="46">
        <v>44363</v>
      </c>
      <c r="B171" s="13" t="s">
        <v>253</v>
      </c>
      <c r="C171" s="13" t="s">
        <v>269</v>
      </c>
      <c r="D171" s="16" t="s">
        <v>102</v>
      </c>
      <c r="E171" s="16" t="s">
        <v>714</v>
      </c>
      <c r="F171" s="13" t="s">
        <v>619</v>
      </c>
      <c r="G171" s="13" t="s">
        <v>620</v>
      </c>
      <c r="H171" s="16" t="s">
        <v>88</v>
      </c>
      <c r="I171" s="16">
        <v>7</v>
      </c>
      <c r="J171" s="13" t="s">
        <v>643</v>
      </c>
      <c r="K171" s="13" t="s">
        <v>100</v>
      </c>
      <c r="M171" s="13" t="s">
        <v>720</v>
      </c>
    </row>
    <row r="172" spans="1:13" ht="15" customHeight="1">
      <c r="A172" s="46">
        <v>44369</v>
      </c>
      <c r="B172" s="13" t="s">
        <v>719</v>
      </c>
      <c r="C172" s="13" t="s">
        <v>269</v>
      </c>
      <c r="D172" s="16" t="s">
        <v>102</v>
      </c>
      <c r="E172" s="16" t="s">
        <v>718</v>
      </c>
      <c r="F172" s="13" t="s">
        <v>715</v>
      </c>
      <c r="G172" s="13" t="s">
        <v>716</v>
      </c>
      <c r="H172" s="16" t="s">
        <v>82</v>
      </c>
      <c r="I172" s="16">
        <v>1000</v>
      </c>
      <c r="K172" s="13" t="s">
        <v>100</v>
      </c>
      <c r="M172" s="13" t="s">
        <v>717</v>
      </c>
    </row>
    <row r="173" spans="1:13" ht="15" customHeight="1">
      <c r="A173" s="46">
        <v>44369</v>
      </c>
      <c r="B173" s="13" t="s">
        <v>721</v>
      </c>
      <c r="C173" s="13" t="s">
        <v>269</v>
      </c>
      <c r="D173" s="16" t="s">
        <v>102</v>
      </c>
      <c r="E173" s="16" t="s">
        <v>749</v>
      </c>
      <c r="F173" s="13" t="s">
        <v>533</v>
      </c>
      <c r="G173" s="13" t="s">
        <v>535</v>
      </c>
      <c r="H173" s="16" t="s">
        <v>229</v>
      </c>
      <c r="I173" s="16">
        <v>5</v>
      </c>
      <c r="J173" s="13" t="s">
        <v>560</v>
      </c>
      <c r="K173" s="13" t="s">
        <v>100</v>
      </c>
      <c r="M173" s="46" t="s">
        <v>722</v>
      </c>
    </row>
    <row r="174" spans="1:13" ht="15" customHeight="1">
      <c r="A174" s="46">
        <v>44372</v>
      </c>
      <c r="B174" s="13" t="s">
        <v>724</v>
      </c>
      <c r="C174" s="13" t="s">
        <v>269</v>
      </c>
      <c r="D174" s="16" t="s">
        <v>102</v>
      </c>
      <c r="E174" s="16" t="s">
        <v>723</v>
      </c>
      <c r="F174" s="13" t="s">
        <v>665</v>
      </c>
      <c r="G174" s="13" t="s">
        <v>664</v>
      </c>
      <c r="H174" s="16" t="s">
        <v>79</v>
      </c>
      <c r="I174" s="16">
        <v>1</v>
      </c>
      <c r="J174" s="13" t="s">
        <v>671</v>
      </c>
      <c r="K174" s="13" t="s">
        <v>100</v>
      </c>
      <c r="M174" s="13" t="s">
        <v>725</v>
      </c>
    </row>
    <row r="175" spans="1:13" ht="15" customHeight="1">
      <c r="A175" s="46">
        <v>44372</v>
      </c>
      <c r="B175" s="13" t="s">
        <v>724</v>
      </c>
      <c r="C175" s="13" t="s">
        <v>269</v>
      </c>
      <c r="D175" s="16" t="s">
        <v>102</v>
      </c>
      <c r="E175" s="16" t="s">
        <v>723</v>
      </c>
      <c r="F175" s="13" t="s">
        <v>667</v>
      </c>
      <c r="G175" s="13" t="s">
        <v>666</v>
      </c>
      <c r="H175" s="16" t="s">
        <v>92</v>
      </c>
      <c r="I175" s="16">
        <v>10</v>
      </c>
      <c r="J175" s="13" t="s">
        <v>672</v>
      </c>
      <c r="K175" s="13" t="s">
        <v>100</v>
      </c>
      <c r="M175" s="13" t="s">
        <v>725</v>
      </c>
    </row>
    <row r="176" spans="1:13" ht="15" customHeight="1">
      <c r="A176" s="46">
        <v>44375</v>
      </c>
      <c r="B176" s="13" t="s">
        <v>733</v>
      </c>
      <c r="C176" s="13" t="s">
        <v>269</v>
      </c>
      <c r="D176" s="16" t="s">
        <v>102</v>
      </c>
      <c r="E176" s="16" t="s">
        <v>732</v>
      </c>
      <c r="F176" s="13" t="s">
        <v>728</v>
      </c>
      <c r="G176" s="13" t="s">
        <v>726</v>
      </c>
      <c r="H176" s="16" t="s">
        <v>79</v>
      </c>
      <c r="I176" s="16">
        <v>2</v>
      </c>
      <c r="K176" s="13" t="s">
        <v>100</v>
      </c>
      <c r="L176" s="13" t="s">
        <v>730</v>
      </c>
      <c r="M176" s="13" t="s">
        <v>731</v>
      </c>
    </row>
    <row r="177" spans="1:13" ht="15" customHeight="1">
      <c r="A177" s="46">
        <v>44375</v>
      </c>
      <c r="B177" s="13" t="s">
        <v>733</v>
      </c>
      <c r="C177" s="13" t="s">
        <v>269</v>
      </c>
      <c r="D177" s="16" t="s">
        <v>102</v>
      </c>
      <c r="E177" s="16" t="s">
        <v>732</v>
      </c>
      <c r="F177" s="13" t="s">
        <v>729</v>
      </c>
      <c r="G177" s="13" t="s">
        <v>727</v>
      </c>
      <c r="H177" s="16" t="s">
        <v>79</v>
      </c>
      <c r="I177" s="16">
        <v>1</v>
      </c>
      <c r="K177" s="13" t="s">
        <v>100</v>
      </c>
      <c r="L177" s="13" t="s">
        <v>730</v>
      </c>
      <c r="M177" s="13" t="s">
        <v>731</v>
      </c>
    </row>
    <row r="178" spans="1:13" ht="15" customHeight="1">
      <c r="A178" s="46">
        <v>44375</v>
      </c>
      <c r="B178" s="13" t="s">
        <v>743</v>
      </c>
      <c r="C178" s="13" t="s">
        <v>269</v>
      </c>
      <c r="D178" s="16" t="s">
        <v>102</v>
      </c>
      <c r="E178" s="16" t="s">
        <v>741</v>
      </c>
      <c r="F178" s="13" t="s">
        <v>736</v>
      </c>
      <c r="G178" s="13" t="s">
        <v>734</v>
      </c>
      <c r="H178" s="16" t="s">
        <v>79</v>
      </c>
      <c r="I178" s="16">
        <v>12</v>
      </c>
      <c r="K178" s="13" t="s">
        <v>100</v>
      </c>
      <c r="L178" s="13" t="s">
        <v>740</v>
      </c>
      <c r="M178" s="13" t="s">
        <v>742</v>
      </c>
    </row>
    <row r="179" spans="1:13" ht="15" customHeight="1">
      <c r="A179" s="46">
        <v>44375</v>
      </c>
      <c r="B179" s="13" t="s">
        <v>743</v>
      </c>
      <c r="C179" s="13" t="s">
        <v>269</v>
      </c>
      <c r="D179" s="16" t="s">
        <v>102</v>
      </c>
      <c r="E179" s="16" t="s">
        <v>741</v>
      </c>
      <c r="F179" s="13" t="s">
        <v>737</v>
      </c>
      <c r="G179" s="13" t="s">
        <v>735</v>
      </c>
      <c r="H179" s="16" t="s">
        <v>81</v>
      </c>
      <c r="I179" s="16">
        <v>1</v>
      </c>
      <c r="J179" s="13" t="s">
        <v>739</v>
      </c>
      <c r="K179" s="13" t="s">
        <v>100</v>
      </c>
      <c r="L179" s="13" t="s">
        <v>740</v>
      </c>
      <c r="M179" s="13" t="s">
        <v>742</v>
      </c>
    </row>
    <row r="180" spans="1:13" ht="15" customHeight="1">
      <c r="A180" s="46">
        <v>44375</v>
      </c>
      <c r="B180" s="13" t="s">
        <v>743</v>
      </c>
      <c r="C180" s="13" t="s">
        <v>269</v>
      </c>
      <c r="D180" s="16" t="s">
        <v>102</v>
      </c>
      <c r="E180" s="16" t="s">
        <v>741</v>
      </c>
      <c r="F180" s="13" t="s">
        <v>738</v>
      </c>
      <c r="G180" s="13" t="s">
        <v>735</v>
      </c>
      <c r="H180" s="16" t="s">
        <v>81</v>
      </c>
      <c r="I180" s="16">
        <v>1</v>
      </c>
      <c r="J180" s="13" t="s">
        <v>739</v>
      </c>
      <c r="K180" s="13" t="s">
        <v>100</v>
      </c>
      <c r="L180" s="13" t="s">
        <v>740</v>
      </c>
      <c r="M180" s="13" t="s">
        <v>742</v>
      </c>
    </row>
    <row r="181" spans="1:13" ht="15" customHeight="1">
      <c r="A181" s="46">
        <v>44375</v>
      </c>
      <c r="B181" s="13" t="s">
        <v>748</v>
      </c>
      <c r="C181" s="13" t="s">
        <v>269</v>
      </c>
      <c r="D181" s="16" t="s">
        <v>102</v>
      </c>
      <c r="E181" s="16" t="s">
        <v>747</v>
      </c>
      <c r="F181" s="13" t="s">
        <v>744</v>
      </c>
      <c r="G181" s="13" t="s">
        <v>745</v>
      </c>
      <c r="H181" s="16" t="s">
        <v>79</v>
      </c>
      <c r="I181" s="16">
        <v>2</v>
      </c>
      <c r="K181" s="13" t="s">
        <v>100</v>
      </c>
      <c r="L181" s="13" t="s">
        <v>740</v>
      </c>
      <c r="M181" s="13" t="s">
        <v>746</v>
      </c>
    </row>
    <row r="182" spans="1:13" ht="15" customHeight="1">
      <c r="A182" s="46">
        <v>44377</v>
      </c>
      <c r="B182" s="13" t="s">
        <v>751</v>
      </c>
      <c r="C182" s="13" t="s">
        <v>269</v>
      </c>
      <c r="D182" s="16" t="s">
        <v>102</v>
      </c>
      <c r="E182" s="16" t="s">
        <v>750</v>
      </c>
      <c r="F182" s="13" t="s">
        <v>527</v>
      </c>
      <c r="G182" s="13" t="s">
        <v>528</v>
      </c>
      <c r="H182" s="16" t="s">
        <v>229</v>
      </c>
      <c r="I182" s="16">
        <v>6</v>
      </c>
      <c r="J182" s="13" t="s">
        <v>561</v>
      </c>
      <c r="K182" s="13" t="s">
        <v>100</v>
      </c>
      <c r="M182" s="13" t="s">
        <v>742</v>
      </c>
    </row>
    <row r="183" spans="1:13" ht="15" customHeight="1">
      <c r="A183" s="46">
        <v>44377</v>
      </c>
      <c r="B183" s="13" t="s">
        <v>752</v>
      </c>
      <c r="C183" s="13" t="s">
        <v>269</v>
      </c>
      <c r="D183" s="16" t="s">
        <v>102</v>
      </c>
      <c r="E183" s="16" t="s">
        <v>753</v>
      </c>
      <c r="F183" s="13" t="s">
        <v>108</v>
      </c>
      <c r="G183" s="13" t="s">
        <v>116</v>
      </c>
      <c r="H183" s="16" t="s">
        <v>81</v>
      </c>
      <c r="I183" s="16">
        <v>40</v>
      </c>
      <c r="J183" s="13" t="s">
        <v>325</v>
      </c>
      <c r="K183" s="13" t="s">
        <v>100</v>
      </c>
      <c r="M183" s="13" t="s">
        <v>742</v>
      </c>
    </row>
    <row r="184" spans="1:13" ht="15" customHeight="1">
      <c r="A184" s="46">
        <v>44378</v>
      </c>
      <c r="B184" s="13" t="s">
        <v>542</v>
      </c>
      <c r="C184" s="13" t="s">
        <v>269</v>
      </c>
      <c r="D184" s="16" t="s">
        <v>102</v>
      </c>
      <c r="E184" s="16" t="s">
        <v>755</v>
      </c>
      <c r="F184" s="13" t="s">
        <v>371</v>
      </c>
      <c r="G184" s="13" t="s">
        <v>372</v>
      </c>
      <c r="H184" s="16" t="s">
        <v>79</v>
      </c>
      <c r="I184" s="16">
        <v>3000</v>
      </c>
      <c r="J184" s="13" t="s">
        <v>374</v>
      </c>
      <c r="K184" s="13" t="s">
        <v>100</v>
      </c>
      <c r="M184" s="13" t="s">
        <v>754</v>
      </c>
    </row>
    <row r="185" spans="1:13" ht="15" customHeight="1">
      <c r="A185" s="46">
        <v>44382</v>
      </c>
      <c r="B185" s="13" t="s">
        <v>240</v>
      </c>
      <c r="C185" s="13" t="s">
        <v>269</v>
      </c>
      <c r="D185" s="16" t="s">
        <v>102</v>
      </c>
      <c r="E185" s="16" t="s">
        <v>757</v>
      </c>
      <c r="F185" s="13" t="s">
        <v>630</v>
      </c>
      <c r="G185" s="13" t="s">
        <v>633</v>
      </c>
      <c r="H185" s="16" t="s">
        <v>79</v>
      </c>
      <c r="I185" s="16">
        <v>20</v>
      </c>
      <c r="J185" s="13" t="s">
        <v>639</v>
      </c>
      <c r="K185" s="13" t="s">
        <v>100</v>
      </c>
      <c r="M185" s="13" t="s">
        <v>756</v>
      </c>
    </row>
    <row r="186" spans="1:13" ht="15" customHeight="1">
      <c r="A186" s="46">
        <v>44385</v>
      </c>
      <c r="B186" s="13" t="s">
        <v>573</v>
      </c>
      <c r="C186" s="13" t="s">
        <v>269</v>
      </c>
      <c r="D186" s="16" t="s">
        <v>102</v>
      </c>
      <c r="E186" s="16" t="s">
        <v>760</v>
      </c>
      <c r="F186" s="13" t="s">
        <v>758</v>
      </c>
      <c r="G186" s="13" t="s">
        <v>126</v>
      </c>
      <c r="H186" s="16" t="s">
        <v>79</v>
      </c>
      <c r="I186" s="16">
        <v>10</v>
      </c>
      <c r="K186" s="13" t="s">
        <v>100</v>
      </c>
      <c r="M186" s="13" t="s">
        <v>759</v>
      </c>
    </row>
    <row r="187" spans="1:13" ht="15" customHeight="1">
      <c r="A187" s="46">
        <v>44385</v>
      </c>
      <c r="B187" s="13" t="s">
        <v>587</v>
      </c>
      <c r="C187" s="13" t="s">
        <v>269</v>
      </c>
      <c r="D187" s="16" t="s">
        <v>102</v>
      </c>
      <c r="E187" s="16" t="s">
        <v>762</v>
      </c>
      <c r="F187" s="13" t="s">
        <v>627</v>
      </c>
      <c r="G187" s="13" t="s">
        <v>628</v>
      </c>
      <c r="H187" s="16" t="s">
        <v>82</v>
      </c>
      <c r="I187" s="16">
        <v>50</v>
      </c>
      <c r="J187" s="13" t="s">
        <v>640</v>
      </c>
      <c r="K187" s="13" t="s">
        <v>100</v>
      </c>
      <c r="M187" s="13" t="s">
        <v>761</v>
      </c>
    </row>
    <row r="188" spans="1:13" ht="15" customHeight="1">
      <c r="A188" s="46">
        <v>44389</v>
      </c>
      <c r="B188" s="13" t="s">
        <v>124</v>
      </c>
      <c r="C188" s="13" t="s">
        <v>269</v>
      </c>
      <c r="D188" s="16" t="s">
        <v>102</v>
      </c>
      <c r="E188" s="16" t="s">
        <v>791</v>
      </c>
      <c r="F188" s="13" t="s">
        <v>766</v>
      </c>
      <c r="G188" s="13" t="s">
        <v>763</v>
      </c>
      <c r="H188" s="16" t="s">
        <v>898</v>
      </c>
      <c r="I188" s="16">
        <v>1</v>
      </c>
      <c r="K188" s="13" t="s">
        <v>100</v>
      </c>
      <c r="L188" s="13" t="s">
        <v>769</v>
      </c>
      <c r="M188" s="13" t="s">
        <v>720</v>
      </c>
    </row>
    <row r="189" spans="1:13" ht="15" customHeight="1">
      <c r="A189" s="46">
        <v>44389</v>
      </c>
      <c r="B189" s="13" t="s">
        <v>124</v>
      </c>
      <c r="C189" s="13" t="s">
        <v>269</v>
      </c>
      <c r="D189" s="16" t="s">
        <v>102</v>
      </c>
      <c r="E189" s="16" t="s">
        <v>791</v>
      </c>
      <c r="F189" s="13" t="s">
        <v>767</v>
      </c>
      <c r="G189" s="13" t="s">
        <v>764</v>
      </c>
      <c r="H189" s="16" t="s">
        <v>898</v>
      </c>
      <c r="I189" s="16">
        <v>1</v>
      </c>
      <c r="K189" s="13" t="s">
        <v>100</v>
      </c>
      <c r="L189" s="13" t="s">
        <v>769</v>
      </c>
      <c r="M189" s="13" t="s">
        <v>720</v>
      </c>
    </row>
    <row r="190" spans="1:13" ht="15" customHeight="1">
      <c r="A190" s="46">
        <v>44389</v>
      </c>
      <c r="B190" s="13" t="s">
        <v>124</v>
      </c>
      <c r="C190" s="13" t="s">
        <v>269</v>
      </c>
      <c r="D190" s="16" t="s">
        <v>102</v>
      </c>
      <c r="E190" s="16" t="s">
        <v>791</v>
      </c>
      <c r="F190" s="13" t="s">
        <v>768</v>
      </c>
      <c r="G190" s="13" t="s">
        <v>765</v>
      </c>
      <c r="H190" s="16" t="s">
        <v>898</v>
      </c>
      <c r="I190" s="16">
        <v>2</v>
      </c>
      <c r="K190" s="13" t="s">
        <v>100</v>
      </c>
      <c r="L190" s="13" t="s">
        <v>769</v>
      </c>
      <c r="M190" s="13" t="s">
        <v>720</v>
      </c>
    </row>
    <row r="191" spans="1:13" ht="15" customHeight="1">
      <c r="A191" s="46">
        <v>44389</v>
      </c>
      <c r="B191" s="13" t="s">
        <v>145</v>
      </c>
      <c r="C191" s="13" t="s">
        <v>269</v>
      </c>
      <c r="D191" s="16" t="s">
        <v>102</v>
      </c>
      <c r="E191" s="16" t="s">
        <v>792</v>
      </c>
      <c r="F191" s="13" t="s">
        <v>771</v>
      </c>
      <c r="G191" s="13" t="s">
        <v>770</v>
      </c>
      <c r="H191" s="16" t="s">
        <v>772</v>
      </c>
      <c r="I191" s="16">
        <v>1</v>
      </c>
      <c r="K191" s="13" t="s">
        <v>100</v>
      </c>
      <c r="L191" s="13" t="s">
        <v>769</v>
      </c>
      <c r="M191" s="13" t="s">
        <v>731</v>
      </c>
    </row>
    <row r="192" spans="1:13" ht="15" customHeight="1">
      <c r="A192" s="46">
        <v>44389</v>
      </c>
      <c r="B192" s="13" t="s">
        <v>164</v>
      </c>
      <c r="C192" s="13" t="s">
        <v>269</v>
      </c>
      <c r="D192" s="16" t="s">
        <v>102</v>
      </c>
      <c r="E192" s="16" t="s">
        <v>793</v>
      </c>
      <c r="F192" s="13" t="s">
        <v>781</v>
      </c>
      <c r="G192" s="13" t="s">
        <v>773</v>
      </c>
      <c r="H192" s="16" t="s">
        <v>219</v>
      </c>
      <c r="I192" s="16">
        <v>5</v>
      </c>
      <c r="K192" s="13" t="s">
        <v>100</v>
      </c>
      <c r="L192" s="13" t="s">
        <v>790</v>
      </c>
      <c r="M192" s="13" t="s">
        <v>731</v>
      </c>
    </row>
    <row r="193" spans="1:13" ht="15" customHeight="1">
      <c r="A193" s="46">
        <v>44389</v>
      </c>
      <c r="B193" s="13" t="s">
        <v>164</v>
      </c>
      <c r="C193" s="13" t="s">
        <v>269</v>
      </c>
      <c r="D193" s="16" t="s">
        <v>102</v>
      </c>
      <c r="E193" s="16" t="s">
        <v>793</v>
      </c>
      <c r="F193" s="13" t="s">
        <v>782</v>
      </c>
      <c r="G193" s="13" t="s">
        <v>774</v>
      </c>
      <c r="H193" s="16" t="s">
        <v>772</v>
      </c>
      <c r="I193" s="16">
        <v>5</v>
      </c>
      <c r="K193" s="13" t="s">
        <v>100</v>
      </c>
      <c r="L193" s="13" t="s">
        <v>790</v>
      </c>
      <c r="M193" s="13" t="s">
        <v>731</v>
      </c>
    </row>
    <row r="194" spans="1:13" ht="15" customHeight="1">
      <c r="A194" s="46">
        <v>44389</v>
      </c>
      <c r="B194" s="13" t="s">
        <v>164</v>
      </c>
      <c r="C194" s="13" t="s">
        <v>269</v>
      </c>
      <c r="D194" s="16" t="s">
        <v>102</v>
      </c>
      <c r="E194" s="16" t="s">
        <v>793</v>
      </c>
      <c r="F194" s="13" t="s">
        <v>783</v>
      </c>
      <c r="G194" s="13" t="s">
        <v>775</v>
      </c>
      <c r="H194" s="16" t="s">
        <v>772</v>
      </c>
      <c r="I194" s="16">
        <v>5</v>
      </c>
      <c r="K194" s="13" t="s">
        <v>100</v>
      </c>
      <c r="L194" s="13" t="s">
        <v>790</v>
      </c>
      <c r="M194" s="13" t="s">
        <v>731</v>
      </c>
    </row>
    <row r="195" spans="1:13" ht="15" customHeight="1">
      <c r="A195" s="46">
        <v>44389</v>
      </c>
      <c r="B195" s="13" t="s">
        <v>164</v>
      </c>
      <c r="C195" s="13" t="s">
        <v>269</v>
      </c>
      <c r="D195" s="16" t="s">
        <v>102</v>
      </c>
      <c r="E195" s="16" t="s">
        <v>793</v>
      </c>
      <c r="F195" s="13" t="s">
        <v>784</v>
      </c>
      <c r="G195" s="13" t="s">
        <v>776</v>
      </c>
      <c r="H195" s="16" t="s">
        <v>171</v>
      </c>
      <c r="I195" s="16">
        <v>3</v>
      </c>
      <c r="K195" s="13" t="s">
        <v>100</v>
      </c>
      <c r="L195" s="13" t="s">
        <v>790</v>
      </c>
      <c r="M195" s="13" t="s">
        <v>731</v>
      </c>
    </row>
    <row r="196" spans="1:13" ht="15" customHeight="1">
      <c r="A196" s="46">
        <v>44389</v>
      </c>
      <c r="B196" s="13" t="s">
        <v>164</v>
      </c>
      <c r="C196" s="13" t="s">
        <v>269</v>
      </c>
      <c r="D196" s="16" t="s">
        <v>102</v>
      </c>
      <c r="E196" s="16" t="s">
        <v>793</v>
      </c>
      <c r="F196" s="13" t="s">
        <v>785</v>
      </c>
      <c r="G196" s="13" t="s">
        <v>777</v>
      </c>
      <c r="H196" s="16" t="s">
        <v>171</v>
      </c>
      <c r="I196" s="16">
        <v>3</v>
      </c>
      <c r="K196" s="13" t="s">
        <v>100</v>
      </c>
      <c r="L196" s="13" t="s">
        <v>790</v>
      </c>
      <c r="M196" s="13" t="s">
        <v>731</v>
      </c>
    </row>
    <row r="197" spans="1:13" ht="15" customHeight="1">
      <c r="A197" s="46">
        <v>44389</v>
      </c>
      <c r="B197" s="13" t="s">
        <v>164</v>
      </c>
      <c r="C197" s="13" t="s">
        <v>269</v>
      </c>
      <c r="D197" s="16" t="s">
        <v>102</v>
      </c>
      <c r="E197" s="16" t="s">
        <v>793</v>
      </c>
      <c r="F197" s="13" t="s">
        <v>786</v>
      </c>
      <c r="G197" s="13" t="s">
        <v>777</v>
      </c>
      <c r="H197" s="16" t="s">
        <v>171</v>
      </c>
      <c r="I197" s="16">
        <v>3</v>
      </c>
      <c r="K197" s="13" t="s">
        <v>100</v>
      </c>
      <c r="L197" s="13" t="s">
        <v>790</v>
      </c>
      <c r="M197" s="13" t="s">
        <v>731</v>
      </c>
    </row>
    <row r="198" spans="1:13" ht="15" customHeight="1">
      <c r="A198" s="46">
        <v>44389</v>
      </c>
      <c r="B198" s="13" t="s">
        <v>164</v>
      </c>
      <c r="C198" s="13" t="s">
        <v>269</v>
      </c>
      <c r="D198" s="16" t="s">
        <v>102</v>
      </c>
      <c r="E198" s="16" t="s">
        <v>793</v>
      </c>
      <c r="F198" s="13" t="s">
        <v>787</v>
      </c>
      <c r="G198" s="13" t="s">
        <v>778</v>
      </c>
      <c r="H198" s="16" t="s">
        <v>97</v>
      </c>
      <c r="I198" s="16">
        <v>20</v>
      </c>
      <c r="K198" s="13" t="s">
        <v>100</v>
      </c>
      <c r="L198" s="13" t="s">
        <v>790</v>
      </c>
      <c r="M198" s="13" t="s">
        <v>731</v>
      </c>
    </row>
    <row r="199" spans="1:13" ht="15" customHeight="1">
      <c r="A199" s="46">
        <v>44389</v>
      </c>
      <c r="B199" s="13" t="s">
        <v>164</v>
      </c>
      <c r="C199" s="13" t="s">
        <v>269</v>
      </c>
      <c r="D199" s="16" t="s">
        <v>102</v>
      </c>
      <c r="E199" s="16" t="s">
        <v>793</v>
      </c>
      <c r="F199" s="13" t="s">
        <v>788</v>
      </c>
      <c r="G199" s="13" t="s">
        <v>779</v>
      </c>
      <c r="H199" s="16" t="s">
        <v>79</v>
      </c>
      <c r="I199" s="16">
        <v>10</v>
      </c>
      <c r="K199" s="13" t="s">
        <v>100</v>
      </c>
      <c r="L199" s="13" t="s">
        <v>790</v>
      </c>
      <c r="M199" s="13" t="s">
        <v>731</v>
      </c>
    </row>
    <row r="200" spans="1:13" ht="15" customHeight="1">
      <c r="A200" s="46">
        <v>44389</v>
      </c>
      <c r="B200" s="13" t="s">
        <v>164</v>
      </c>
      <c r="C200" s="13" t="s">
        <v>269</v>
      </c>
      <c r="D200" s="16" t="s">
        <v>102</v>
      </c>
      <c r="E200" s="16" t="s">
        <v>793</v>
      </c>
      <c r="F200" s="13" t="s">
        <v>789</v>
      </c>
      <c r="G200" s="13" t="s">
        <v>780</v>
      </c>
      <c r="H200" s="16" t="s">
        <v>79</v>
      </c>
      <c r="I200" s="16">
        <v>5</v>
      </c>
      <c r="K200" s="13" t="s">
        <v>100</v>
      </c>
      <c r="L200" s="13" t="s">
        <v>790</v>
      </c>
      <c r="M200" s="13" t="s">
        <v>731</v>
      </c>
    </row>
    <row r="201" spans="1:13" ht="15" customHeight="1">
      <c r="A201" s="46">
        <v>44389</v>
      </c>
      <c r="B201" s="13" t="s">
        <v>177</v>
      </c>
      <c r="C201" s="13" t="s">
        <v>269</v>
      </c>
      <c r="D201" s="16" t="s">
        <v>102</v>
      </c>
      <c r="E201" s="16" t="s">
        <v>795</v>
      </c>
      <c r="F201" s="13" t="s">
        <v>684</v>
      </c>
      <c r="G201" s="13" t="s">
        <v>683</v>
      </c>
      <c r="H201" s="16" t="s">
        <v>81</v>
      </c>
      <c r="I201" s="16">
        <v>6</v>
      </c>
      <c r="K201" s="13" t="s">
        <v>100</v>
      </c>
      <c r="M201" s="13" t="s">
        <v>794</v>
      </c>
    </row>
    <row r="202" spans="1:13" ht="15" customHeight="1">
      <c r="A202" s="46">
        <v>44390</v>
      </c>
      <c r="B202" s="13" t="s">
        <v>801</v>
      </c>
      <c r="C202" s="13" t="s">
        <v>269</v>
      </c>
      <c r="D202" s="16" t="s">
        <v>102</v>
      </c>
      <c r="E202" s="16" t="s">
        <v>800</v>
      </c>
      <c r="F202" s="13" t="s">
        <v>798</v>
      </c>
      <c r="G202" s="13" t="s">
        <v>799</v>
      </c>
      <c r="H202" s="16" t="s">
        <v>87</v>
      </c>
      <c r="I202" s="16">
        <v>20</v>
      </c>
      <c r="J202" s="13" t="s">
        <v>796</v>
      </c>
      <c r="K202" s="13" t="s">
        <v>100</v>
      </c>
      <c r="M202" s="13" t="s">
        <v>797</v>
      </c>
    </row>
    <row r="203" spans="1:13" ht="15" customHeight="1">
      <c r="A203" s="46">
        <v>44390</v>
      </c>
      <c r="B203" s="13" t="s">
        <v>809</v>
      </c>
      <c r="C203" s="13" t="s">
        <v>269</v>
      </c>
      <c r="D203" s="16" t="s">
        <v>102</v>
      </c>
      <c r="E203" s="16" t="s">
        <v>808</v>
      </c>
      <c r="F203" s="13" t="s">
        <v>804</v>
      </c>
      <c r="G203" s="13" t="s">
        <v>802</v>
      </c>
      <c r="H203" s="16" t="s">
        <v>79</v>
      </c>
      <c r="I203" s="16">
        <v>10</v>
      </c>
      <c r="K203" s="13" t="s">
        <v>100</v>
      </c>
      <c r="L203" s="13" t="s">
        <v>803</v>
      </c>
      <c r="M203" s="13" t="s">
        <v>807</v>
      </c>
    </row>
    <row r="204" spans="1:13" ht="15" customHeight="1">
      <c r="A204" s="46">
        <v>44390</v>
      </c>
      <c r="B204" s="13" t="s">
        <v>809</v>
      </c>
      <c r="C204" s="13" t="s">
        <v>269</v>
      </c>
      <c r="D204" s="16" t="s">
        <v>102</v>
      </c>
      <c r="E204" s="16" t="s">
        <v>808</v>
      </c>
      <c r="F204" s="13" t="s">
        <v>805</v>
      </c>
      <c r="G204" s="13" t="s">
        <v>802</v>
      </c>
      <c r="H204" s="16" t="s">
        <v>79</v>
      </c>
      <c r="I204" s="16">
        <v>10</v>
      </c>
      <c r="K204" s="13" t="s">
        <v>100</v>
      </c>
      <c r="L204" s="13" t="s">
        <v>803</v>
      </c>
      <c r="M204" s="13" t="s">
        <v>807</v>
      </c>
    </row>
    <row r="205" spans="1:13" ht="15" customHeight="1">
      <c r="A205" s="46">
        <v>44390</v>
      </c>
      <c r="B205" s="13" t="s">
        <v>809</v>
      </c>
      <c r="C205" s="13" t="s">
        <v>269</v>
      </c>
      <c r="D205" s="16" t="s">
        <v>102</v>
      </c>
      <c r="E205" s="16" t="s">
        <v>808</v>
      </c>
      <c r="F205" s="13" t="s">
        <v>806</v>
      </c>
      <c r="G205" s="13" t="s">
        <v>802</v>
      </c>
      <c r="H205" s="16" t="s">
        <v>79</v>
      </c>
      <c r="I205" s="16">
        <v>10</v>
      </c>
      <c r="K205" s="13" t="s">
        <v>100</v>
      </c>
      <c r="L205" s="13" t="s">
        <v>803</v>
      </c>
      <c r="M205" s="13" t="s">
        <v>807</v>
      </c>
    </row>
    <row r="206" spans="1:13" ht="15" customHeight="1">
      <c r="A206" s="46">
        <v>44391</v>
      </c>
      <c r="B206" s="13" t="s">
        <v>811</v>
      </c>
      <c r="C206" s="13" t="s">
        <v>269</v>
      </c>
      <c r="D206" s="16" t="s">
        <v>102</v>
      </c>
      <c r="E206" s="16" t="s">
        <v>810</v>
      </c>
      <c r="F206" s="13" t="s">
        <v>243</v>
      </c>
      <c r="G206" s="13" t="s">
        <v>268</v>
      </c>
      <c r="H206" s="16" t="s">
        <v>79</v>
      </c>
      <c r="I206" s="16">
        <v>10</v>
      </c>
      <c r="J206" s="13" t="s">
        <v>330</v>
      </c>
      <c r="K206" s="13" t="s">
        <v>100</v>
      </c>
      <c r="M206" s="13" t="s">
        <v>797</v>
      </c>
    </row>
    <row r="207" spans="1:13" ht="15" customHeight="1">
      <c r="A207" s="46">
        <v>44396</v>
      </c>
      <c r="B207" s="13" t="s">
        <v>514</v>
      </c>
      <c r="C207" s="13" t="s">
        <v>269</v>
      </c>
      <c r="D207" s="16" t="s">
        <v>102</v>
      </c>
      <c r="E207" s="16" t="s">
        <v>818</v>
      </c>
      <c r="F207" s="13" t="s">
        <v>813</v>
      </c>
      <c r="G207" s="13" t="s">
        <v>815</v>
      </c>
      <c r="H207" s="16" t="s">
        <v>772</v>
      </c>
      <c r="I207" s="16">
        <v>20</v>
      </c>
      <c r="K207" s="13" t="s">
        <v>100</v>
      </c>
      <c r="M207" s="13" t="s">
        <v>717</v>
      </c>
    </row>
    <row r="208" spans="1:13" ht="15" customHeight="1">
      <c r="A208" s="46">
        <v>44396</v>
      </c>
      <c r="B208" s="13" t="s">
        <v>514</v>
      </c>
      <c r="C208" s="13" t="s">
        <v>269</v>
      </c>
      <c r="D208" s="16" t="s">
        <v>102</v>
      </c>
      <c r="E208" s="16" t="s">
        <v>818</v>
      </c>
      <c r="F208" s="13" t="s">
        <v>814</v>
      </c>
      <c r="G208" s="13" t="s">
        <v>816</v>
      </c>
      <c r="H208" s="16" t="s">
        <v>80</v>
      </c>
      <c r="I208" s="16">
        <v>1</v>
      </c>
      <c r="J208" s="13" t="s">
        <v>817</v>
      </c>
      <c r="K208" s="13" t="s">
        <v>100</v>
      </c>
      <c r="M208" s="13" t="s">
        <v>717</v>
      </c>
    </row>
    <row r="209" spans="1:13" ht="15" customHeight="1">
      <c r="A209" s="46">
        <v>44396</v>
      </c>
      <c r="B209" s="13" t="s">
        <v>517</v>
      </c>
      <c r="C209" s="13" t="s">
        <v>269</v>
      </c>
      <c r="D209" s="16" t="s">
        <v>102</v>
      </c>
      <c r="E209" s="16" t="s">
        <v>823</v>
      </c>
      <c r="F209" s="13" t="s">
        <v>821</v>
      </c>
      <c r="G209" s="13" t="s">
        <v>819</v>
      </c>
      <c r="H209" s="16" t="s">
        <v>79</v>
      </c>
      <c r="I209" s="16">
        <v>2</v>
      </c>
      <c r="K209" s="13" t="s">
        <v>100</v>
      </c>
      <c r="M209" s="13" t="s">
        <v>717</v>
      </c>
    </row>
    <row r="210" spans="1:13" ht="15" customHeight="1">
      <c r="A210" s="46">
        <v>44396</v>
      </c>
      <c r="B210" s="13" t="s">
        <v>517</v>
      </c>
      <c r="C210" s="13" t="s">
        <v>269</v>
      </c>
      <c r="D210" s="16" t="s">
        <v>102</v>
      </c>
      <c r="E210" s="16" t="s">
        <v>823</v>
      </c>
      <c r="F210" s="13" t="s">
        <v>822</v>
      </c>
      <c r="G210" s="13" t="s">
        <v>820</v>
      </c>
      <c r="H210" s="16" t="s">
        <v>79</v>
      </c>
      <c r="I210" s="16">
        <v>1</v>
      </c>
      <c r="K210" s="13" t="s">
        <v>100</v>
      </c>
      <c r="M210" s="13" t="s">
        <v>717</v>
      </c>
    </row>
    <row r="211" spans="1:13" ht="15" customHeight="1">
      <c r="A211" s="46">
        <v>44397</v>
      </c>
      <c r="B211" s="13" t="s">
        <v>258</v>
      </c>
      <c r="C211" s="13" t="s">
        <v>269</v>
      </c>
      <c r="D211" s="16" t="s">
        <v>102</v>
      </c>
      <c r="E211" s="16" t="s">
        <v>824</v>
      </c>
      <c r="F211" s="13" t="s">
        <v>227</v>
      </c>
      <c r="G211" s="13" t="s">
        <v>228</v>
      </c>
      <c r="H211" s="16" t="s">
        <v>229</v>
      </c>
      <c r="I211" s="16">
        <v>10</v>
      </c>
      <c r="J211" s="13" t="s">
        <v>334</v>
      </c>
      <c r="K211" s="13" t="s">
        <v>100</v>
      </c>
      <c r="M211" s="13" t="s">
        <v>717</v>
      </c>
    </row>
    <row r="212" spans="1:13" ht="15" customHeight="1">
      <c r="A212" s="46">
        <v>44399</v>
      </c>
      <c r="B212" s="13" t="s">
        <v>719</v>
      </c>
      <c r="C212" s="13" t="s">
        <v>269</v>
      </c>
      <c r="D212" s="16" t="s">
        <v>102</v>
      </c>
      <c r="E212" s="16">
        <v>3336</v>
      </c>
      <c r="F212" s="13" t="s">
        <v>825</v>
      </c>
      <c r="G212" s="13" t="s">
        <v>826</v>
      </c>
      <c r="H212" s="16" t="s">
        <v>79</v>
      </c>
      <c r="I212" s="16">
        <v>30</v>
      </c>
      <c r="K212" s="13" t="s">
        <v>100</v>
      </c>
      <c r="M212" s="13" t="s">
        <v>827</v>
      </c>
    </row>
    <row r="213" spans="1:13" ht="15" customHeight="1">
      <c r="A213" s="46">
        <v>44404</v>
      </c>
      <c r="B213" s="13" t="s">
        <v>273</v>
      </c>
      <c r="C213" s="13" t="s">
        <v>269</v>
      </c>
      <c r="D213" s="16" t="s">
        <v>102</v>
      </c>
      <c r="E213" s="16" t="s">
        <v>835</v>
      </c>
      <c r="F213" s="13" t="s">
        <v>831</v>
      </c>
      <c r="G213" s="13" t="s">
        <v>832</v>
      </c>
      <c r="H213" s="16" t="s">
        <v>87</v>
      </c>
      <c r="I213" s="16">
        <v>13</v>
      </c>
      <c r="J213" s="13" t="s">
        <v>833</v>
      </c>
      <c r="K213" s="13" t="s">
        <v>100</v>
      </c>
      <c r="M213" s="13" t="s">
        <v>834</v>
      </c>
    </row>
    <row r="214" spans="1:13" ht="15" customHeight="1">
      <c r="A214" s="46">
        <v>44406</v>
      </c>
      <c r="B214" s="13" t="s">
        <v>866</v>
      </c>
      <c r="C214" s="13" t="s">
        <v>269</v>
      </c>
      <c r="D214" s="16" t="s">
        <v>102</v>
      </c>
      <c r="E214" s="16" t="s">
        <v>862</v>
      </c>
      <c r="F214" s="13" t="s">
        <v>864</v>
      </c>
      <c r="G214" s="13" t="s">
        <v>863</v>
      </c>
      <c r="H214" s="16" t="s">
        <v>79</v>
      </c>
      <c r="I214" s="16">
        <v>2</v>
      </c>
      <c r="K214" s="13" t="s">
        <v>100</v>
      </c>
      <c r="M214" s="13" t="s">
        <v>865</v>
      </c>
    </row>
    <row r="215" spans="1:13" ht="15" customHeight="1">
      <c r="A215" s="46">
        <v>44413</v>
      </c>
      <c r="B215" s="13" t="s">
        <v>240</v>
      </c>
      <c r="C215" s="13" t="s">
        <v>269</v>
      </c>
      <c r="D215" s="16" t="s">
        <v>102</v>
      </c>
      <c r="E215" s="16" t="s">
        <v>857</v>
      </c>
      <c r="F215" s="13" t="s">
        <v>848</v>
      </c>
      <c r="G215" s="13" t="s">
        <v>852</v>
      </c>
      <c r="H215" s="16" t="s">
        <v>171</v>
      </c>
      <c r="I215" s="16">
        <v>3</v>
      </c>
      <c r="K215" s="13" t="s">
        <v>100</v>
      </c>
      <c r="M215" s="13" t="s">
        <v>856</v>
      </c>
    </row>
    <row r="216" spans="1:13" ht="15" customHeight="1">
      <c r="A216" s="46">
        <v>44413</v>
      </c>
      <c r="B216" s="13" t="s">
        <v>240</v>
      </c>
      <c r="C216" s="13" t="s">
        <v>269</v>
      </c>
      <c r="D216" s="16" t="s">
        <v>102</v>
      </c>
      <c r="E216" s="16" t="s">
        <v>857</v>
      </c>
      <c r="F216" s="13" t="s">
        <v>849</v>
      </c>
      <c r="G216" s="13" t="s">
        <v>853</v>
      </c>
      <c r="H216" s="16" t="s">
        <v>171</v>
      </c>
      <c r="I216" s="16">
        <v>3</v>
      </c>
      <c r="K216" s="13" t="s">
        <v>100</v>
      </c>
      <c r="M216" s="13" t="s">
        <v>856</v>
      </c>
    </row>
    <row r="217" spans="1:13" ht="15" customHeight="1">
      <c r="A217" s="46">
        <v>44413</v>
      </c>
      <c r="B217" s="13" t="s">
        <v>240</v>
      </c>
      <c r="C217" s="13" t="s">
        <v>269</v>
      </c>
      <c r="D217" s="16" t="s">
        <v>102</v>
      </c>
      <c r="E217" s="16" t="s">
        <v>857</v>
      </c>
      <c r="F217" s="13" t="s">
        <v>850</v>
      </c>
      <c r="G217" s="13" t="s">
        <v>854</v>
      </c>
      <c r="H217" s="16" t="s">
        <v>171</v>
      </c>
      <c r="I217" s="16">
        <v>3</v>
      </c>
      <c r="K217" s="13" t="s">
        <v>100</v>
      </c>
      <c r="M217" s="13" t="s">
        <v>856</v>
      </c>
    </row>
    <row r="218" spans="1:13" ht="15" customHeight="1">
      <c r="A218" s="46">
        <v>44413</v>
      </c>
      <c r="B218" s="13" t="s">
        <v>240</v>
      </c>
      <c r="C218" s="13" t="s">
        <v>269</v>
      </c>
      <c r="D218" s="16" t="s">
        <v>102</v>
      </c>
      <c r="E218" s="16" t="s">
        <v>857</v>
      </c>
      <c r="F218" s="13" t="s">
        <v>851</v>
      </c>
      <c r="G218" s="13" t="s">
        <v>855</v>
      </c>
      <c r="H218" s="16" t="s">
        <v>79</v>
      </c>
      <c r="I218" s="16">
        <v>3</v>
      </c>
      <c r="K218" s="13" t="s">
        <v>100</v>
      </c>
      <c r="M218" s="13" t="s">
        <v>856</v>
      </c>
    </row>
    <row r="219" spans="1:13" ht="15" customHeight="1">
      <c r="A219" s="46">
        <v>44413</v>
      </c>
      <c r="B219" s="13" t="s">
        <v>861</v>
      </c>
      <c r="C219" s="13" t="s">
        <v>269</v>
      </c>
      <c r="D219" s="16" t="s">
        <v>102</v>
      </c>
      <c r="E219" s="16" t="s">
        <v>860</v>
      </c>
      <c r="F219" s="13" t="s">
        <v>859</v>
      </c>
      <c r="G219" s="13" t="s">
        <v>858</v>
      </c>
      <c r="H219" s="16" t="s">
        <v>79</v>
      </c>
      <c r="I219" s="16">
        <v>3</v>
      </c>
      <c r="K219" s="13" t="s">
        <v>100</v>
      </c>
      <c r="M219" s="13" t="s">
        <v>856</v>
      </c>
    </row>
    <row r="220" spans="1:13" ht="15" customHeight="1">
      <c r="A220" s="46">
        <v>44415</v>
      </c>
      <c r="B220" s="13" t="s">
        <v>638</v>
      </c>
      <c r="C220" s="13" t="s">
        <v>269</v>
      </c>
      <c r="D220" s="16" t="s">
        <v>102</v>
      </c>
      <c r="E220" s="16" t="s">
        <v>870</v>
      </c>
      <c r="F220" s="13" t="s">
        <v>867</v>
      </c>
      <c r="G220" s="13" t="s">
        <v>868</v>
      </c>
      <c r="H220" s="16" t="s">
        <v>2</v>
      </c>
      <c r="I220" s="16">
        <v>2</v>
      </c>
      <c r="K220" s="13" t="s">
        <v>100</v>
      </c>
      <c r="M220" s="13" t="s">
        <v>869</v>
      </c>
    </row>
    <row r="221" spans="1:13" ht="15" customHeight="1">
      <c r="A221" s="46">
        <v>44417</v>
      </c>
      <c r="B221" s="13" t="s">
        <v>878</v>
      </c>
      <c r="C221" s="13" t="s">
        <v>269</v>
      </c>
      <c r="D221" s="16" t="s">
        <v>102</v>
      </c>
      <c r="E221" s="16" t="s">
        <v>877</v>
      </c>
      <c r="F221" s="13" t="s">
        <v>873</v>
      </c>
      <c r="G221" s="13" t="s">
        <v>874</v>
      </c>
      <c r="H221" s="16" t="s">
        <v>80</v>
      </c>
      <c r="I221" s="16">
        <v>30</v>
      </c>
      <c r="J221" s="13" t="s">
        <v>875</v>
      </c>
      <c r="K221" s="13" t="s">
        <v>100</v>
      </c>
      <c r="M221" s="13" t="s">
        <v>876</v>
      </c>
    </row>
    <row r="222" spans="1:13" ht="15" customHeight="1">
      <c r="A222" s="46">
        <v>44420</v>
      </c>
      <c r="B222" s="13" t="s">
        <v>124</v>
      </c>
      <c r="C222" s="13" t="s">
        <v>269</v>
      </c>
      <c r="D222" s="16" t="s">
        <v>102</v>
      </c>
      <c r="E222" s="16" t="s">
        <v>895</v>
      </c>
      <c r="F222" s="13" t="s">
        <v>893</v>
      </c>
      <c r="G222" s="13" t="s">
        <v>894</v>
      </c>
      <c r="H222" s="16" t="s">
        <v>97</v>
      </c>
      <c r="I222" s="16">
        <v>4</v>
      </c>
      <c r="K222" s="13" t="s">
        <v>100</v>
      </c>
      <c r="M222" s="13" t="s">
        <v>896</v>
      </c>
    </row>
    <row r="223" spans="1:13" ht="15" customHeight="1">
      <c r="A223" s="46">
        <v>44424</v>
      </c>
      <c r="B223" s="13" t="s">
        <v>253</v>
      </c>
      <c r="C223" s="13" t="s">
        <v>269</v>
      </c>
      <c r="D223" s="16" t="s">
        <v>102</v>
      </c>
      <c r="E223" s="16" t="s">
        <v>905</v>
      </c>
      <c r="F223" s="13" t="s">
        <v>105</v>
      </c>
      <c r="G223" s="13" t="s">
        <v>616</v>
      </c>
      <c r="H223" s="16" t="s">
        <v>92</v>
      </c>
      <c r="I223" s="16">
        <v>400</v>
      </c>
      <c r="J223" s="13" t="s">
        <v>352</v>
      </c>
      <c r="K223" s="13" t="s">
        <v>100</v>
      </c>
      <c r="M223" s="13" t="s">
        <v>827</v>
      </c>
    </row>
    <row r="224" spans="1:13" ht="15" customHeight="1">
      <c r="A224" s="46">
        <v>44431</v>
      </c>
      <c r="B224" s="13" t="s">
        <v>446</v>
      </c>
      <c r="C224" s="13" t="s">
        <v>269</v>
      </c>
      <c r="D224" s="16" t="s">
        <v>102</v>
      </c>
      <c r="E224" s="16" t="s">
        <v>911</v>
      </c>
      <c r="F224" s="13" t="s">
        <v>908</v>
      </c>
      <c r="G224" s="13" t="s">
        <v>909</v>
      </c>
      <c r="H224" s="16" t="s">
        <v>82</v>
      </c>
      <c r="I224" s="16">
        <v>100</v>
      </c>
      <c r="K224" s="13" t="s">
        <v>100</v>
      </c>
      <c r="M224" s="13" t="s">
        <v>910</v>
      </c>
    </row>
    <row r="225" spans="1:13" ht="15" customHeight="1">
      <c r="A225" s="46">
        <v>44433</v>
      </c>
      <c r="B225" s="13" t="s">
        <v>724</v>
      </c>
      <c r="C225" s="13" t="s">
        <v>269</v>
      </c>
      <c r="D225" s="16" t="s">
        <v>102</v>
      </c>
      <c r="E225" s="16" t="s">
        <v>916</v>
      </c>
      <c r="F225" s="13" t="s">
        <v>913</v>
      </c>
      <c r="G225" s="13" t="s">
        <v>914</v>
      </c>
      <c r="H225" s="16" t="s">
        <v>79</v>
      </c>
      <c r="I225" s="16">
        <v>1</v>
      </c>
      <c r="K225" s="13" t="s">
        <v>100</v>
      </c>
      <c r="M225" s="13" t="s">
        <v>915</v>
      </c>
    </row>
    <row r="226" spans="1:13" ht="15" customHeight="1">
      <c r="A226" s="46">
        <v>44434</v>
      </c>
      <c r="B226" s="13" t="s">
        <v>921</v>
      </c>
      <c r="C226" s="13" t="s">
        <v>269</v>
      </c>
      <c r="D226" s="16" t="s">
        <v>102</v>
      </c>
      <c r="E226" s="16" t="s">
        <v>920</v>
      </c>
      <c r="F226" s="13" t="s">
        <v>917</v>
      </c>
      <c r="G226" s="13" t="s">
        <v>918</v>
      </c>
      <c r="H226" s="16" t="s">
        <v>79</v>
      </c>
      <c r="I226" s="16">
        <v>100</v>
      </c>
      <c r="K226" s="13" t="s">
        <v>100</v>
      </c>
      <c r="L226" s="13" t="s">
        <v>922</v>
      </c>
      <c r="M226" s="13" t="s">
        <v>919</v>
      </c>
    </row>
    <row r="227" spans="1:13" ht="15" customHeight="1">
      <c r="A227" s="46">
        <v>44438</v>
      </c>
      <c r="B227" s="13" t="s">
        <v>751</v>
      </c>
      <c r="C227" s="13" t="s">
        <v>269</v>
      </c>
      <c r="D227" s="16" t="s">
        <v>102</v>
      </c>
      <c r="E227" s="16" t="s">
        <v>923</v>
      </c>
      <c r="F227" s="13" t="s">
        <v>836</v>
      </c>
      <c r="G227" s="13" t="s">
        <v>841</v>
      </c>
      <c r="H227" s="16" t="s">
        <v>82</v>
      </c>
      <c r="I227" s="16">
        <v>18</v>
      </c>
      <c r="K227" s="13" t="s">
        <v>100</v>
      </c>
      <c r="M227" s="13" t="s">
        <v>926</v>
      </c>
    </row>
    <row r="228" spans="1:13" ht="15" customHeight="1">
      <c r="A228" s="46">
        <v>44438</v>
      </c>
      <c r="B228" s="13" t="s">
        <v>751</v>
      </c>
      <c r="C228" s="13" t="s">
        <v>269</v>
      </c>
      <c r="D228" s="16" t="s">
        <v>102</v>
      </c>
      <c r="E228" s="16" t="s">
        <v>923</v>
      </c>
      <c r="F228" s="13" t="s">
        <v>924</v>
      </c>
      <c r="G228" s="13" t="s">
        <v>842</v>
      </c>
      <c r="H228" s="16" t="s">
        <v>82</v>
      </c>
      <c r="I228" s="16">
        <v>18</v>
      </c>
      <c r="K228" s="13" t="s">
        <v>100</v>
      </c>
      <c r="M228" s="13" t="s">
        <v>926</v>
      </c>
    </row>
    <row r="229" spans="1:13" ht="15" customHeight="1">
      <c r="A229" s="46">
        <v>44438</v>
      </c>
      <c r="B229" s="13" t="s">
        <v>751</v>
      </c>
      <c r="C229" s="13" t="s">
        <v>269</v>
      </c>
      <c r="D229" s="16" t="s">
        <v>102</v>
      </c>
      <c r="E229" s="16" t="s">
        <v>923</v>
      </c>
      <c r="F229" s="13" t="s">
        <v>837</v>
      </c>
      <c r="G229" s="13" t="s">
        <v>843</v>
      </c>
      <c r="H229" s="16" t="s">
        <v>82</v>
      </c>
      <c r="I229" s="16">
        <v>5</v>
      </c>
      <c r="K229" s="13" t="s">
        <v>100</v>
      </c>
      <c r="M229" s="13" t="s">
        <v>926</v>
      </c>
    </row>
    <row r="230" spans="1:13" ht="15" customHeight="1">
      <c r="A230" s="46">
        <v>44438</v>
      </c>
      <c r="B230" s="13" t="s">
        <v>751</v>
      </c>
      <c r="C230" s="13" t="s">
        <v>269</v>
      </c>
      <c r="D230" s="16" t="s">
        <v>102</v>
      </c>
      <c r="E230" s="16" t="s">
        <v>923</v>
      </c>
      <c r="F230" s="13" t="s">
        <v>838</v>
      </c>
      <c r="G230" s="13" t="s">
        <v>844</v>
      </c>
      <c r="H230" s="16" t="s">
        <v>82</v>
      </c>
      <c r="I230" s="16">
        <v>5</v>
      </c>
      <c r="K230" s="13" t="s">
        <v>100</v>
      </c>
      <c r="M230" s="13" t="s">
        <v>926</v>
      </c>
    </row>
    <row r="231" spans="1:13" ht="15" customHeight="1">
      <c r="A231" s="46">
        <v>44438</v>
      </c>
      <c r="B231" s="13" t="s">
        <v>751</v>
      </c>
      <c r="C231" s="13" t="s">
        <v>269</v>
      </c>
      <c r="D231" s="16" t="s">
        <v>102</v>
      </c>
      <c r="E231" s="16" t="s">
        <v>923</v>
      </c>
      <c r="F231" s="13" t="s">
        <v>839</v>
      </c>
      <c r="G231" s="13" t="s">
        <v>845</v>
      </c>
      <c r="H231" s="16" t="s">
        <v>92</v>
      </c>
      <c r="I231" s="16">
        <v>20</v>
      </c>
      <c r="K231" s="13" t="s">
        <v>100</v>
      </c>
      <c r="M231" s="13" t="s">
        <v>926</v>
      </c>
    </row>
    <row r="232" spans="1:13" ht="15" customHeight="1">
      <c r="A232" s="46">
        <v>44438</v>
      </c>
      <c r="B232" s="13" t="s">
        <v>751</v>
      </c>
      <c r="C232" s="13" t="s">
        <v>269</v>
      </c>
      <c r="D232" s="16" t="s">
        <v>102</v>
      </c>
      <c r="E232" s="16" t="s">
        <v>923</v>
      </c>
      <c r="F232" s="13" t="s">
        <v>925</v>
      </c>
      <c r="G232" s="13" t="s">
        <v>846</v>
      </c>
      <c r="H232" s="16" t="s">
        <v>92</v>
      </c>
      <c r="I232" s="16">
        <v>20</v>
      </c>
      <c r="K232" s="13" t="s">
        <v>100</v>
      </c>
      <c r="M232" s="13" t="s">
        <v>926</v>
      </c>
    </row>
    <row r="233" spans="1:13" ht="15" customHeight="1">
      <c r="A233" s="46">
        <v>44438</v>
      </c>
      <c r="B233" s="13" t="s">
        <v>751</v>
      </c>
      <c r="C233" s="13" t="s">
        <v>269</v>
      </c>
      <c r="D233" s="16" t="s">
        <v>102</v>
      </c>
      <c r="E233" s="16" t="s">
        <v>923</v>
      </c>
      <c r="F233" s="13" t="s">
        <v>840</v>
      </c>
      <c r="G233" s="13" t="s">
        <v>847</v>
      </c>
      <c r="H233" s="16" t="s">
        <v>92</v>
      </c>
      <c r="I233" s="16">
        <v>40</v>
      </c>
      <c r="K233" s="13" t="s">
        <v>100</v>
      </c>
      <c r="M233" s="13" t="s">
        <v>926</v>
      </c>
    </row>
    <row r="234" spans="1:13" ht="15" customHeight="1">
      <c r="A234" s="46">
        <v>44439</v>
      </c>
      <c r="B234" s="13" t="s">
        <v>929</v>
      </c>
      <c r="C234" s="13" t="s">
        <v>269</v>
      </c>
      <c r="D234" s="16" t="s">
        <v>102</v>
      </c>
      <c r="E234" s="16" t="s">
        <v>928</v>
      </c>
      <c r="F234" s="13" t="s">
        <v>108</v>
      </c>
      <c r="G234" s="13" t="s">
        <v>116</v>
      </c>
      <c r="H234" s="16" t="s">
        <v>81</v>
      </c>
      <c r="I234" s="16">
        <v>40</v>
      </c>
      <c r="J234" s="13" t="s">
        <v>325</v>
      </c>
      <c r="K234" s="13" t="s">
        <v>100</v>
      </c>
      <c r="M234" s="13" t="s">
        <v>927</v>
      </c>
    </row>
    <row r="235" spans="1:13" ht="15" customHeight="1">
      <c r="A235" s="46">
        <v>44440</v>
      </c>
      <c r="B235" s="13" t="s">
        <v>542</v>
      </c>
      <c r="C235" s="13" t="s">
        <v>269</v>
      </c>
      <c r="D235" s="16" t="s">
        <v>102</v>
      </c>
      <c r="E235" s="16" t="s">
        <v>933</v>
      </c>
      <c r="F235" s="13" t="s">
        <v>931</v>
      </c>
      <c r="G235" s="13" t="s">
        <v>930</v>
      </c>
      <c r="H235" s="16" t="s">
        <v>79</v>
      </c>
      <c r="I235" s="16">
        <v>10</v>
      </c>
      <c r="K235" s="13" t="s">
        <v>100</v>
      </c>
      <c r="M235" s="13" t="s">
        <v>932</v>
      </c>
    </row>
    <row r="236" spans="1:13" ht="15" customHeight="1">
      <c r="A236" s="46">
        <v>44445</v>
      </c>
      <c r="B236" s="13" t="s">
        <v>348</v>
      </c>
      <c r="C236" s="13" t="s">
        <v>269</v>
      </c>
      <c r="D236" s="16" t="s">
        <v>102</v>
      </c>
      <c r="E236" s="16" t="s">
        <v>938</v>
      </c>
      <c r="F236" s="13" t="s">
        <v>935</v>
      </c>
      <c r="G236" s="13" t="s">
        <v>934</v>
      </c>
      <c r="H236" s="16" t="s">
        <v>79</v>
      </c>
      <c r="I236" s="16">
        <v>2</v>
      </c>
      <c r="K236" s="13" t="s">
        <v>100</v>
      </c>
      <c r="L236" s="13" t="s">
        <v>937</v>
      </c>
      <c r="M236" s="13" t="s">
        <v>936</v>
      </c>
    </row>
    <row r="237" spans="1:13" ht="15" customHeight="1">
      <c r="A237" s="46">
        <v>44449</v>
      </c>
      <c r="B237" s="13" t="s">
        <v>663</v>
      </c>
      <c r="C237" s="13" t="s">
        <v>269</v>
      </c>
      <c r="D237" s="16" t="s">
        <v>102</v>
      </c>
      <c r="E237" s="16" t="s">
        <v>941</v>
      </c>
      <c r="F237" s="13" t="s">
        <v>940</v>
      </c>
      <c r="G237" s="13" t="s">
        <v>939</v>
      </c>
      <c r="H237" s="16" t="s">
        <v>2</v>
      </c>
      <c r="I237" s="16">
        <v>2</v>
      </c>
      <c r="K237" s="13" t="s">
        <v>100</v>
      </c>
      <c r="M237" s="13" t="s">
        <v>919</v>
      </c>
    </row>
    <row r="238" spans="1:13" ht="15" customHeight="1">
      <c r="A238" s="46">
        <v>44453</v>
      </c>
      <c r="B238" s="13" t="s">
        <v>811</v>
      </c>
      <c r="C238" s="13" t="s">
        <v>269</v>
      </c>
      <c r="D238" s="16" t="s">
        <v>102</v>
      </c>
      <c r="E238" s="16" t="s">
        <v>948</v>
      </c>
      <c r="F238" s="13" t="s">
        <v>944</v>
      </c>
      <c r="G238" s="13" t="s">
        <v>946</v>
      </c>
      <c r="H238" s="16" t="s">
        <v>80</v>
      </c>
      <c r="I238" s="16">
        <v>10</v>
      </c>
      <c r="K238" s="13" t="s">
        <v>100</v>
      </c>
      <c r="M238" s="13" t="s">
        <v>949</v>
      </c>
    </row>
    <row r="239" spans="1:13" ht="15" customHeight="1">
      <c r="A239" s="46">
        <v>44453</v>
      </c>
      <c r="B239" s="13" t="s">
        <v>811</v>
      </c>
      <c r="C239" s="13" t="s">
        <v>269</v>
      </c>
      <c r="D239" s="16" t="s">
        <v>102</v>
      </c>
      <c r="E239" s="16" t="s">
        <v>948</v>
      </c>
      <c r="F239" s="13" t="s">
        <v>945</v>
      </c>
      <c r="G239" s="13" t="s">
        <v>947</v>
      </c>
      <c r="H239" s="16" t="s">
        <v>80</v>
      </c>
      <c r="I239" s="16">
        <v>10</v>
      </c>
      <c r="K239" s="13" t="s">
        <v>100</v>
      </c>
      <c r="M239" s="13" t="s">
        <v>949</v>
      </c>
    </row>
    <row r="240" spans="1:13" ht="15" customHeight="1">
      <c r="A240" s="46">
        <v>44462</v>
      </c>
      <c r="B240" s="13" t="s">
        <v>446</v>
      </c>
      <c r="C240" s="13" t="s">
        <v>269</v>
      </c>
      <c r="D240" s="16" t="s">
        <v>102</v>
      </c>
      <c r="E240" s="16" t="s">
        <v>955</v>
      </c>
      <c r="F240" s="13" t="s">
        <v>684</v>
      </c>
      <c r="G240" s="13" t="s">
        <v>683</v>
      </c>
      <c r="H240" s="16" t="s">
        <v>81</v>
      </c>
      <c r="I240" s="16">
        <v>20</v>
      </c>
      <c r="J240" s="13" t="s">
        <v>953</v>
      </c>
      <c r="K240" s="13" t="s">
        <v>100</v>
      </c>
      <c r="M240" s="13" t="s">
        <v>954</v>
      </c>
    </row>
    <row r="241" spans="1:13" ht="15" customHeight="1">
      <c r="A241" s="46">
        <v>44462</v>
      </c>
      <c r="B241" s="13" t="s">
        <v>613</v>
      </c>
      <c r="C241" s="13" t="s">
        <v>269</v>
      </c>
      <c r="D241" s="16" t="s">
        <v>102</v>
      </c>
      <c r="E241" s="16" t="s">
        <v>956</v>
      </c>
      <c r="F241" s="13" t="s">
        <v>665</v>
      </c>
      <c r="G241" s="13" t="s">
        <v>664</v>
      </c>
      <c r="H241" s="16" t="s">
        <v>79</v>
      </c>
      <c r="I241" s="16">
        <v>2</v>
      </c>
      <c r="J241" s="13" t="s">
        <v>671</v>
      </c>
      <c r="K241" s="13" t="s">
        <v>100</v>
      </c>
      <c r="M241" s="13" t="s">
        <v>932</v>
      </c>
    </row>
    <row r="242" spans="1:13" ht="15" customHeight="1">
      <c r="A242" s="46">
        <v>44462</v>
      </c>
      <c r="B242" s="13" t="s">
        <v>613</v>
      </c>
      <c r="C242" s="13" t="s">
        <v>269</v>
      </c>
      <c r="D242" s="16" t="s">
        <v>102</v>
      </c>
      <c r="E242" s="16" t="s">
        <v>956</v>
      </c>
      <c r="F242" s="13" t="s">
        <v>667</v>
      </c>
      <c r="G242" s="13" t="s">
        <v>666</v>
      </c>
      <c r="H242" s="16" t="s">
        <v>92</v>
      </c>
      <c r="I242" s="16">
        <v>20</v>
      </c>
      <c r="J242" s="13" t="s">
        <v>672</v>
      </c>
      <c r="K242" s="13" t="s">
        <v>100</v>
      </c>
      <c r="M242" s="13" t="s">
        <v>932</v>
      </c>
    </row>
    <row r="243" spans="1:13" ht="15" customHeight="1">
      <c r="A243" s="46">
        <v>44470</v>
      </c>
      <c r="B243" s="13" t="s">
        <v>542</v>
      </c>
      <c r="C243" s="13" t="s">
        <v>269</v>
      </c>
      <c r="D243" s="16" t="s">
        <v>102</v>
      </c>
      <c r="E243" s="16" t="s">
        <v>957</v>
      </c>
      <c r="F243" s="13">
        <v>120</v>
      </c>
      <c r="G243" s="13" t="s">
        <v>205</v>
      </c>
      <c r="H243" s="16" t="s">
        <v>82</v>
      </c>
      <c r="I243" s="16">
        <v>400</v>
      </c>
      <c r="J243" s="13" t="s">
        <v>285</v>
      </c>
      <c r="K243" s="13" t="s">
        <v>100</v>
      </c>
      <c r="M243" s="13" t="s">
        <v>958</v>
      </c>
    </row>
    <row r="244" spans="1:13" ht="15" customHeight="1">
      <c r="A244" s="46">
        <v>44484</v>
      </c>
      <c r="B244" s="13" t="s">
        <v>973</v>
      </c>
      <c r="C244" s="13" t="s">
        <v>269</v>
      </c>
      <c r="D244" s="16" t="s">
        <v>102</v>
      </c>
      <c r="E244" s="16" t="s">
        <v>972</v>
      </c>
      <c r="F244" s="13" t="s">
        <v>825</v>
      </c>
      <c r="G244" s="13" t="s">
        <v>826</v>
      </c>
      <c r="H244" s="16" t="s">
        <v>79</v>
      </c>
      <c r="I244" s="16">
        <v>10</v>
      </c>
      <c r="J244" s="13" t="s">
        <v>959</v>
      </c>
      <c r="K244" s="13" t="s">
        <v>100</v>
      </c>
      <c r="M244" s="13" t="s">
        <v>971</v>
      </c>
    </row>
    <row r="245" spans="1:13" ht="15" customHeight="1">
      <c r="A245" s="46">
        <v>44487</v>
      </c>
      <c r="B245" s="13" t="s">
        <v>122</v>
      </c>
      <c r="C245" s="13" t="s">
        <v>269</v>
      </c>
      <c r="D245" s="16" t="s">
        <v>102</v>
      </c>
      <c r="E245" s="16" t="s">
        <v>975</v>
      </c>
      <c r="F245" s="13" t="s">
        <v>108</v>
      </c>
      <c r="G245" s="13" t="s">
        <v>116</v>
      </c>
      <c r="H245" s="16" t="s">
        <v>81</v>
      </c>
      <c r="I245" s="16">
        <v>80</v>
      </c>
      <c r="J245" s="13" t="s">
        <v>325</v>
      </c>
      <c r="K245" s="13" t="s">
        <v>100</v>
      </c>
      <c r="M245" s="13" t="s">
        <v>974</v>
      </c>
    </row>
  </sheetData>
  <dataConsolidate link="1">
    <dataRefs count="1">
      <dataRef ref="D8:D19" sheet="WH"/>
    </dataRefs>
  </dataConsolidate>
  <mergeCells count="2">
    <mergeCell ref="O1:P2"/>
    <mergeCell ref="A1:D1"/>
  </mergeCells>
  <phoneticPr fontId="24"/>
  <printOptions horizontalCentered="1"/>
  <pageMargins left="0.39370078740157483" right="0.31496062992125984" top="0.39370078740157483" bottom="0.39370078740157483" header="0" footer="0"/>
  <pageSetup paperSize="9" scale="52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0547-78A7-4478-B75C-4DCC43839C04}">
  <sheetPr codeName="Sheet7"/>
  <dimension ref="A1"/>
  <sheetViews>
    <sheetView workbookViewId="0">
      <selection activeCell="G11" sqref="G11"/>
    </sheetView>
  </sheetViews>
  <sheetFormatPr defaultRowHeight="14.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e_new">
                <anchor moveWithCells="1" sizeWithCells="1">
                  <from>
                    <xdr:col>3</xdr:col>
                    <xdr:colOff>546100</xdr:colOff>
                    <xdr:row>2</xdr:row>
                    <xdr:rowOff>57150</xdr:rowOff>
                  </from>
                  <to>
                    <xdr:col>5</xdr:col>
                    <xdr:colOff>412750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21"/>
  <sheetViews>
    <sheetView workbookViewId="0">
      <selection activeCell="G9" sqref="G9"/>
    </sheetView>
  </sheetViews>
  <sheetFormatPr defaultRowHeight="14.5"/>
  <sheetData>
    <row r="1" spans="1:1">
      <c r="A1" s="56" t="s">
        <v>2</v>
      </c>
    </row>
    <row r="2" spans="1:1">
      <c r="A2" t="s">
        <v>81</v>
      </c>
    </row>
    <row r="3" spans="1:1">
      <c r="A3" t="s">
        <v>88</v>
      </c>
    </row>
    <row r="4" spans="1:1">
      <c r="A4" t="s">
        <v>80</v>
      </c>
    </row>
    <row r="5" spans="1:1">
      <c r="A5" t="s">
        <v>84</v>
      </c>
    </row>
    <row r="6" spans="1:1">
      <c r="A6" t="s">
        <v>85</v>
      </c>
    </row>
    <row r="7" spans="1:1">
      <c r="A7" t="s">
        <v>86</v>
      </c>
    </row>
    <row r="8" spans="1:1">
      <c r="A8" t="s">
        <v>87</v>
      </c>
    </row>
    <row r="9" spans="1:1">
      <c r="A9" t="s">
        <v>79</v>
      </c>
    </row>
    <row r="10" spans="1:1">
      <c r="A10" t="s">
        <v>89</v>
      </c>
    </row>
    <row r="11" spans="1:1">
      <c r="A11" t="s">
        <v>82</v>
      </c>
    </row>
    <row r="12" spans="1:1">
      <c r="A12" t="s">
        <v>90</v>
      </c>
    </row>
    <row r="13" spans="1:1">
      <c r="A13" t="s">
        <v>91</v>
      </c>
    </row>
    <row r="14" spans="1:1">
      <c r="A14" t="s">
        <v>92</v>
      </c>
    </row>
    <row r="15" spans="1:1">
      <c r="A15" t="s">
        <v>93</v>
      </c>
    </row>
    <row r="16" spans="1:1">
      <c r="A16" t="s">
        <v>94</v>
      </c>
    </row>
    <row r="17" spans="1:1">
      <c r="A17" t="s">
        <v>95</v>
      </c>
    </row>
    <row r="18" spans="1:1">
      <c r="A18" t="s">
        <v>96</v>
      </c>
    </row>
    <row r="19" spans="1:1">
      <c r="A19" t="s">
        <v>97</v>
      </c>
    </row>
    <row r="20" spans="1:1">
      <c r="A20" t="s">
        <v>229</v>
      </c>
    </row>
    <row r="21" spans="1:1">
      <c r="A21" t="s">
        <v>171</v>
      </c>
    </row>
  </sheetData>
  <phoneticPr fontId="2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WH</vt:lpstr>
      <vt:lpstr>EF</vt:lpstr>
      <vt:lpstr>IF</vt:lpstr>
      <vt:lpstr>PF</vt:lpstr>
      <vt:lpstr>IH</vt:lpstr>
      <vt:lpstr>EH</vt:lpstr>
      <vt:lpstr>PH</vt:lpstr>
      <vt:lpstr>NEW</vt:lpstr>
      <vt:lpstr>Unit</vt:lpstr>
      <vt:lpstr>EF!Print_Area</vt:lpstr>
      <vt:lpstr>IF!Print_Area</vt:lpstr>
      <vt:lpstr>PF!Print_Area</vt:lpstr>
      <vt:lpstr>WH!Print_Area</vt:lpstr>
      <vt:lpstr>WH!Print_Titles</vt:lpstr>
      <vt:lpstr>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NGUYEN THANH</dc:creator>
  <cp:lastModifiedBy>SMC-TEN</cp:lastModifiedBy>
  <cp:lastPrinted>2022-09-19T01:24:17Z</cp:lastPrinted>
  <dcterms:created xsi:type="dcterms:W3CDTF">2017-08-23T08:13:19Z</dcterms:created>
  <dcterms:modified xsi:type="dcterms:W3CDTF">2023-05-08T08:11:31Z</dcterms:modified>
</cp:coreProperties>
</file>