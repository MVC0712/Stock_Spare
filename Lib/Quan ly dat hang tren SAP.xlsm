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oduction (生産)\Extrusion (押出)\7. PR\"/>
    </mc:Choice>
  </mc:AlternateContent>
  <xr:revisionPtr revIDLastSave="0" documentId="13_ncr:1_{6B622735-6695-4167-9F72-93A9A81F357B}" xr6:coauthVersionLast="36" xr6:coauthVersionMax="47" xr10:uidLastSave="{00000000-0000-0000-0000-000000000000}"/>
  <bookViews>
    <workbookView xWindow="-110" yWindow="-110" windowWidth="19420" windowHeight="10420" xr2:uid="{031C6201-0681-46FF-9305-470D5E58D4AE}"/>
  </bookViews>
  <sheets>
    <sheet name="Extrusion" sheetId="1" r:id="rId1"/>
    <sheet name="Dầu DO" sheetId="9" r:id="rId2"/>
    <sheet name="HÀNG NỘI CHẾ" sheetId="4" r:id="rId3"/>
    <sheet name="LƯỠI CƯA" sheetId="8" r:id="rId4"/>
    <sheet name="NONSAP" sheetId="5" r:id="rId5"/>
    <sheet name="Billet Casting" sheetId="7" r:id="rId6"/>
    <sheet name="Data" sheetId="2" r:id="rId7"/>
  </sheets>
  <functionGroups builtInGroupCount="19"/>
  <externalReferences>
    <externalReference r:id="rId8"/>
    <externalReference r:id="rId9"/>
  </externalReferences>
  <definedNames>
    <definedName name="_xlnm._FilterDatabase" localSheetId="0" hidden="1">Extrusion!$D$677:$T$677</definedName>
    <definedName name="_xlnm.Print_Area" localSheetId="0">Extrusion!$A$1:$AC$559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910" i="1" l="1"/>
  <c r="S911" i="1"/>
  <c r="S912" i="1"/>
  <c r="S913" i="1"/>
  <c r="S909" i="1"/>
  <c r="S908" i="1" l="1"/>
  <c r="S907" i="1"/>
  <c r="S906" i="1" l="1"/>
  <c r="S905" i="1"/>
  <c r="S904" i="1"/>
  <c r="S903" i="1"/>
  <c r="S877" i="1" l="1"/>
  <c r="S876" i="1"/>
  <c r="S875" i="1"/>
  <c r="S902" i="1" l="1"/>
  <c r="S861" i="1" l="1"/>
  <c r="S865" i="1"/>
  <c r="S866" i="1"/>
  <c r="S867" i="1"/>
  <c r="S868" i="1"/>
  <c r="S870" i="1"/>
  <c r="S871" i="1"/>
  <c r="S901" i="1" l="1"/>
  <c r="S900" i="1" l="1"/>
  <c r="S899" i="1" l="1"/>
  <c r="S898" i="1"/>
  <c r="S891" i="1" l="1"/>
  <c r="S892" i="1"/>
  <c r="S893" i="1"/>
  <c r="S894" i="1"/>
  <c r="S895" i="1"/>
  <c r="S896" i="1"/>
  <c r="S897" i="1"/>
  <c r="I1" i="9" l="1"/>
  <c r="S890" i="1" l="1"/>
  <c r="S889" i="1" l="1"/>
  <c r="S884" i="1" l="1"/>
  <c r="S883" i="1"/>
  <c r="S885" i="1" l="1"/>
  <c r="S886" i="1"/>
  <c r="S887" i="1"/>
  <c r="S888" i="1"/>
  <c r="S882" i="1"/>
  <c r="S881" i="1" l="1"/>
  <c r="S880" i="1"/>
  <c r="S879" i="1" l="1"/>
  <c r="S878" i="1" l="1"/>
  <c r="S874" i="1" l="1"/>
  <c r="S830" i="1"/>
  <c r="S872" i="1"/>
  <c r="S860" i="1" l="1"/>
  <c r="S862" i="1"/>
  <c r="S863" i="1"/>
  <c r="S864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 l="1"/>
  <c r="S844" i="1" l="1"/>
  <c r="S845" i="1"/>
  <c r="S846" i="1"/>
  <c r="S843" i="1"/>
  <c r="S842" i="1" l="1"/>
  <c r="S838" i="1" l="1"/>
  <c r="S839" i="1"/>
  <c r="S840" i="1"/>
  <c r="S841" i="1"/>
  <c r="S837" i="1" l="1"/>
  <c r="S836" i="1"/>
  <c r="S825" i="1" l="1"/>
  <c r="S835" i="1" l="1"/>
  <c r="S834" i="1" l="1"/>
  <c r="S833" i="1"/>
  <c r="S832" i="1"/>
  <c r="S831" i="1"/>
  <c r="S829" i="1" l="1"/>
  <c r="S826" i="1" l="1"/>
  <c r="S827" i="1"/>
  <c r="S828" i="1"/>
  <c r="S824" i="1" l="1"/>
  <c r="S822" i="1" l="1"/>
  <c r="S823" i="1"/>
  <c r="S821" i="1"/>
  <c r="S820" i="1" l="1"/>
  <c r="S819" i="1"/>
  <c r="S818" i="1"/>
  <c r="S817" i="1"/>
  <c r="S816" i="1"/>
  <c r="S815" i="1"/>
  <c r="S814" i="1" l="1"/>
  <c r="S811" i="1" l="1"/>
  <c r="S810" i="1" l="1"/>
  <c r="S809" i="1" l="1"/>
  <c r="S808" i="1"/>
  <c r="S770" i="1" l="1"/>
  <c r="S762" i="1" l="1"/>
  <c r="S759" i="1"/>
  <c r="S763" i="1"/>
  <c r="S760" i="1"/>
  <c r="S764" i="1"/>
  <c r="S765" i="1"/>
  <c r="S761" i="1"/>
  <c r="S766" i="1"/>
  <c r="S767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802" i="1" l="1"/>
  <c r="S801" i="1"/>
  <c r="S800" i="1"/>
  <c r="S799" i="1"/>
  <c r="S803" i="1" l="1"/>
  <c r="S804" i="1"/>
  <c r="S805" i="1"/>
  <c r="S806" i="1"/>
  <c r="S807" i="1"/>
  <c r="S812" i="1"/>
  <c r="S813" i="1"/>
  <c r="S793" i="1"/>
  <c r="S792" i="1"/>
  <c r="S790" i="1" l="1"/>
  <c r="S791" i="1"/>
  <c r="S794" i="1"/>
  <c r="S795" i="1"/>
  <c r="S796" i="1"/>
  <c r="S797" i="1"/>
  <c r="S798" i="1"/>
  <c r="S789" i="1" l="1"/>
  <c r="S780" i="1" l="1"/>
  <c r="S781" i="1"/>
  <c r="S782" i="1"/>
  <c r="S783" i="1"/>
  <c r="S784" i="1"/>
  <c r="S785" i="1"/>
  <c r="S786" i="1"/>
  <c r="S787" i="1"/>
  <c r="S788" i="1"/>
  <c r="S779" i="1" l="1"/>
  <c r="S778" i="1" l="1"/>
  <c r="S777" i="1" l="1"/>
  <c r="S776" i="1" l="1"/>
  <c r="S775" i="1" l="1"/>
  <c r="S774" i="1" l="1"/>
  <c r="S773" i="1"/>
  <c r="S772" i="1" l="1"/>
  <c r="S771" i="1"/>
  <c r="S768" i="1" l="1"/>
  <c r="S769" i="1"/>
  <c r="S729" i="1" l="1"/>
  <c r="S727" i="1" l="1"/>
  <c r="S726" i="1"/>
  <c r="S725" i="1"/>
  <c r="S724" i="1"/>
  <c r="S723" i="1"/>
  <c r="S722" i="1"/>
  <c r="S721" i="1"/>
  <c r="S720" i="1"/>
  <c r="S719" i="1" l="1"/>
  <c r="S718" i="1" l="1"/>
  <c r="S680" i="1" l="1"/>
  <c r="S679" i="1"/>
  <c r="S717" i="1" l="1"/>
  <c r="S716" i="1" l="1"/>
  <c r="S699" i="1" l="1"/>
  <c r="S715" i="1"/>
  <c r="S714" i="1"/>
  <c r="S713" i="1" l="1"/>
  <c r="S712" i="1" l="1"/>
  <c r="S711" i="1" l="1"/>
  <c r="S710" i="1" l="1"/>
  <c r="S709" i="1"/>
  <c r="S708" i="1" l="1"/>
  <c r="S707" i="1" l="1"/>
  <c r="S705" i="1" l="1"/>
  <c r="S706" i="1"/>
  <c r="S704" i="1"/>
  <c r="S703" i="1"/>
  <c r="S702" i="1"/>
  <c r="S701" i="1"/>
  <c r="S700" i="1" l="1"/>
  <c r="S698" i="1"/>
  <c r="S697" i="1" l="1"/>
  <c r="S696" i="1" l="1"/>
  <c r="S695" i="1" l="1"/>
  <c r="S694" i="1" l="1"/>
  <c r="S693" i="1" l="1"/>
  <c r="S692" i="1" l="1"/>
  <c r="S691" i="1" l="1"/>
  <c r="S728" i="1" l="1"/>
  <c r="S690" i="1" l="1"/>
  <c r="S689" i="1" l="1"/>
  <c r="S590" i="1" l="1"/>
  <c r="S686" i="1"/>
  <c r="S687" i="1"/>
  <c r="S688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 l="1"/>
  <c r="S684" i="1" l="1"/>
  <c r="S685" i="1"/>
  <c r="S681" i="1" l="1"/>
  <c r="S682" i="1"/>
  <c r="S683" i="1"/>
  <c r="S678" i="1" l="1"/>
  <c r="S574" i="1"/>
  <c r="S575" i="1"/>
  <c r="S576" i="1"/>
  <c r="S669" i="1" l="1"/>
  <c r="S677" i="1" l="1"/>
  <c r="S549" i="1"/>
  <c r="S670" i="1" l="1"/>
  <c r="S671" i="1"/>
  <c r="S672" i="1"/>
  <c r="S673" i="1"/>
  <c r="S674" i="1"/>
  <c r="S675" i="1"/>
  <c r="S676" i="1"/>
  <c r="S668" i="1"/>
  <c r="S667" i="1"/>
  <c r="S666" i="1"/>
  <c r="S665" i="1"/>
  <c r="S573" i="1"/>
  <c r="S572" i="1" l="1"/>
  <c r="S569" i="1" l="1"/>
  <c r="S568" i="1" l="1"/>
  <c r="S570" i="1"/>
  <c r="S571" i="1"/>
  <c r="S548" i="1"/>
  <c r="S541" i="1" l="1"/>
  <c r="S542" i="1"/>
  <c r="S543" i="1"/>
  <c r="S544" i="1"/>
  <c r="S545" i="1"/>
  <c r="S546" i="1"/>
  <c r="S547" i="1"/>
  <c r="S540" i="1"/>
  <c r="S536" i="1"/>
  <c r="S530" i="1"/>
  <c r="S565" i="1" l="1"/>
  <c r="S566" i="1"/>
  <c r="S567" i="1"/>
  <c r="S564" i="1" l="1"/>
  <c r="S539" i="1"/>
  <c r="S538" i="1" l="1"/>
  <c r="S537" i="1" l="1"/>
  <c r="S664" i="1" l="1"/>
  <c r="S555" i="1" l="1"/>
  <c r="S556" i="1"/>
  <c r="S535" i="1" l="1"/>
  <c r="S655" i="1" l="1"/>
  <c r="S656" i="1"/>
  <c r="S657" i="1"/>
  <c r="S658" i="1"/>
  <c r="S659" i="1"/>
  <c r="S660" i="1"/>
  <c r="S661" i="1"/>
  <c r="S662" i="1"/>
  <c r="S663" i="1"/>
  <c r="S534" i="1" l="1"/>
  <c r="S533" i="1" l="1"/>
  <c r="S654" i="1" l="1"/>
  <c r="S653" i="1" l="1"/>
  <c r="S652" i="1" l="1"/>
  <c r="S651" i="1"/>
  <c r="S650" i="1"/>
  <c r="S649" i="1"/>
  <c r="S532" i="1"/>
  <c r="S531" i="1" l="1"/>
  <c r="S529" i="1" l="1"/>
  <c r="S528" i="1"/>
  <c r="S527" i="1"/>
  <c r="S526" i="1"/>
  <c r="S563" i="1" l="1"/>
  <c r="S525" i="1" l="1"/>
  <c r="S524" i="1" l="1"/>
  <c r="S523" i="1"/>
  <c r="S522" i="1" l="1"/>
  <c r="S521" i="1" l="1"/>
  <c r="S520" i="1" l="1"/>
  <c r="S519" i="1"/>
  <c r="S518" i="1"/>
  <c r="S517" i="1"/>
  <c r="S516" i="1"/>
  <c r="S562" i="1" l="1"/>
  <c r="S515" i="1" l="1"/>
  <c r="S514" i="1"/>
  <c r="S513" i="1"/>
  <c r="S512" i="1" l="1"/>
  <c r="S561" i="1" l="1"/>
  <c r="S560" i="1" l="1"/>
  <c r="S511" i="1" l="1"/>
  <c r="S510" i="1" l="1"/>
  <c r="S559" i="1" l="1"/>
  <c r="S509" i="1"/>
  <c r="S508" i="1" l="1"/>
  <c r="S554" i="1" l="1"/>
  <c r="S557" i="1"/>
  <c r="S558" i="1"/>
  <c r="S648" i="1" l="1"/>
  <c r="S507" i="1" l="1"/>
  <c r="S506" i="1" l="1"/>
  <c r="S505" i="1" l="1"/>
  <c r="S503" i="1"/>
  <c r="S502" i="1"/>
  <c r="S504" i="1"/>
  <c r="S501" i="1"/>
  <c r="S500" i="1"/>
  <c r="S647" i="1" l="1"/>
  <c r="S646" i="1"/>
  <c r="S499" i="1" l="1"/>
  <c r="S498" i="1"/>
  <c r="S497" i="1" l="1"/>
  <c r="S485" i="1" l="1"/>
  <c r="S495" i="1"/>
  <c r="S494" i="1" l="1"/>
  <c r="S493" i="1" l="1"/>
  <c r="S496" i="1" l="1"/>
  <c r="S492" i="1" l="1"/>
  <c r="S491" i="1"/>
  <c r="S490" i="1" l="1"/>
  <c r="S489" i="1" l="1"/>
  <c r="S488" i="1" l="1"/>
  <c r="S487" i="1" l="1"/>
  <c r="S486" i="1"/>
  <c r="S553" i="1" l="1"/>
  <c r="S484" i="1" l="1"/>
  <c r="S483" i="1" l="1"/>
  <c r="S482" i="1" l="1"/>
  <c r="S481" i="1"/>
  <c r="S480" i="1"/>
  <c r="S479" i="1" l="1"/>
  <c r="S478" i="1"/>
  <c r="S477" i="1" l="1"/>
  <c r="S476" i="1"/>
  <c r="S475" i="1"/>
  <c r="S474" i="1"/>
  <c r="S473" i="1" l="1"/>
  <c r="S472" i="1"/>
  <c r="S469" i="1" l="1"/>
  <c r="S471" i="1"/>
  <c r="S470" i="1"/>
  <c r="S468" i="1"/>
  <c r="S467" i="1" l="1"/>
  <c r="S466" i="1" l="1"/>
  <c r="S465" i="1" l="1"/>
  <c r="S464" i="1" l="1"/>
  <c r="S463" i="1" l="1"/>
  <c r="S462" i="1" l="1"/>
  <c r="S442" i="1"/>
  <c r="S461" i="1"/>
  <c r="S460" i="1" l="1"/>
  <c r="S459" i="1" l="1"/>
  <c r="S458" i="1"/>
  <c r="S457" i="1"/>
  <c r="S456" i="1"/>
  <c r="S455" i="1"/>
  <c r="S454" i="1"/>
  <c r="S453" i="1"/>
  <c r="S444" i="1"/>
  <c r="S445" i="1"/>
  <c r="S446" i="1"/>
  <c r="S447" i="1"/>
  <c r="S448" i="1"/>
  <c r="S449" i="1"/>
  <c r="S450" i="1"/>
  <c r="S451" i="1"/>
  <c r="S452" i="1"/>
  <c r="S443" i="1" l="1"/>
  <c r="S441" i="1" l="1"/>
  <c r="S440" i="1" l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552" i="1"/>
  <c r="S551" i="1"/>
  <c r="S550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397" i="1" l="1"/>
  <c r="S398" i="1"/>
  <c r="S399" i="1"/>
  <c r="S400" i="1"/>
  <c r="S401" i="1"/>
  <c r="S402" i="1"/>
  <c r="S403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22" i="7" l="1"/>
  <c r="S396" i="1" l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0" i="7" l="1"/>
  <c r="S31" i="7"/>
  <c r="S32" i="7"/>
  <c r="S33" i="7"/>
  <c r="S34" i="7"/>
  <c r="S35" i="7"/>
  <c r="S36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29" i="7"/>
  <c r="S378" i="1" l="1"/>
  <c r="S338" i="1" l="1"/>
  <c r="AC4" i="7" l="1"/>
  <c r="S281" i="1" l="1"/>
  <c r="S375" i="1" l="1"/>
  <c r="S28" i="7"/>
  <c r="S374" i="1"/>
  <c r="S372" i="1" l="1"/>
  <c r="S376" i="1" l="1"/>
  <c r="S21" i="7" l="1"/>
  <c r="S20" i="7"/>
  <c r="S27" i="7"/>
  <c r="S26" i="7"/>
  <c r="S19" i="7" l="1"/>
  <c r="S18" i="7"/>
  <c r="S366" i="1" l="1"/>
  <c r="S353" i="1" l="1"/>
  <c r="S16" i="7" l="1"/>
  <c r="S17" i="7"/>
  <c r="S24" i="7"/>
  <c r="S15" i="7"/>
  <c r="S13" i="7" l="1"/>
  <c r="S349" i="1" l="1"/>
  <c r="S345" i="1" l="1"/>
  <c r="S14" i="7" l="1"/>
  <c r="S23" i="7"/>
  <c r="S25" i="7"/>
  <c r="S12" i="7" l="1"/>
  <c r="S350" i="1" l="1"/>
  <c r="S8" i="7" l="1"/>
  <c r="S7" i="7"/>
  <c r="S6" i="7"/>
  <c r="S5" i="7"/>
  <c r="S340" i="1" l="1"/>
  <c r="S354" i="1" l="1"/>
  <c r="S337" i="1" l="1"/>
  <c r="S335" i="1"/>
  <c r="S341" i="1" l="1"/>
  <c r="S327" i="1" l="1"/>
  <c r="S330" i="1" l="1"/>
  <c r="S367" i="1"/>
  <c r="S307" i="1" l="1"/>
  <c r="S308" i="1"/>
  <c r="S315" i="1" l="1"/>
  <c r="S177" i="1" l="1"/>
  <c r="S178" i="1"/>
  <c r="S179" i="1"/>
  <c r="S180" i="1"/>
  <c r="S181" i="1"/>
  <c r="S176" i="1"/>
  <c r="S182" i="1" l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23" i="1" l="1"/>
  <c r="S312" i="1"/>
  <c r="S320" i="1" l="1"/>
  <c r="S319" i="1"/>
  <c r="S318" i="1"/>
  <c r="S317" i="1"/>
  <c r="S316" i="1"/>
  <c r="S150" i="1" l="1"/>
  <c r="S321" i="1" l="1"/>
  <c r="S309" i="1"/>
  <c r="S310" i="1"/>
  <c r="S311" i="1"/>
  <c r="S324" i="1"/>
  <c r="S313" i="1"/>
  <c r="S342" i="1"/>
  <c r="S329" i="1"/>
  <c r="S314" i="1"/>
  <c r="S322" i="1"/>
  <c r="S331" i="1"/>
  <c r="S328" i="1"/>
  <c r="S325" i="1"/>
  <c r="S333" i="1"/>
  <c r="S334" i="1"/>
  <c r="S332" i="1"/>
  <c r="S326" i="1"/>
  <c r="S336" i="1"/>
  <c r="S343" i="1"/>
  <c r="S344" i="1"/>
  <c r="S346" i="1"/>
  <c r="S351" i="1"/>
  <c r="S368" i="1"/>
  <c r="S369" i="1"/>
  <c r="S370" i="1"/>
  <c r="S371" i="1"/>
  <c r="S348" i="1"/>
  <c r="S347" i="1"/>
  <c r="S356" i="1"/>
  <c r="S357" i="1"/>
  <c r="S358" i="1"/>
  <c r="S359" i="1"/>
  <c r="S355" i="1"/>
  <c r="S360" i="1"/>
  <c r="S379" i="1"/>
  <c r="S380" i="1"/>
  <c r="S364" i="1"/>
  <c r="S363" i="1"/>
  <c r="S361" i="1"/>
  <c r="S362" i="1"/>
  <c r="S365" i="1"/>
  <c r="S373" i="1"/>
  <c r="S377" i="1"/>
  <c r="S166" i="1" l="1"/>
  <c r="S154" i="1" l="1"/>
  <c r="S155" i="1"/>
  <c r="S156" i="1"/>
  <c r="S157" i="1"/>
  <c r="S153" i="1" l="1"/>
  <c r="S152" i="1" l="1"/>
  <c r="S151" i="1" l="1"/>
  <c r="S161" i="1" l="1"/>
  <c r="S158" i="1"/>
  <c r="S149" i="1" l="1"/>
  <c r="S148" i="1" l="1"/>
  <c r="S175" i="1" l="1"/>
  <c r="S138" i="1" l="1"/>
  <c r="S137" i="1"/>
  <c r="S135" i="1" l="1"/>
  <c r="S134" i="1"/>
  <c r="S159" i="1" l="1"/>
  <c r="S162" i="1"/>
  <c r="S163" i="1"/>
  <c r="S164" i="1"/>
  <c r="S169" i="1"/>
  <c r="S167" i="1"/>
  <c r="S170" i="1"/>
  <c r="S165" i="1"/>
  <c r="S168" i="1"/>
  <c r="S171" i="1"/>
  <c r="S172" i="1"/>
  <c r="S173" i="1"/>
  <c r="S160" i="1"/>
  <c r="S174" i="1"/>
  <c r="S128" i="1" l="1"/>
  <c r="S129" i="1"/>
  <c r="S130" i="1"/>
  <c r="S131" i="1"/>
  <c r="S132" i="1"/>
  <c r="S133" i="1" l="1"/>
  <c r="S111" i="1" l="1"/>
  <c r="S127" i="1" l="1"/>
  <c r="S66" i="1" l="1"/>
  <c r="S65" i="1"/>
  <c r="S100" i="1"/>
  <c r="S113" i="1" l="1"/>
  <c r="S147" i="1" l="1"/>
  <c r="S146" i="1"/>
  <c r="P10" i="5" l="1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9" i="5"/>
  <c r="S115" i="1" l="1"/>
  <c r="S116" i="1"/>
  <c r="S117" i="1"/>
  <c r="S118" i="1"/>
  <c r="S112" i="1" l="1"/>
  <c r="S114" i="1"/>
  <c r="S139" i="1" l="1"/>
  <c r="S140" i="1"/>
  <c r="S141" i="1"/>
  <c r="S142" i="1"/>
  <c r="S143" i="1"/>
  <c r="S144" i="1"/>
  <c r="S145" i="1"/>
  <c r="S136" i="1" l="1"/>
  <c r="S119" i="1"/>
  <c r="S120" i="1"/>
  <c r="S121" i="1"/>
  <c r="S122" i="1"/>
  <c r="S123" i="1"/>
  <c r="S125" i="1"/>
  <c r="S126" i="1"/>
  <c r="S124" i="1"/>
  <c r="P8" i="5" l="1"/>
  <c r="P7" i="5"/>
  <c r="P6" i="5"/>
  <c r="P5" i="5"/>
  <c r="P4" i="5"/>
  <c r="P3" i="5"/>
  <c r="W2" i="5"/>
  <c r="S110" i="1" l="1"/>
  <c r="S109" i="1"/>
  <c r="S108" i="1" l="1"/>
  <c r="S107" i="1"/>
  <c r="S106" i="1" l="1"/>
  <c r="S105" i="1"/>
  <c r="S104" i="1"/>
  <c r="S103" i="1" l="1"/>
  <c r="S102" i="1" l="1"/>
  <c r="S101" i="1"/>
  <c r="S98" i="1" l="1"/>
  <c r="S99" i="1"/>
  <c r="S97" i="1" l="1"/>
  <c r="S96" i="1" l="1"/>
  <c r="S95" i="1" l="1"/>
  <c r="S44" i="1" l="1"/>
  <c r="S45" i="1"/>
  <c r="S46" i="1"/>
  <c r="S47" i="1"/>
  <c r="S48" i="1"/>
  <c r="S49" i="1"/>
  <c r="S50" i="1"/>
  <c r="S51" i="1"/>
  <c r="S52" i="1"/>
  <c r="S53" i="1"/>
  <c r="S54" i="1"/>
  <c r="S8" i="1" l="1"/>
  <c r="S10" i="1"/>
  <c r="S11" i="1"/>
  <c r="S12" i="1"/>
  <c r="S7" i="1" l="1"/>
  <c r="S6" i="1"/>
  <c r="S5" i="1"/>
  <c r="S9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55" i="1"/>
  <c r="S56" i="1"/>
  <c r="S57" i="1"/>
  <c r="S58" i="1"/>
  <c r="S59" i="1"/>
  <c r="S60" i="1"/>
  <c r="S61" i="1"/>
  <c r="S62" i="1"/>
  <c r="S63" i="1"/>
  <c r="S64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5" i="1"/>
  <c r="S84" i="1"/>
  <c r="S86" i="1"/>
  <c r="S87" i="1"/>
  <c r="S88" i="1"/>
  <c r="S89" i="1"/>
  <c r="S90" i="1"/>
  <c r="S91" i="1"/>
  <c r="S92" i="1"/>
  <c r="S93" i="1"/>
  <c r="S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SMC-TEN</author>
  </authors>
  <commentList>
    <comment ref="B42" authorId="0" shapeId="0" xr:uid="{77C7A5CC-2D20-4E6F-A0F7-90B5624D79AC}">
      <text>
        <r>
          <rPr>
            <b/>
            <sz val="9"/>
            <color indexed="81"/>
            <rFont val="Tahoma"/>
            <family val="2"/>
          </rPr>
          <t>1030cancel</t>
        </r>
      </text>
    </comment>
    <comment ref="H111" authorId="0" shapeId="0" xr:uid="{FA89B8DB-7901-4D5E-84B3-BE6BC8083B9C}">
      <text>
        <r>
          <rPr>
            <b/>
            <sz val="9"/>
            <color indexed="81"/>
            <rFont val="Tahoma"/>
            <family val="2"/>
          </rPr>
          <t>SMC-TEN:</t>
        </r>
        <r>
          <rPr>
            <sz val="9"/>
            <color indexed="81"/>
            <rFont val="Tahoma"/>
            <family val="2"/>
          </rPr>
          <t xml:space="preserve">
Chỉ thị sếp To: dời qua tháng 4 mua.</t>
        </r>
      </text>
    </comment>
    <comment ref="B150" authorId="0" shapeId="0" xr:uid="{A97BECB2-878C-42A2-97BC-38D7305E50DF}">
      <text>
        <r>
          <rPr>
            <b/>
            <sz val="9"/>
            <color indexed="81"/>
            <rFont val="Tahoma"/>
            <family val="2"/>
          </rPr>
          <t xml:space="preserve">Lần 1: 350ea
29/7/2021
</t>
        </r>
      </text>
    </comment>
    <comment ref="O150" authorId="0" shapeId="0" xr:uid="{6DA80E7C-9303-4BB9-B5D2-EF9B3272A5D7}">
      <text>
        <r>
          <rPr>
            <sz val="9"/>
            <color indexed="81"/>
            <rFont val="Tahoma"/>
            <family val="2"/>
          </rPr>
          <t xml:space="preserve">NHẬN LẦN 1: 350 EA
</t>
        </r>
      </text>
    </comment>
    <comment ref="O438" authorId="0" shapeId="0" xr:uid="{4742F102-D9B4-4B97-B8B1-4D37044945F4}">
      <text>
        <r>
          <rPr>
            <b/>
            <sz val="9"/>
            <color indexed="81"/>
            <rFont val="Tahoma"/>
            <family val="2"/>
          </rPr>
          <t>Máy cắt: 2ea</t>
        </r>
        <r>
          <rPr>
            <sz val="9"/>
            <color indexed="81"/>
            <rFont val="Tahoma"/>
            <family val="2"/>
          </rPr>
          <t xml:space="preserve">
Phòng đo: 3 ea (Hiệu)
Phòng đo: 1 ea (Đăng)
Lò ủ: 1ea
Đóng gói: 1ea
Dự bị: 2ea</t>
        </r>
      </text>
    </comment>
    <comment ref="O453" authorId="0" shapeId="0" xr:uid="{C4860FC4-2AD6-4CD8-9BE1-B9C716AE30A3}">
      <text>
        <r>
          <rPr>
            <b/>
            <sz val="9"/>
            <color indexed="81"/>
            <rFont val="Tahoma"/>
            <family val="2"/>
          </rPr>
          <t>Giao : 27/7:100
19/8:100
23/8: 200</t>
        </r>
      </text>
    </comment>
    <comment ref="U507" authorId="0" shapeId="0" xr:uid="{5701B522-E341-4184-A525-E0B8F4D291A0}">
      <text>
        <r>
          <rPr>
            <b/>
            <sz val="9"/>
            <color indexed="81"/>
            <rFont val="Tahoma"/>
            <family val="2"/>
          </rPr>
          <t>1/10 giao</t>
        </r>
      </text>
    </comment>
    <comment ref="U538" authorId="0" shapeId="0" xr:uid="{6495C984-3886-47BD-9480-99ABAFE4C9CA}">
      <text>
        <r>
          <rPr>
            <b/>
            <sz val="9"/>
            <color indexed="81"/>
            <rFont val="Tahoma"/>
            <family val="2"/>
          </rPr>
          <t>21/11 giao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835" authorId="0" shapeId="0" xr:uid="{B45CF5E0-60C6-4B12-93D2-4767083ED52E}">
      <text>
        <r>
          <rPr>
            <b/>
            <sz val="9"/>
            <color indexed="81"/>
            <rFont val="Tahoma"/>
            <family val="2"/>
          </rPr>
          <t>giá mới: 697,500/BAG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SMC-TEN</author>
  </authors>
  <commentList>
    <comment ref="H2" authorId="0" shapeId="0" xr:uid="{46EA462F-946D-45DA-A08E-15BB79A20B7B}">
      <text>
        <r>
          <rPr>
            <b/>
            <sz val="9"/>
            <color indexed="81"/>
            <rFont val="Tahoma"/>
            <family val="2"/>
          </rPr>
          <t>Kì hạn gửi từ JP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" authorId="0" shapeId="0" xr:uid="{B8DC2B32-40E0-4EA0-9E50-AA980DE85BD2}">
      <text>
        <r>
          <rPr>
            <b/>
            <sz val="9"/>
            <color indexed="81"/>
            <rFont val="Tahoma"/>
            <family val="2"/>
          </rPr>
          <t xml:space="preserve">mã đặt sai: </t>
        </r>
        <r>
          <rPr>
            <sz val="9"/>
            <color indexed="81"/>
            <rFont val="Tahoma"/>
            <family val="2"/>
          </rPr>
          <t xml:space="preserve">
ASN2-03S
=&gt; đặt lại mã đúng: ASN2-03-S (VN00009)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SMC-TEN</author>
  </authors>
  <commentList>
    <comment ref="B5" authorId="0" shapeId="0" xr:uid="{B4139C71-ECE3-4B6F-BD10-6AA0194872B9}">
      <text>
        <r>
          <rPr>
            <b/>
            <sz val="9"/>
            <color indexed="81"/>
            <rFont val="Tahoma"/>
            <family val="2"/>
          </rPr>
          <t>1065X6.5X100X54XD-20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SMC-TEN</author>
  </authors>
  <commentList>
    <comment ref="F7" authorId="0" shapeId="0" xr:uid="{C32728CE-B993-4883-9D2D-D3A6BE17D5DC}">
      <text>
        <r>
          <rPr>
            <b/>
            <sz val="9"/>
            <color indexed="81"/>
            <rFont val="Tahoma"/>
            <family val="2"/>
          </rPr>
          <t>Nhà cc chỉ nhận order đầu tháng và cuối tháng. Delivery: 60day</t>
        </r>
      </text>
    </comment>
  </commentList>
</comments>
</file>

<file path=xl/sharedStrings.xml><?xml version="1.0" encoding="utf-8"?>
<sst xmlns="http://schemas.openxmlformats.org/spreadsheetml/2006/main" count="17152" uniqueCount="3709">
  <si>
    <t>PO</t>
  </si>
  <si>
    <t>NHẬP KHO</t>
  </si>
  <si>
    <t>RINGI</t>
  </si>
  <si>
    <t>NCC</t>
  </si>
  <si>
    <t>Product
 category ID</t>
  </si>
  <si>
    <t>Stock/ 
non stock</t>
  </si>
  <si>
    <t>Quality</t>
  </si>
  <si>
    <t>Order day</t>
  </si>
  <si>
    <t>Deliery</t>
  </si>
  <si>
    <t>TO SMC</t>
  </si>
  <si>
    <t>phụ trách</t>
  </si>
  <si>
    <t>Requester</t>
  </si>
  <si>
    <t>PUCHASE 
REQUEST</t>
  </si>
  <si>
    <t>FUJIMOTO SANGYO VN</t>
  </si>
  <si>
    <t>Stock</t>
  </si>
  <si>
    <t>PR
SAP</t>
  </si>
  <si>
    <t>X.Tuấn</t>
  </si>
  <si>
    <t>ĐƠN GIÁ</t>
  </si>
  <si>
    <t>TỔNG TIỀN</t>
  </si>
  <si>
    <t>EYEBOLT-M16</t>
  </si>
  <si>
    <t>EYENUT-M16</t>
  </si>
  <si>
    <t>Ms.Trang</t>
  </si>
  <si>
    <t>Approve number</t>
  </si>
  <si>
    <t>IC04-139</t>
  </si>
  <si>
    <t>PED 20E279</t>
  </si>
  <si>
    <t>PED20G354</t>
  </si>
  <si>
    <t>IC04-236</t>
  </si>
  <si>
    <t>Vitol2-S(200L/1 Drum)</t>
  </si>
  <si>
    <t>Mobil velocite oil no.3</t>
  </si>
  <si>
    <t>KH grease 6459</t>
  </si>
  <si>
    <t>NISHI TOKYO</t>
  </si>
  <si>
    <t>Ms.Yến</t>
  </si>
  <si>
    <t>IC04-258</t>
  </si>
  <si>
    <t>PED20G364</t>
  </si>
  <si>
    <t>Spacer(KELI-SP-6x100x100x2201)</t>
  </si>
  <si>
    <t>SMC CHINA</t>
  </si>
  <si>
    <t>ĐƠN VỊ</t>
  </si>
  <si>
    <t>ea</t>
  </si>
  <si>
    <t>PED20G365</t>
  </si>
  <si>
    <t>IC04-259</t>
  </si>
  <si>
    <t>Casting machine(KELI-BCM-11T)</t>
  </si>
  <si>
    <t>Die Furnace(DFx450x461)</t>
  </si>
  <si>
    <t>Aging Furnace(AF7000x2200x1401)</t>
  </si>
  <si>
    <t>Transport &amp; insurance</t>
  </si>
  <si>
    <t>set</t>
  </si>
  <si>
    <t>Casting tool(KELI-MOLD-229x13)</t>
  </si>
  <si>
    <t>L</t>
  </si>
  <si>
    <t>kg</t>
  </si>
  <si>
    <t>Drum</t>
  </si>
  <si>
    <t>Workbenches</t>
  </si>
  <si>
    <t>can</t>
  </si>
  <si>
    <t>Ms.Thảo</t>
  </si>
  <si>
    <t>Mr.Dũng</t>
  </si>
  <si>
    <t>Q.Hiệu</t>
  </si>
  <si>
    <t>V.Chiến</t>
  </si>
  <si>
    <t>H.Đăng</t>
  </si>
  <si>
    <t>Nga</t>
  </si>
  <si>
    <t>AIBD-1359</t>
  </si>
  <si>
    <t>Spacer Trolly</t>
  </si>
  <si>
    <t>AIBD-1358</t>
  </si>
  <si>
    <t>PED20G385</t>
  </si>
  <si>
    <t>IC 04-257</t>
  </si>
  <si>
    <t>Sample Etching Unit (JIG13680)</t>
  </si>
  <si>
    <t>FIXED ASSET</t>
  </si>
  <si>
    <t>Relay</t>
  </si>
  <si>
    <t>Socket</t>
  </si>
  <si>
    <t>Lubricoat blue</t>
  </si>
  <si>
    <t>Moldable</t>
  </si>
  <si>
    <t>Antiwear Hydraulic Oil</t>
  </si>
  <si>
    <t>Dupont  Molykote 111 compound</t>
  </si>
  <si>
    <t>Cerami Fiber Paper</t>
  </si>
  <si>
    <t>Cerami Fiber felt</t>
  </si>
  <si>
    <t>Wool brush</t>
  </si>
  <si>
    <t>Lithum Grease</t>
  </si>
  <si>
    <t>Steel Wool</t>
  </si>
  <si>
    <t>Absorbent paper towel</t>
  </si>
  <si>
    <t>Plastic basin</t>
  </si>
  <si>
    <t>High temperature silica gel</t>
  </si>
  <si>
    <t>Mobil Arctic 230</t>
  </si>
  <si>
    <t>Kure CRC 3-36</t>
  </si>
  <si>
    <t>MY-2N</t>
  </si>
  <si>
    <t>PYF-08A</t>
  </si>
  <si>
    <t xml:space="preserve">ZYP BN </t>
  </si>
  <si>
    <t>1150A</t>
  </si>
  <si>
    <t>SE-P68</t>
  </si>
  <si>
    <t>DC111</t>
  </si>
  <si>
    <t>BSF-PAPER-S-2T</t>
  </si>
  <si>
    <t>BSF-PAPER-S-3T</t>
  </si>
  <si>
    <t>1260BLANKET100-6T</t>
  </si>
  <si>
    <t>1260BLANKET100-25T</t>
  </si>
  <si>
    <t>TPB-542</t>
  </si>
  <si>
    <t>TPB-543</t>
  </si>
  <si>
    <t>CGR-25</t>
  </si>
  <si>
    <t>TSW0000-200</t>
  </si>
  <si>
    <t>703169</t>
  </si>
  <si>
    <t>SLTC-6039</t>
  </si>
  <si>
    <t>5920-70</t>
  </si>
  <si>
    <t>ARCTIC-230</t>
  </si>
  <si>
    <t>NO1033</t>
  </si>
  <si>
    <t>UENO VN</t>
  </si>
  <si>
    <t>QUALISERV VN</t>
  </si>
  <si>
    <t>NISHI TOKYO CHEMIX</t>
  </si>
  <si>
    <t>TECHNO</t>
  </si>
  <si>
    <t>NAM GIANG</t>
  </si>
  <si>
    <t>pcs</t>
  </si>
  <si>
    <t>unit</t>
  </si>
  <si>
    <t>Can</t>
  </si>
  <si>
    <t>Roll</t>
  </si>
  <si>
    <t>VND</t>
  </si>
  <si>
    <t>US$</t>
  </si>
  <si>
    <t>-</t>
  </si>
  <si>
    <t>KQ2H10-04NS</t>
  </si>
  <si>
    <t>KQ2VD10-03NS</t>
  </si>
  <si>
    <t>KQ2VD10-04NS</t>
  </si>
  <si>
    <t>MDBD40-300JZ-M9BAZ</t>
  </si>
  <si>
    <t>AW40-04G-8-B-X425</t>
  </si>
  <si>
    <t>AT75D-20DF</t>
  </si>
  <si>
    <t>Fitting</t>
  </si>
  <si>
    <t>Air Cylinder</t>
  </si>
  <si>
    <t>Filter-Regulator</t>
  </si>
  <si>
    <t>Air Tank</t>
  </si>
  <si>
    <t>ĐƠN VỊ 
TIỀN TỆ</t>
  </si>
  <si>
    <t xml:space="preserve">Stk-Chemicals </t>
  </si>
  <si>
    <t>Stk-Manuf_Supplies</t>
  </si>
  <si>
    <t xml:space="preserve">Stk-Perish_Tool_JIG </t>
  </si>
  <si>
    <t>Transferring Pump (MES)</t>
  </si>
  <si>
    <t>Texel Wet Scrubber PP (TRS-F100Z)</t>
  </si>
  <si>
    <t>TEXEL-SEIKOW VIỆT NAM</t>
  </si>
  <si>
    <t>Emergency stop switch</t>
  </si>
  <si>
    <t>Emergency stop switch contact part</t>
  </si>
  <si>
    <t>ARE-4KR</t>
  </si>
  <si>
    <t>AR-112</t>
  </si>
  <si>
    <t>SC744</t>
  </si>
  <si>
    <t>SC745</t>
  </si>
  <si>
    <t>SC746</t>
  </si>
  <si>
    <t>IC04-444</t>
  </si>
  <si>
    <t>BN19.203L.3.0</t>
  </si>
  <si>
    <t>Material Stock Table</t>
  </si>
  <si>
    <t>BN19.203L.5.0</t>
  </si>
  <si>
    <t>Material Trays</t>
  </si>
  <si>
    <t>JIG13733-02</t>
  </si>
  <si>
    <t>JIG13733-03</t>
  </si>
  <si>
    <t>Plugging Sleeve handle</t>
  </si>
  <si>
    <t>Aluminum slag Removal tool</t>
  </si>
  <si>
    <t>Aluminum Impurities Scratched out Jig</t>
  </si>
  <si>
    <t>Plugging Sleeve</t>
  </si>
  <si>
    <t>Igniter</t>
  </si>
  <si>
    <t>Flashlight</t>
  </si>
  <si>
    <t>Dental Endoscope</t>
  </si>
  <si>
    <t>Propane Burner</t>
  </si>
  <si>
    <t>Twist drill</t>
  </si>
  <si>
    <t>Plastic syringe</t>
  </si>
  <si>
    <t>Thermometer with thermocouple</t>
  </si>
  <si>
    <t>21-RI0B-920000</t>
  </si>
  <si>
    <t>JIG13733-00-001</t>
  </si>
  <si>
    <t>JIG13733-01</t>
  </si>
  <si>
    <t>21-RI0B-910000</t>
  </si>
  <si>
    <t>TCL</t>
  </si>
  <si>
    <t>AL-100N</t>
  </si>
  <si>
    <t>PB80SB</t>
  </si>
  <si>
    <t>SGP2.0</t>
  </si>
  <si>
    <t>PS1000</t>
  </si>
  <si>
    <t>TAN THUAN MINH</t>
  </si>
  <si>
    <t>AIBD-1624</t>
  </si>
  <si>
    <t>AIBD-1633</t>
  </si>
  <si>
    <t>AIBD-1564</t>
  </si>
  <si>
    <t>Rechargeale driver drill</t>
  </si>
  <si>
    <t>DDF484RTE</t>
  </si>
  <si>
    <t>IC04-459</t>
  </si>
  <si>
    <t>IC04-460</t>
  </si>
  <si>
    <t>PED20J514</t>
  </si>
  <si>
    <t xml:space="preserve">AIR TANK 1000L </t>
  </si>
  <si>
    <t>Cover R320-T4mm</t>
  </si>
  <si>
    <t>Cover R365-T4mm</t>
  </si>
  <si>
    <t>NAP-JIG-TCR320</t>
  </si>
  <si>
    <t>NAP-JIG-TCR365</t>
  </si>
  <si>
    <t>NGAN ANH PHAT</t>
  </si>
  <si>
    <t>SC756</t>
  </si>
  <si>
    <t>Oxygen regulator</t>
  </si>
  <si>
    <t>Spark lighter</t>
  </si>
  <si>
    <t>MOI-LUA</t>
  </si>
  <si>
    <t>TÊN HÀNG</t>
  </si>
  <si>
    <t>MÃ SẢN PHẨM</t>
  </si>
  <si>
    <t>No</t>
  </si>
  <si>
    <t>Số đơn hàng</t>
  </si>
  <si>
    <t>Số lượng</t>
  </si>
  <si>
    <t>Ngày hàng về</t>
  </si>
  <si>
    <t>VN00004</t>
  </si>
  <si>
    <t>Metering Valve with Silencer</t>
  </si>
  <si>
    <t>ASN2-03-S</t>
  </si>
  <si>
    <t>VN00005</t>
  </si>
  <si>
    <t>AIBD-1726</t>
  </si>
  <si>
    <t>AIBD-1741</t>
  </si>
  <si>
    <t>AIBD-1742</t>
  </si>
  <si>
    <t>AIBD-1743</t>
  </si>
  <si>
    <t>AIBD-1710</t>
  </si>
  <si>
    <t>Pilot 2 Port Solenoid Valve</t>
  </si>
  <si>
    <t>VXD262NH</t>
  </si>
  <si>
    <t>VN00006</t>
  </si>
  <si>
    <t>NOTE</t>
  </si>
  <si>
    <t>LVF106</t>
  </si>
  <si>
    <t>VN00007</t>
  </si>
  <si>
    <t>VN00009</t>
  </si>
  <si>
    <t>LVF116</t>
  </si>
  <si>
    <t>VN00010</t>
  </si>
  <si>
    <t>Vận chuyển</t>
  </si>
  <si>
    <t>SEA</t>
  </si>
  <si>
    <t>AIR</t>
  </si>
  <si>
    <t>Regulator Harris</t>
  </si>
  <si>
    <t>825DS-10-Ar</t>
  </si>
  <si>
    <t>TOMOE</t>
  </si>
  <si>
    <t>SC779</t>
  </si>
  <si>
    <t>PED20K533</t>
  </si>
  <si>
    <t>IC04-523</t>
  </si>
  <si>
    <t>Extension blocks</t>
  </si>
  <si>
    <t>Output extension blocks</t>
  </si>
  <si>
    <t>FX2N-8EX</t>
  </si>
  <si>
    <t>FX2N-8EYR</t>
  </si>
  <si>
    <t>NEW SUN</t>
  </si>
  <si>
    <t>Gaseous Argon</t>
  </si>
  <si>
    <t>GO2</t>
  </si>
  <si>
    <t>GC2H2</t>
  </si>
  <si>
    <t>Gaseous Oxygen</t>
  </si>
  <si>
    <t>Gaseous Acetylen</t>
  </si>
  <si>
    <t>SC809</t>
  </si>
  <si>
    <t>SC810</t>
  </si>
  <si>
    <t>GELER985A</t>
  </si>
  <si>
    <t>Wall hanger</t>
  </si>
  <si>
    <t>SC812</t>
  </si>
  <si>
    <t>High heat paint (spray type)</t>
  </si>
  <si>
    <t>233967</t>
  </si>
  <si>
    <t>MEIWA</t>
  </si>
  <si>
    <t>Bot</t>
  </si>
  <si>
    <t>High Pressure Bushing 40A-32A</t>
  </si>
  <si>
    <t>High Pressure Bushing 32A-25A</t>
  </si>
  <si>
    <t>High Pressure Bushing 25A-20A</t>
  </si>
  <si>
    <t>High Pressure Bushing 40A-25A</t>
  </si>
  <si>
    <t>High Pressure Bushing 20A-15A</t>
  </si>
  <si>
    <t>High Pressure Bushing 20A-10A</t>
  </si>
  <si>
    <t>High Pressure Bushing 50A-40A</t>
  </si>
  <si>
    <t>BU40A-32A</t>
  </si>
  <si>
    <t>BU32A-25A</t>
  </si>
  <si>
    <t>BU25A-20A</t>
  </si>
  <si>
    <t>BU40A-25A</t>
  </si>
  <si>
    <t>BU20A-15A</t>
  </si>
  <si>
    <t>BU20A-10A</t>
  </si>
  <si>
    <t>BU50A-40A</t>
  </si>
  <si>
    <t>EA</t>
  </si>
  <si>
    <t>GRC1018</t>
  </si>
  <si>
    <t>GRC1019</t>
  </si>
  <si>
    <t>GRC976</t>
  </si>
  <si>
    <t>GRC930</t>
  </si>
  <si>
    <t>GRC866</t>
  </si>
  <si>
    <t>Cotton Glove</t>
  </si>
  <si>
    <t>N000003-F01-01</t>
  </si>
  <si>
    <t>NAM NHAT PHAT</t>
  </si>
  <si>
    <t>Oxygen acetylene carts</t>
  </si>
  <si>
    <t>Acetylene regulator</t>
  </si>
  <si>
    <t>Tip cleaner</t>
  </si>
  <si>
    <t>Circuit Breaker Hydraulic Magnetic</t>
  </si>
  <si>
    <t>Electromagnetic Contact</t>
  </si>
  <si>
    <t>Level Controllers</t>
  </si>
  <si>
    <t>Illumiated Selector Switches</t>
  </si>
  <si>
    <t>Nameplate</t>
  </si>
  <si>
    <t>Temperature Controller</t>
  </si>
  <si>
    <t>Pilot Lamp</t>
  </si>
  <si>
    <t>CARTS-2</t>
  </si>
  <si>
    <t>SOI-BEC-TQ</t>
  </si>
  <si>
    <t>BW32AAG-3P010</t>
  </si>
  <si>
    <t>SC-4-1AC100V</t>
  </si>
  <si>
    <t>61F-GN</t>
  </si>
  <si>
    <t>ASLN21611DNG</t>
  </si>
  <si>
    <t>NA-31</t>
  </si>
  <si>
    <t>C35TR0UA10D0</t>
  </si>
  <si>
    <t>UPQS1B16DNR</t>
  </si>
  <si>
    <t>S60-17</t>
  </si>
  <si>
    <t>Ea</t>
  </si>
  <si>
    <t>SC801</t>
  </si>
  <si>
    <t>TUẤN LỘC PHÁT</t>
  </si>
  <si>
    <t>SC802</t>
  </si>
  <si>
    <t>IC04-525</t>
  </si>
  <si>
    <t>IC04-524</t>
  </si>
  <si>
    <t>Inox chain Ø5x5m</t>
  </si>
  <si>
    <t>AT00026</t>
  </si>
  <si>
    <t>PHAN NHAN</t>
  </si>
  <si>
    <t>Anchor Bolt</t>
  </si>
  <si>
    <t>C-1612</t>
  </si>
  <si>
    <t>VN00012</t>
  </si>
  <si>
    <t>MDBD50-40Z-NW-A93Z</t>
  </si>
  <si>
    <t>Solenoid valve</t>
  </si>
  <si>
    <t>VFR3210-5DZ-03</t>
  </si>
  <si>
    <t>KQ2S10-03AS</t>
  </si>
  <si>
    <t>Flow control w/fitting</t>
  </si>
  <si>
    <t>AS2201F-02-10SA</t>
  </si>
  <si>
    <t>KQ2T10-00A</t>
  </si>
  <si>
    <t>Silencer</t>
  </si>
  <si>
    <t>AN30-03</t>
  </si>
  <si>
    <t>Tube</t>
  </si>
  <si>
    <t>TU1065B-20</t>
  </si>
  <si>
    <t>Programming cable for Mitsubishi PLC</t>
  </si>
  <si>
    <t>USB-SC09-FX</t>
  </si>
  <si>
    <t>BMA</t>
  </si>
  <si>
    <t>SC771</t>
  </si>
  <si>
    <t>GRC1039</t>
  </si>
  <si>
    <t>QJ-AC</t>
  </si>
  <si>
    <t>QJ-OXE</t>
  </si>
  <si>
    <t>GRC1045</t>
  </si>
  <si>
    <t>Plastic tie wrap 5x300</t>
  </si>
  <si>
    <t>N000116-F1</t>
  </si>
  <si>
    <t>Bag</t>
  </si>
  <si>
    <t>Control cable (IGUS)</t>
  </si>
  <si>
    <t>CF881.15.02</t>
  </si>
  <si>
    <t>meter</t>
  </si>
  <si>
    <t>GRC1051</t>
  </si>
  <si>
    <t>GRC1053</t>
  </si>
  <si>
    <t>3 Phase Transformer 6KVA</t>
  </si>
  <si>
    <t>BIENAP-6KVA</t>
  </si>
  <si>
    <t>A-1-05-045-002</t>
  </si>
  <si>
    <t>SC848</t>
  </si>
  <si>
    <t>Manifold for CO2 and NH3</t>
  </si>
  <si>
    <t>CO2-NH3-SYSTEM</t>
  </si>
  <si>
    <t>AIR WATER</t>
  </si>
  <si>
    <t>Installation work</t>
  </si>
  <si>
    <t>SC852</t>
  </si>
  <si>
    <t>Super Hyrando SE (Hydraulic oils)</t>
  </si>
  <si>
    <t>SE-46</t>
  </si>
  <si>
    <t>PHUOC KHANG</t>
  </si>
  <si>
    <t>STK-CHEMICALS</t>
  </si>
  <si>
    <t>消耗品</t>
  </si>
  <si>
    <t>YVF094</t>
  </si>
  <si>
    <t>Gaseous amonia (NH3)</t>
  </si>
  <si>
    <t>Liquid carbon dioxide (CO2)</t>
  </si>
  <si>
    <t>NH3</t>
  </si>
  <si>
    <t>CO2</t>
  </si>
  <si>
    <t>GRC1073</t>
  </si>
  <si>
    <t>GRC1089</t>
  </si>
  <si>
    <t>GRC1038=&gt;1088</t>
  </si>
  <si>
    <t>Oil absorbent rags</t>
  </si>
  <si>
    <t>N00049</t>
  </si>
  <si>
    <t>S45C-D16-660</t>
  </si>
  <si>
    <t>Round solid steel Ø16</t>
  </si>
  <si>
    <t>Steel strap cutter</t>
  </si>
  <si>
    <t>SC-0201</t>
  </si>
  <si>
    <t>NAGOYA V/N</t>
  </si>
  <si>
    <t>Aluminum Billet Hanging equipment</t>
  </si>
  <si>
    <t>GRC1094</t>
  </si>
  <si>
    <t>Aluminum Collection set</t>
  </si>
  <si>
    <t>GRC1110</t>
  </si>
  <si>
    <t>GRC1133</t>
  </si>
  <si>
    <t>CANCEL</t>
  </si>
  <si>
    <t>Spray paint (Red)</t>
  </si>
  <si>
    <t>Spray paint (Yellow)</t>
  </si>
  <si>
    <t>Spray paint (Blue)</t>
  </si>
  <si>
    <t>A218</t>
  </si>
  <si>
    <t>F7</t>
  </si>
  <si>
    <t>A-1-03-001-002</t>
  </si>
  <si>
    <t>GRC1137</t>
  </si>
  <si>
    <t>YVF097</t>
  </si>
  <si>
    <t>AW30-03BM-A-X2068</t>
  </si>
  <si>
    <t>KQ2H16-03GS</t>
  </si>
  <si>
    <t>KQ2Y16-03GS</t>
  </si>
  <si>
    <t>KQ2H08-10A</t>
  </si>
  <si>
    <t>KQ2H10-12A</t>
  </si>
  <si>
    <t>KQ2H12-16A</t>
  </si>
  <si>
    <t>Filter Regulator</t>
  </si>
  <si>
    <t>VN00013</t>
  </si>
  <si>
    <t>LMV110-35</t>
  </si>
  <si>
    <t>CDG1UN50-100Z-NV-M9BW</t>
  </si>
  <si>
    <t>Air cylinder</t>
  </si>
  <si>
    <t>VN00014</t>
  </si>
  <si>
    <t>Xylanh khí</t>
  </si>
  <si>
    <t>Tên tiếng Việt</t>
  </si>
  <si>
    <t>Chất liệu</t>
  </si>
  <si>
    <t>Q6, page 478,479</t>
  </si>
  <si>
    <t>Q7, page 5</t>
  </si>
  <si>
    <t>Q7, page 14</t>
  </si>
  <si>
    <t>Q7, page 7</t>
  </si>
  <si>
    <t>Catalogue</t>
  </si>
  <si>
    <t>Q6, page 1066</t>
  </si>
  <si>
    <t>Q2-1, page 292,293,299</t>
  </si>
  <si>
    <t>Q7, page 577</t>
  </si>
  <si>
    <t>Q2-1, page 392+393</t>
  </si>
  <si>
    <t>Q1-2, page 1043</t>
  </si>
  <si>
    <t>Q7, page 30</t>
  </si>
  <si>
    <t>Q7, page 560</t>
  </si>
  <si>
    <t>Q7, page 43</t>
  </si>
  <si>
    <t>Q7, page 818</t>
  </si>
  <si>
    <t>Q7, page 465</t>
  </si>
  <si>
    <t>Sodium Gluconate</t>
  </si>
  <si>
    <t>1940-5250</t>
  </si>
  <si>
    <t>USD</t>
  </si>
  <si>
    <t>AS2201F-02-08S</t>
  </si>
  <si>
    <t>VN00015</t>
  </si>
  <si>
    <t>KQ2U08-00A</t>
  </si>
  <si>
    <t>KQ2U08-10A</t>
  </si>
  <si>
    <t>VHK2-12F-12F</t>
  </si>
  <si>
    <t>MGPM63-75Z-A93Z</t>
  </si>
  <si>
    <t>MDBF63-150Z-M9NW-XC7</t>
  </si>
  <si>
    <t>CDA2T80-75Z</t>
  </si>
  <si>
    <t>CDV3DN50-75-A54L-5</t>
  </si>
  <si>
    <t>MDBT50-260Z-NW-M9BL</t>
  </si>
  <si>
    <t>MDBT50-300Z-N-M9BL</t>
  </si>
  <si>
    <t>CG1UN40-150TZ-NW</t>
  </si>
  <si>
    <t>CDA2T63-2000Z-A54LS-X1034</t>
  </si>
  <si>
    <t>FGDCA-06-T010-B</t>
  </si>
  <si>
    <t>EHM19R10AY</t>
  </si>
  <si>
    <t>One-touch fitting</t>
  </si>
  <si>
    <t>Finger valve</t>
  </si>
  <si>
    <t>Compact Guide Cylinder</t>
  </si>
  <si>
    <t>Industrial Filter</t>
  </si>
  <si>
    <t>Fiber Elements</t>
  </si>
  <si>
    <t>08/04/2021 (特殊)</t>
  </si>
  <si>
    <t>Cylinder with lock</t>
  </si>
  <si>
    <t>VP744-5DZ1-04A</t>
  </si>
  <si>
    <t>VN00016</t>
  </si>
  <si>
    <t>Pre-filter</t>
  </si>
  <si>
    <t>Regenerated ion exchange resin MB20</t>
  </si>
  <si>
    <t>FAC-2</t>
  </si>
  <si>
    <t>MB20</t>
  </si>
  <si>
    <t>ORGANO V/N</t>
  </si>
  <si>
    <t>IC04-713</t>
  </si>
  <si>
    <t>Cut stone 100x2x16mm</t>
  </si>
  <si>
    <t>Iron Grinding (BOS-017-161)</t>
  </si>
  <si>
    <t>Saw blade</t>
  </si>
  <si>
    <t>BS305M2</t>
  </si>
  <si>
    <t>Flange</t>
  </si>
  <si>
    <t>21-N10A-400010</t>
  </si>
  <si>
    <t>KELI INDUSTRIAL</t>
  </si>
  <si>
    <t>A-1-02-005</t>
  </si>
  <si>
    <t>Máy đúc billet</t>
  </si>
  <si>
    <t>IC04-738</t>
  </si>
  <si>
    <t>GRC1236</t>
  </si>
  <si>
    <t>GRC1237</t>
  </si>
  <si>
    <t>IC04-601</t>
  </si>
  <si>
    <t>IC04-600</t>
  </si>
  <si>
    <t>Flux</t>
  </si>
  <si>
    <t>Ceramic Form Filter</t>
  </si>
  <si>
    <t>Spanner Set</t>
  </si>
  <si>
    <t>Combination Spanner</t>
  </si>
  <si>
    <t>Drill</t>
  </si>
  <si>
    <t>Deifimatic Indicator</t>
  </si>
  <si>
    <t>Magnetic Stand</t>
  </si>
  <si>
    <t>Drill Set</t>
  </si>
  <si>
    <t>Crystallizer Heating Equipment</t>
  </si>
  <si>
    <t>Work Platform</t>
  </si>
  <si>
    <t>9inches Counter Weight</t>
  </si>
  <si>
    <t>Recommended tool</t>
  </si>
  <si>
    <t>Support Frame</t>
  </si>
  <si>
    <t>Pressure Plate Wrench</t>
  </si>
  <si>
    <t>Torque Wrench</t>
  </si>
  <si>
    <t>Plug Gauge</t>
  </si>
  <si>
    <t>Oven</t>
  </si>
  <si>
    <t>Thermometer</t>
  </si>
  <si>
    <t>Rubber wheel</t>
  </si>
  <si>
    <t>Safety Pin</t>
  </si>
  <si>
    <t>Electric light for  Deep Pit</t>
  </si>
  <si>
    <t>Buffle Plate</t>
  </si>
  <si>
    <t>Sensor</t>
  </si>
  <si>
    <t>Filter for High Pressure Oil</t>
  </si>
  <si>
    <t>Filter for Return Oil</t>
  </si>
  <si>
    <t>O-ring</t>
  </si>
  <si>
    <t>Dust Ring</t>
  </si>
  <si>
    <t>Connector for Pressure measurement</t>
  </si>
  <si>
    <t>Side Launder</t>
  </si>
  <si>
    <t>Straight Launder</t>
  </si>
  <si>
    <t>Distribution Launder</t>
  </si>
  <si>
    <t>Middle distribution Launder</t>
  </si>
  <si>
    <t>Left angle Launder</t>
  </si>
  <si>
    <t>Right angle Launder</t>
  </si>
  <si>
    <t>9 inches Casting Pipe</t>
  </si>
  <si>
    <t>Burner</t>
  </si>
  <si>
    <t>Mixing air valve</t>
  </si>
  <si>
    <t>Grease injector</t>
  </si>
  <si>
    <t>Combined Washer(SUS304+NBR)</t>
  </si>
  <si>
    <t>Valve Core</t>
  </si>
  <si>
    <t>Graduated Glass Tube</t>
  </si>
  <si>
    <t>Ventilation plug</t>
  </si>
  <si>
    <t>Conical Spring</t>
  </si>
  <si>
    <t>Valve seat</t>
  </si>
  <si>
    <t>Bolt</t>
  </si>
  <si>
    <t>Left Screw Plug</t>
  </si>
  <si>
    <t>9inches Crystallizer</t>
  </si>
  <si>
    <t>Crystallizer Body</t>
  </si>
  <si>
    <t>Pressure Plate</t>
  </si>
  <si>
    <t>Water Diversion Ring</t>
  </si>
  <si>
    <t>Transition Plate</t>
  </si>
  <si>
    <t>Graphite Ring</t>
  </si>
  <si>
    <t>Crystallizer sealing</t>
  </si>
  <si>
    <t>A-700</t>
  </si>
  <si>
    <t>TS210</t>
  </si>
  <si>
    <t>TMS-14S</t>
  </si>
  <si>
    <t>TCD-SDS-80</t>
  </si>
  <si>
    <t>TCD-SDS-200L</t>
  </si>
  <si>
    <t>7010-10</t>
  </si>
  <si>
    <t>KSDSET19</t>
  </si>
  <si>
    <t>5010-000000</t>
  </si>
  <si>
    <t>1210X810X1710MM</t>
  </si>
  <si>
    <t>GZ-190097</t>
  </si>
  <si>
    <t>GZ-190092</t>
  </si>
  <si>
    <t>150-750NM</t>
  </si>
  <si>
    <t>0.02-1MM</t>
  </si>
  <si>
    <t>ACL-1D</t>
  </si>
  <si>
    <t>TD1100</t>
  </si>
  <si>
    <t>T001-224030</t>
  </si>
  <si>
    <t>N10A-310010</t>
  </si>
  <si>
    <t>21-RI0B-543030</t>
  </si>
  <si>
    <t>MGT200</t>
  </si>
  <si>
    <t>HX-250X10</t>
  </si>
  <si>
    <t>FAX400X10</t>
  </si>
  <si>
    <t>FAX250X10</t>
  </si>
  <si>
    <t>D224X7MM</t>
  </si>
  <si>
    <t>D=380</t>
  </si>
  <si>
    <t>D420X5.7</t>
  </si>
  <si>
    <t>M14X1.5</t>
  </si>
  <si>
    <t>21-RI0B-120010</t>
  </si>
  <si>
    <t>21-RI0B-120020</t>
  </si>
  <si>
    <t>21-RI0B-120030</t>
  </si>
  <si>
    <t>21-RI0B-120040</t>
  </si>
  <si>
    <t>21-RI0B-120050</t>
  </si>
  <si>
    <t>21-RI0B-120060</t>
  </si>
  <si>
    <t>21-RI0B-100030</t>
  </si>
  <si>
    <t>T001-900080</t>
  </si>
  <si>
    <t>RQ3012-02</t>
  </si>
  <si>
    <t>33V010</t>
  </si>
  <si>
    <t>8MM</t>
  </si>
  <si>
    <t>10MM</t>
  </si>
  <si>
    <t>T001-440000</t>
  </si>
  <si>
    <t>D20X2.65MM</t>
  </si>
  <si>
    <t>D10X1.8MM</t>
  </si>
  <si>
    <t>D4X1.8MM</t>
  </si>
  <si>
    <t>D10X3.55MM</t>
  </si>
  <si>
    <t>T001-440070</t>
  </si>
  <si>
    <t>T001-440050</t>
  </si>
  <si>
    <t>T001-440040</t>
  </si>
  <si>
    <t>T001-970030</t>
  </si>
  <si>
    <t>T001-440100</t>
  </si>
  <si>
    <t>T001-970070</t>
  </si>
  <si>
    <t>T001-920040</t>
  </si>
  <si>
    <t>T001-979000</t>
  </si>
  <si>
    <t>T001-979010</t>
  </si>
  <si>
    <t>T001-979020</t>
  </si>
  <si>
    <t>T001-979050</t>
  </si>
  <si>
    <t>T001-979030</t>
  </si>
  <si>
    <t>T001-979040</t>
  </si>
  <si>
    <t>T001-510100</t>
  </si>
  <si>
    <t>T001-979070</t>
  </si>
  <si>
    <t>T001-979080</t>
  </si>
  <si>
    <t>D4X3.55MM</t>
  </si>
  <si>
    <t>CHINA / KELI</t>
  </si>
  <si>
    <t>CDA2G80-450Z-A54Z</t>
  </si>
  <si>
    <t>CDS1FN125-105-A54Z3-XC3BD</t>
  </si>
  <si>
    <t>CDNSD125-250-D</t>
  </si>
  <si>
    <t>PF3W720-04-AT-M</t>
  </si>
  <si>
    <t xml:space="preserve">CDA2B40-50Z　　　　　　　 </t>
  </si>
  <si>
    <t>CDS2F125-1800-DCW1952W-A54Z4（特殊）</t>
  </si>
  <si>
    <t>CHD2HFY80B-245-A54Z4</t>
  </si>
  <si>
    <t>Digital Flow Switch for Water</t>
  </si>
  <si>
    <t xml:space="preserve">Air Cylinder </t>
  </si>
  <si>
    <t>Hydraulic cylinder</t>
  </si>
  <si>
    <t>VN00020</t>
  </si>
  <si>
    <t>VN00018</t>
  </si>
  <si>
    <t>VN00019</t>
  </si>
  <si>
    <t>VN00017</t>
  </si>
  <si>
    <t>Q8, page 332</t>
  </si>
  <si>
    <t>Q2-1, page 568, 569</t>
  </si>
  <si>
    <t>Q11, page 358, 359</t>
  </si>
  <si>
    <t>Nhôm</t>
  </si>
  <si>
    <t>Q7, page 48</t>
  </si>
  <si>
    <t>Q1-2, page 1690</t>
  </si>
  <si>
    <t>Q2-2, page 432-433</t>
  </si>
  <si>
    <t>Q2-1, page 392,393</t>
  </si>
  <si>
    <t>Q2-1, page 470-471</t>
  </si>
  <si>
    <t>Q2-1, page 535-536</t>
  </si>
  <si>
    <t>Q2-3, page 812, 813</t>
  </si>
  <si>
    <t>Q2-1, page 318,319</t>
  </si>
  <si>
    <t>Q2-1, page 470,471</t>
  </si>
  <si>
    <t>Q11, page 24</t>
  </si>
  <si>
    <t>Q11, page 41</t>
  </si>
  <si>
    <t>Q2-2, page 956,957</t>
  </si>
  <si>
    <t>Q1-2, page 1271</t>
  </si>
  <si>
    <t>Ngày tạo 
đơn hàng</t>
  </si>
  <si>
    <t>YVF105</t>
  </si>
  <si>
    <t>Khớp nối</t>
  </si>
  <si>
    <t>SUS303+PBT</t>
  </si>
  <si>
    <t>Valve trộn khí</t>
  </si>
  <si>
    <t>Nhôm đúc / sơn bạc bạch kim</t>
  </si>
  <si>
    <t>Bộ kiểm soát tốc độ</t>
  </si>
  <si>
    <t>Hợp kim kẽm</t>
  </si>
  <si>
    <t>Lõi lọc</t>
  </si>
  <si>
    <t>polypropylene</t>
  </si>
  <si>
    <t>LVF136</t>
  </si>
  <si>
    <t>Bộ điều chỉnh khí kèm lọc</t>
  </si>
  <si>
    <t>[Plastic] Polycarbonate Case</t>
  </si>
  <si>
    <t>Carbon steel</t>
  </si>
  <si>
    <t>PBT+PP</t>
  </si>
  <si>
    <t>YVF107</t>
  </si>
  <si>
    <t>Xy lanh có khóa</t>
  </si>
  <si>
    <t xml:space="preserve">Hợp kim nhôm </t>
  </si>
  <si>
    <t>Van điện từ</t>
  </si>
  <si>
    <t>JIG13609-06</t>
  </si>
  <si>
    <t>Die ring Rack</t>
  </si>
  <si>
    <t>JIG13609-07</t>
  </si>
  <si>
    <t>Die Bolster Rack</t>
  </si>
  <si>
    <t>Hydraulic oil hose</t>
  </si>
  <si>
    <t>BU32A-20A</t>
  </si>
  <si>
    <t>High Pressure Bushing BU32A-20A</t>
  </si>
  <si>
    <t>CBS10-20</t>
  </si>
  <si>
    <t>Low head hexagon socket head cap screws</t>
  </si>
  <si>
    <t>HSHCS-M12-110</t>
  </si>
  <si>
    <t>Hex Wrench Bolt</t>
  </si>
  <si>
    <t>Mr.Adachi</t>
  </si>
  <si>
    <t>Mr.Yamamori</t>
  </si>
  <si>
    <t>Tiến</t>
  </si>
  <si>
    <t>C-1080</t>
  </si>
  <si>
    <t>Anchor C type</t>
  </si>
  <si>
    <t>JIG13512-01</t>
  </si>
  <si>
    <t>JIG13512-02</t>
  </si>
  <si>
    <t>JIG13512-03</t>
  </si>
  <si>
    <t>JIG13512-04</t>
  </si>
  <si>
    <t>IC05-8</t>
  </si>
  <si>
    <t>A-1-05-046-019</t>
  </si>
  <si>
    <t xml:space="preserve">Safety Fence </t>
  </si>
  <si>
    <t>DUCT VN201230SMC3QH01</t>
  </si>
  <si>
    <t>VN201230SMC3QH01</t>
  </si>
  <si>
    <t>A-1-05-003-008</t>
  </si>
  <si>
    <t>IC05-7</t>
  </si>
  <si>
    <t>CDS1TN160-370　      （特殊）</t>
  </si>
  <si>
    <t>CDS2D125-250-A54L-XC86D （特殊）</t>
  </si>
  <si>
    <t>CS1L180-2800-DCX1664X　（特殊）</t>
  </si>
  <si>
    <t>CS1L180-550-XC3ADC86D（特殊）</t>
  </si>
  <si>
    <t>Xi lanh thủy lực</t>
  </si>
  <si>
    <t>S62-1920</t>
  </si>
  <si>
    <t>Speed controller</t>
  </si>
  <si>
    <t>Mixing valve</t>
  </si>
  <si>
    <t>Q2-1, page 538</t>
  </si>
  <si>
    <t>Q2-1, page 568</t>
  </si>
  <si>
    <t>Q2-1, page 530</t>
  </si>
  <si>
    <t>Q2-1, page 470</t>
  </si>
  <si>
    <t>NK1901</t>
  </si>
  <si>
    <t>543-390</t>
  </si>
  <si>
    <t>LVF142</t>
  </si>
  <si>
    <t>Bộ lọc nước làm mát</t>
  </si>
  <si>
    <t>Non-Stock</t>
  </si>
  <si>
    <t>HSHCS-M12-120</t>
  </si>
  <si>
    <t>Drilling machine stand table</t>
  </si>
  <si>
    <t>T001-700010</t>
  </si>
  <si>
    <t>T001-730000</t>
  </si>
  <si>
    <t>T001-760000</t>
  </si>
  <si>
    <t>Van khí</t>
  </si>
  <si>
    <t>PBT</t>
  </si>
  <si>
    <t>LVF144</t>
  </si>
  <si>
    <t>Aluminum alloy</t>
  </si>
  <si>
    <t>Xy lanh có dẫn hướng</t>
  </si>
  <si>
    <t>Lò gia nhiệt</t>
  </si>
  <si>
    <t>Bệ thao tác</t>
  </si>
  <si>
    <t>Đối trọng 9inch</t>
  </si>
  <si>
    <t>Dụng cụ</t>
  </si>
  <si>
    <t>Khung hỗ trợ</t>
  </si>
  <si>
    <t>Cờ lê tấm áp lực</t>
  </si>
  <si>
    <t>Cờ lê lực</t>
  </si>
  <si>
    <t>Cữ đo lỗ</t>
  </si>
  <si>
    <t>Lò</t>
  </si>
  <si>
    <t>Nhiệt kế</t>
  </si>
  <si>
    <t>Bánh xe cao su</t>
  </si>
  <si>
    <t>Chốt an toàn</t>
  </si>
  <si>
    <t>Đèn điện cho hố sâu</t>
  </si>
  <si>
    <t>Tấm vách ngăn</t>
  </si>
  <si>
    <t>Cảm biến</t>
  </si>
  <si>
    <t>Bộ lọc dầu cao áp</t>
  </si>
  <si>
    <t>Bộ lọc</t>
  </si>
  <si>
    <t>Vòng</t>
  </si>
  <si>
    <t>Vòng chống bụi</t>
  </si>
  <si>
    <t>Đầu nối để đo áp suất</t>
  </si>
  <si>
    <t>Máng xối (vào/ra)</t>
  </si>
  <si>
    <t>Máng xối (đường thẳng)</t>
  </si>
  <si>
    <t>Máng xối (phần phân phối)</t>
  </si>
  <si>
    <t>Máng xối (phần trung tâm)</t>
  </si>
  <si>
    <t>Máng xối (phần góc trái)</t>
  </si>
  <si>
    <t>Máng xối (phần góc phải)</t>
  </si>
  <si>
    <t>Ống đúc 9 inch</t>
  </si>
  <si>
    <t>Đầu đốt</t>
  </si>
  <si>
    <t>Van trộn khí</t>
  </si>
  <si>
    <t>Ống bơm mỡ</t>
  </si>
  <si>
    <t>Long đền</t>
  </si>
  <si>
    <t>Máy điều hoà nhiệt độ</t>
  </si>
  <si>
    <t>Van lõi</t>
  </si>
  <si>
    <t>Ống thủy tinh chia độ</t>
  </si>
  <si>
    <t>Nút thông hơi</t>
  </si>
  <si>
    <t>Lò xo xoắn</t>
  </si>
  <si>
    <t>Chân van</t>
  </si>
  <si>
    <t>Bu lông</t>
  </si>
  <si>
    <t>Nút có ren bên trái</t>
  </si>
  <si>
    <t>Bộ kết tinh 9 inch</t>
  </si>
  <si>
    <t xml:space="preserve">Thân thiết bị </t>
  </si>
  <si>
    <t>Tấm ép</t>
  </si>
  <si>
    <t>Vòng chuyển hướng nước</t>
  </si>
  <si>
    <t>Tấm chuyển tiếp</t>
  </si>
  <si>
    <t>Vòng than chì</t>
  </si>
  <si>
    <t>Phần gắn bộ kết tinh</t>
  </si>
  <si>
    <t>Mặt bích</t>
  </si>
  <si>
    <t>Bộ cờ lê mở</t>
  </si>
  <si>
    <t>Bộ kéo dài kết hợp</t>
  </si>
  <si>
    <t>Mũi khoan</t>
  </si>
  <si>
    <t>Đồng hồ so điện tử</t>
  </si>
  <si>
    <t>Chân đế từ gá đồng hồ so</t>
  </si>
  <si>
    <t>Bộ mũi khoan</t>
  </si>
  <si>
    <t>Giá đỡ vòng khuôn</t>
  </si>
  <si>
    <t>Giá đỡ đệm khuôn</t>
  </si>
  <si>
    <t>Ống dầu thủy lực</t>
  </si>
  <si>
    <t>Cà rá ren inox 304</t>
  </si>
  <si>
    <t>Bu-lông lục giác chìm đầu thấp</t>
  </si>
  <si>
    <t>Bu-lông lục giác chìm</t>
  </si>
  <si>
    <t>Bàn lắp máy khoan</t>
  </si>
  <si>
    <t>Thiết bị kiểm tra không khí
 và kiểm tra dầu</t>
  </si>
  <si>
    <t>IC05-61</t>
  </si>
  <si>
    <t>IC05-62</t>
  </si>
  <si>
    <t>Concrete drill</t>
  </si>
  <si>
    <t>Caustic Soda Flakes</t>
  </si>
  <si>
    <t>ITATSU</t>
  </si>
  <si>
    <t>bag</t>
  </si>
  <si>
    <t>Air test &amp; Oil test equipment (T001-770000)</t>
  </si>
  <si>
    <t>A-OT</t>
  </si>
  <si>
    <t>6 channel flow regulator</t>
  </si>
  <si>
    <t>Bộ lọc dạng gốm</t>
  </si>
  <si>
    <t>SC1084</t>
  </si>
  <si>
    <t>Mục đích</t>
  </si>
  <si>
    <t>ACH1740</t>
  </si>
  <si>
    <t>Máy đùn</t>
  </si>
  <si>
    <t>Puller</t>
  </si>
  <si>
    <t>Máy kéo thẳng</t>
  </si>
  <si>
    <t>Máy hút bụi</t>
  </si>
  <si>
    <t>IC05-83</t>
  </si>
  <si>
    <t>GRC1351</t>
  </si>
  <si>
    <t>HUYNH DUC</t>
  </si>
  <si>
    <t>Ống hút khí</t>
  </si>
  <si>
    <t>Manual sealless steel strapping tool</t>
  </si>
  <si>
    <t>Máy đóng đai nhôm</t>
  </si>
  <si>
    <t>A333</t>
  </si>
  <si>
    <t xml:space="preserve">Working deck </t>
  </si>
  <si>
    <t>Bàn thao tác kiểm tra ngoại quan</t>
  </si>
  <si>
    <t>VA0001353-900</t>
  </si>
  <si>
    <t>GRC1370</t>
  </si>
  <si>
    <t>Mỡ chịu nhiệt B</t>
  </si>
  <si>
    <t>Heat resistant grease B</t>
  </si>
  <si>
    <t>HRSB</t>
  </si>
  <si>
    <t>LVF150</t>
  </si>
  <si>
    <t>Aluminium</t>
  </si>
  <si>
    <t xml:space="preserve">Cảm biến đo lưu lượng nước </t>
  </si>
  <si>
    <t>DIE HEATER</t>
  </si>
  <si>
    <t>Cửa lò nung khuôn</t>
  </si>
  <si>
    <t>Máy cấp billet</t>
  </si>
  <si>
    <t>Billet heater</t>
  </si>
  <si>
    <t>Polyphenylene Sulfide</t>
  </si>
  <si>
    <t>IC06-136</t>
  </si>
  <si>
    <t>Cà rá</t>
  </si>
  <si>
    <t>Note</t>
  </si>
  <si>
    <t>AIBD-2285</t>
  </si>
  <si>
    <t>Thiết bị phía sau</t>
  </si>
  <si>
    <t>Axit clohydric</t>
  </si>
  <si>
    <t>Potassium fluoride</t>
  </si>
  <si>
    <t>Kali florua</t>
  </si>
  <si>
    <t>Electronic balance</t>
  </si>
  <si>
    <t>Cân điện tử</t>
  </si>
  <si>
    <t>Aluminum Portable Photometer</t>
  </si>
  <si>
    <t>Máy đo nhôm quang kế</t>
  </si>
  <si>
    <t>Buret</t>
  </si>
  <si>
    <t>Porcelain Burette Stand</t>
  </si>
  <si>
    <t>Giá đỡ buret từ tính</t>
  </si>
  <si>
    <t>Pipetter</t>
  </si>
  <si>
    <t>Ống nhỏ giọt trong phòng thí nghiệm</t>
  </si>
  <si>
    <t>Graduated Cylinder</t>
  </si>
  <si>
    <t>Ống khắc độ</t>
  </si>
  <si>
    <t>Conical Glass Beaker</t>
  </si>
  <si>
    <t>Cốc thủy tinh hình nón 500ml</t>
  </si>
  <si>
    <t>Wide-Mouth Washing Bottle</t>
  </si>
  <si>
    <t>Chai rửa miệng rộng 250ml</t>
  </si>
  <si>
    <t>Pipette Filler</t>
  </si>
  <si>
    <t>Quả bóp an toàn</t>
  </si>
  <si>
    <t>Dropper bottle (round)</t>
  </si>
  <si>
    <t>Chai nhỏ giọt (tròn) 60ml</t>
  </si>
  <si>
    <t xml:space="preserve">Spoon </t>
  </si>
  <si>
    <t>Muỗng dùng cho phòng thí nghiệm</t>
  </si>
  <si>
    <t>Chai cân loại hình trụ</t>
  </si>
  <si>
    <t>Phenolphthalein solution</t>
  </si>
  <si>
    <t>Dung dịch phenolphtalein</t>
  </si>
  <si>
    <t>Chair without wheels</t>
  </si>
  <si>
    <t>HCL</t>
  </si>
  <si>
    <t>KF</t>
  </si>
  <si>
    <t>2-9138-03</t>
  </si>
  <si>
    <t>6-255-01</t>
  </si>
  <si>
    <t>1-1323-03</t>
  </si>
  <si>
    <t>1-4640-01</t>
  </si>
  <si>
    <t>2-834-03</t>
  </si>
  <si>
    <t>C20H14O4</t>
  </si>
  <si>
    <t>WCHAIR</t>
  </si>
  <si>
    <t>Stk-Chemicals</t>
  </si>
  <si>
    <t>[Prd] Perishable tools and jigs expenses</t>
  </si>
  <si>
    <t>[Prd] Fixtures</t>
  </si>
  <si>
    <t>Liter</t>
  </si>
  <si>
    <t>Unit</t>
  </si>
  <si>
    <t>AIBD-2299</t>
  </si>
  <si>
    <t>GRC1440</t>
  </si>
  <si>
    <t>GRC1445</t>
  </si>
  <si>
    <t>Chất tạo xỉ nhôm</t>
  </si>
  <si>
    <t>Hạt lọc</t>
  </si>
  <si>
    <t>SK1015-240</t>
  </si>
  <si>
    <t>T3-101M</t>
  </si>
  <si>
    <t>INT-005D</t>
  </si>
  <si>
    <t>HI01056T</t>
  </si>
  <si>
    <t>GS-5-SET-400</t>
  </si>
  <si>
    <t>GS-12-SET-400</t>
  </si>
  <si>
    <t>TBR-400</t>
  </si>
  <si>
    <t>3530-01</t>
  </si>
  <si>
    <t>Paper Mini Flap Wheel 240#</t>
  </si>
  <si>
    <t>Diamond Bur</t>
  </si>
  <si>
    <t>Diamond Internal Bur</t>
  </si>
  <si>
    <t>Precision Needle File</t>
  </si>
  <si>
    <t>Diamond File</t>
  </si>
  <si>
    <t>Abrasibe Cloth Roll #400</t>
  </si>
  <si>
    <t>Parallel Pin</t>
  </si>
  <si>
    <t>Diamond Spray Excellent</t>
  </si>
  <si>
    <t>Dụng cụ đánh bóng 240#</t>
  </si>
  <si>
    <t>Bộ giũa phẳng</t>
  </si>
  <si>
    <t>Bộ giũa</t>
  </si>
  <si>
    <t>Giấy chà nhám #400</t>
  </si>
  <si>
    <t>Pin song song</t>
  </si>
  <si>
    <t>Stk-Perish_Tool_JIG</t>
  </si>
  <si>
    <t>FELT-840X150X1.6MM</t>
  </si>
  <si>
    <t>Heat resistant felt for ageing spacer</t>
  </si>
  <si>
    <t>Thanh nỉ</t>
  </si>
  <si>
    <t>4WRPH6CA40L-2X/G24Z4/V-855</t>
  </si>
  <si>
    <t>H-4WEH32E-6X/6EW100N9DJL</t>
  </si>
  <si>
    <t>LC50DB40E-7X</t>
  </si>
  <si>
    <t>DB30-2-5X/350</t>
  </si>
  <si>
    <t>DB10-2-5X/350</t>
  </si>
  <si>
    <t>SQP432-50-38-21-86DDD-18</t>
  </si>
  <si>
    <t>SQP43-60-38-86DD-18</t>
  </si>
  <si>
    <t>PHC31-HSYL-11-CGH-D-10-S2</t>
  </si>
  <si>
    <t>DG4V-5-2A-M-PL-T-6-40-JA893</t>
  </si>
  <si>
    <t>DG4V-3-2A-M-P2-T-7-56-JA893</t>
  </si>
  <si>
    <t>DG4V-5-2A-M-PL-T-6-40-JA893P26</t>
  </si>
  <si>
    <t>DG4V-5-2C-M-PL-T-6-40-JA893</t>
  </si>
  <si>
    <t>DG4V-5-0C-M-PL-T-6-40-JA893</t>
  </si>
  <si>
    <t>DG4V-3-6C-M-P2-T-7-56-JA893</t>
  </si>
  <si>
    <t>DG4V-3-2C-M-P2-T-7-P15-56JA893</t>
  </si>
  <si>
    <t>DG4V-3-0C-M-P2-T-7-56-JA893</t>
  </si>
  <si>
    <t>DG5V-H8-2B-P2-T-86-JA893</t>
  </si>
  <si>
    <t>DG5V-7-0A-E-P2-T-86-JA893</t>
  </si>
  <si>
    <t>DG4V-3-2A-M-P2-T-7-P10-56JA893</t>
  </si>
  <si>
    <t>DG4V-3-0C-M-P2-T-7-B15-56JA893</t>
  </si>
  <si>
    <t>COM-8-2C-250-CH-10</t>
  </si>
  <si>
    <t>DG5V-H8-2C-E-P2-T-86-JA893</t>
  </si>
  <si>
    <t>DG4V-3-2C-M-P2-T-7-56-JA893</t>
  </si>
  <si>
    <t>DG4V-3-2A-M-P2-T-7-P15-56J-A893</t>
  </si>
  <si>
    <t>TGMC-3-BT-BW-50</t>
  </si>
  <si>
    <t>TGMC2-3-AT-GW-BT-AW-50</t>
  </si>
  <si>
    <t>TGMC-3-BT-GW-50</t>
  </si>
  <si>
    <t>TGMC-5-AT-BW-50</t>
  </si>
  <si>
    <t>TCG60-10-CVY-B-P2-T-17</t>
  </si>
  <si>
    <t>TCG60-06-CVY-B-P2-T-17</t>
  </si>
  <si>
    <t>TCG60-10-CV-B-P2-T-17</t>
  </si>
  <si>
    <t>TCG20-10-FV-12</t>
  </si>
  <si>
    <t>TGMC-3-BT-AW-50</t>
  </si>
  <si>
    <t>SNH-G04-AR-GMR-D2-10</t>
  </si>
  <si>
    <t>KLD50C-10-A20</t>
  </si>
  <si>
    <t>KLD80C-10-B30</t>
  </si>
  <si>
    <t>KLD50C-10-A10</t>
  </si>
  <si>
    <t>KLD63C-10-C20</t>
  </si>
  <si>
    <t>KLD50C-10-C20</t>
  </si>
  <si>
    <t>KLD40C-10-C20</t>
  </si>
  <si>
    <t>KLD32C-10-C20</t>
  </si>
  <si>
    <t>KLD32S2-10</t>
  </si>
  <si>
    <t>LU32S2-10</t>
  </si>
  <si>
    <t>W8007-150SPX-C7S42</t>
  </si>
  <si>
    <t>NH552760GMC2K02KCZ</t>
  </si>
  <si>
    <t>600MTS14M2002G</t>
  </si>
  <si>
    <t>430317DUC2</t>
  </si>
  <si>
    <t>CHHX-6140-5T-11</t>
  </si>
  <si>
    <t>CHHX-6165-SV-13</t>
  </si>
  <si>
    <t>HGH20HA2R760Z0CII.ZZ</t>
  </si>
  <si>
    <t>HGW55CA2R1380Z0CII.ZZ</t>
  </si>
  <si>
    <t>EGH20CA1R220Z0H</t>
  </si>
  <si>
    <t>BLK3232-3.6ZZ</t>
  </si>
  <si>
    <t>HSR35LB3ZZ-5720L-II</t>
  </si>
  <si>
    <t>VT-HPC-1-1X/M-0-00/00</t>
  </si>
  <si>
    <t>SF-TVE3</t>
  </si>
  <si>
    <t>SF-PRF-VN-45KW</t>
  </si>
  <si>
    <t>SF-PRF-VN-15KW</t>
  </si>
  <si>
    <t>150-S480NBD</t>
  </si>
  <si>
    <t>GP32-150-10B</t>
  </si>
  <si>
    <t>GP48-150-100B</t>
  </si>
  <si>
    <t>GP55-220-45B</t>
  </si>
  <si>
    <t>Logic valve</t>
  </si>
  <si>
    <t>Pressure relief valve</t>
  </si>
  <si>
    <t>Auxiliary pump</t>
  </si>
  <si>
    <t>Cooling pump</t>
  </si>
  <si>
    <t>Container seal pump</t>
  </si>
  <si>
    <t>Ball screw</t>
  </si>
  <si>
    <t>Guide</t>
  </si>
  <si>
    <t>Timing belt</t>
  </si>
  <si>
    <t>Double row tapered roller bearing</t>
  </si>
  <si>
    <t>Speed reducer</t>
  </si>
  <si>
    <t>Guide RM</t>
  </si>
  <si>
    <t>Motor</t>
  </si>
  <si>
    <t>Soft starter</t>
  </si>
  <si>
    <t>Máy bơm chính</t>
  </si>
  <si>
    <t>Van tỷ lệ cho máy bơm chính</t>
  </si>
  <si>
    <t>Van logic</t>
  </si>
  <si>
    <t>Van giảm áp</t>
  </si>
  <si>
    <t>Bơm phụ trợ</t>
  </si>
  <si>
    <t>Bơm làm mát</t>
  </si>
  <si>
    <t>Bơm làm kín thùng chứa</t>
  </si>
  <si>
    <t>Vít bi</t>
  </si>
  <si>
    <t>Thanh dẫn hướng</t>
  </si>
  <si>
    <t>Dây đai răng</t>
  </si>
  <si>
    <t>Vòng bi côn</t>
  </si>
  <si>
    <t>Máy giảm tốc</t>
  </si>
  <si>
    <t>Thanh dẫn hướng LM</t>
  </si>
  <si>
    <t>Bộ khuếch đại</t>
  </si>
  <si>
    <t>Động cơ</t>
  </si>
  <si>
    <t>Khởi động mềm</t>
  </si>
  <si>
    <t>GRC1473</t>
  </si>
  <si>
    <t>LVF153</t>
  </si>
  <si>
    <t>IC05-249</t>
  </si>
  <si>
    <t>UENO V/N</t>
  </si>
  <si>
    <t>MISUMI</t>
  </si>
  <si>
    <t>OMB10F-10X2500L</t>
  </si>
  <si>
    <t>OMB10F-10X3500L</t>
  </si>
  <si>
    <t>SMC-05-21-001</t>
  </si>
  <si>
    <t>IC05-230</t>
  </si>
  <si>
    <t>FZ-2000IWP</t>
  </si>
  <si>
    <t>Standard chemical</t>
  </si>
  <si>
    <t>Felt sheet</t>
  </si>
  <si>
    <t>AC00004</t>
  </si>
  <si>
    <t>RT28-32</t>
  </si>
  <si>
    <t>Ruột cầu chì</t>
  </si>
  <si>
    <t>Fuse</t>
  </si>
  <si>
    <t>Thùng đựng xỉ nhôm</t>
  </si>
  <si>
    <t>Aluminum slag Container</t>
  </si>
  <si>
    <t>Chất chuẩn đo nhôm</t>
  </si>
  <si>
    <t>HI-97712</t>
  </si>
  <si>
    <t>Dầu thủy lực 68</t>
  </si>
  <si>
    <t>Fuse tube 3A</t>
  </si>
  <si>
    <t>Industrial cleaner machine</t>
  </si>
  <si>
    <t>Round Die for Metric Screw</t>
  </si>
  <si>
    <t>Die Handle</t>
  </si>
  <si>
    <t>Billet heater rack</t>
  </si>
  <si>
    <t>Stem rack</t>
  </si>
  <si>
    <t>Container rack</t>
  </si>
  <si>
    <t>Cầu chì ống 3A</t>
  </si>
  <si>
    <t>Máy hút bụi công nghiệp</t>
  </si>
  <si>
    <t>Bàn cắt ren ngoài</t>
  </si>
  <si>
    <t>Tay cầm kẹp bàn cắt ren ngoài</t>
  </si>
  <si>
    <t>Giá đỡ cuộn cảm máy gia nhiệt</t>
  </si>
  <si>
    <t>Giá đỡ thanh đẩy</t>
  </si>
  <si>
    <t>Giá đỡ thùng chứa</t>
  </si>
  <si>
    <t>FUSETUBE3A-5X20</t>
  </si>
  <si>
    <t>HC902</t>
  </si>
  <si>
    <t>T38D-16X2.0</t>
  </si>
  <si>
    <t>DH-38-NM3</t>
  </si>
  <si>
    <t>VN210702XT11</t>
  </si>
  <si>
    <t>VN210702XT12</t>
  </si>
  <si>
    <t>VN210702XT13</t>
  </si>
  <si>
    <t>Pack</t>
  </si>
  <si>
    <t>roll</t>
  </si>
  <si>
    <t>HPB-Q-12X25</t>
  </si>
  <si>
    <t>Chai nhựa</t>
  </si>
  <si>
    <t>Mũi đá mài</t>
  </si>
  <si>
    <t>Thanh thép tròn đặc Ø16</t>
  </si>
  <si>
    <t>Máy đo độ cứng cầm tay</t>
  </si>
  <si>
    <t>Cửa hàng rào an toàn</t>
  </si>
  <si>
    <t>Máy mài khuôn</t>
  </si>
  <si>
    <t>GD0600</t>
  </si>
  <si>
    <t>Hardness testing machines</t>
  </si>
  <si>
    <t>Straight Type Sander</t>
  </si>
  <si>
    <t>HDT-L410</t>
  </si>
  <si>
    <t>Safety Glasses</t>
  </si>
  <si>
    <t>Kính bảo hộ</t>
  </si>
  <si>
    <t>GS-37S</t>
  </si>
  <si>
    <t>AIBD-2386</t>
  </si>
  <si>
    <t>AIBD-2387</t>
  </si>
  <si>
    <t>AIBD-2389</t>
  </si>
  <si>
    <t>Giẻ lau</t>
  </si>
  <si>
    <t>SUPER STONE</t>
  </si>
  <si>
    <t>Đá mài</t>
  </si>
  <si>
    <t>NSW104</t>
  </si>
  <si>
    <t>NSW106</t>
  </si>
  <si>
    <t>NSW110</t>
  </si>
  <si>
    <t>AIBD-2395</t>
  </si>
  <si>
    <t>IC05-270</t>
  </si>
  <si>
    <t>IC05-272</t>
  </si>
  <si>
    <t>Transparent PVC Flexible Clear Sheet</t>
  </si>
  <si>
    <t>PVC-2070X3300</t>
  </si>
  <si>
    <t>Tấm PVC dẻo trong suốt</t>
  </si>
  <si>
    <t>Tay cầm đá mài</t>
  </si>
  <si>
    <t>Straight brush</t>
  </si>
  <si>
    <t>STL-016003B</t>
  </si>
  <si>
    <t xml:space="preserve">Bàn chải  </t>
  </si>
  <si>
    <t>GRC1528</t>
  </si>
  <si>
    <t>Burette 50ml</t>
  </si>
  <si>
    <t>Weighing Bottle Cylindrical Type 40X25mm</t>
  </si>
  <si>
    <t>WEIGHING BOTTLE-40X25MM</t>
  </si>
  <si>
    <t>PIPETTER-10ML</t>
  </si>
  <si>
    <t>GLASSBOTTLE-600ML</t>
  </si>
  <si>
    <t>DROPPERBOTTLE-60ML</t>
  </si>
  <si>
    <t>SPOON</t>
  </si>
  <si>
    <t>Ghế Inox phòng thí nghiệm</t>
  </si>
  <si>
    <t>HI-93712-01</t>
  </si>
  <si>
    <t>Ms.Linh</t>
  </si>
  <si>
    <t>Ms.Uyên</t>
  </si>
  <si>
    <t>IC05-281</t>
  </si>
  <si>
    <t>AIBD-2419</t>
  </si>
  <si>
    <t>Lithium Grease G-49</t>
  </si>
  <si>
    <t>Mỡ bôi trơn G-49</t>
  </si>
  <si>
    <t>G-49</t>
  </si>
  <si>
    <t>Kg</t>
  </si>
  <si>
    <t>Lithium Grease G-39</t>
  </si>
  <si>
    <t>Mỡ bôi trơn G-39</t>
  </si>
  <si>
    <t>G-39</t>
  </si>
  <si>
    <t>Heat-resistant grease</t>
  </si>
  <si>
    <t>Mỡ chịu nhiệt</t>
  </si>
  <si>
    <t>Heat-resistant grease G-31</t>
  </si>
  <si>
    <t>Mỡ chịu nhiệt G-31</t>
  </si>
  <si>
    <t>G-31</t>
  </si>
  <si>
    <t>Grease G-32</t>
  </si>
  <si>
    <t>Mỡ G-32</t>
  </si>
  <si>
    <t>G-32</t>
  </si>
  <si>
    <t>Grease R220</t>
  </si>
  <si>
    <t>Mỡ R220</t>
  </si>
  <si>
    <t>R220</t>
  </si>
  <si>
    <t>Lubricant R295-46</t>
  </si>
  <si>
    <t>Dầu bôi trơn R295-46</t>
  </si>
  <si>
    <t>R295-46</t>
  </si>
  <si>
    <t>Lubricant R329-VG220</t>
  </si>
  <si>
    <t>Dầu bôi trơn R329-VG220</t>
  </si>
  <si>
    <t>R329-VG220</t>
  </si>
  <si>
    <t>D4SL-N2EFA-D</t>
  </si>
  <si>
    <t>GA-2A</t>
  </si>
  <si>
    <t>SMC-09-20-003</t>
  </si>
  <si>
    <t>Guard Lock Safety-door</t>
  </si>
  <si>
    <t xml:space="preserve">Orange paint </t>
  </si>
  <si>
    <t xml:space="preserve">White paint </t>
  </si>
  <si>
    <t xml:space="preserve">Blue paint </t>
  </si>
  <si>
    <t xml:space="preserve">Green paint </t>
  </si>
  <si>
    <t>Stainless steel barricade</t>
  </si>
  <si>
    <t>Water Pump Pliers</t>
  </si>
  <si>
    <t>Protective frame</t>
  </si>
  <si>
    <t>Khóa bảo vệ cửa</t>
  </si>
  <si>
    <t>Sơn màu cam</t>
  </si>
  <si>
    <t>Sơn màu trắng</t>
  </si>
  <si>
    <t>Sơn màu xanh da trời</t>
  </si>
  <si>
    <t>Sơn màu xanh lá</t>
  </si>
  <si>
    <t>Sơn màu bạc</t>
  </si>
  <si>
    <t>Dung môi</t>
  </si>
  <si>
    <t>Cột chắn inox dây kéo căng</t>
  </si>
  <si>
    <t>Kìm mỏ quạ</t>
  </si>
  <si>
    <t>Khung bảo vệ bên dưới cầu thang</t>
  </si>
  <si>
    <t>3M-764W-F1</t>
  </si>
  <si>
    <t>Floor tape 3M 764 (white 48mmx33mm)</t>
  </si>
  <si>
    <t>Băng keo dán nền 3M</t>
  </si>
  <si>
    <t>Kệ để khuôn</t>
  </si>
  <si>
    <t>[Prd] Miscellaneous expenses</t>
  </si>
  <si>
    <t>Bộ chỉnh lưu</t>
  </si>
  <si>
    <t>JA8374-D201-DV</t>
  </si>
  <si>
    <t>JA8377-L201-DV</t>
  </si>
  <si>
    <t>JA8376-K201-DV</t>
  </si>
  <si>
    <t>15F-4FB1</t>
  </si>
  <si>
    <t>Saw blade sharpening service JA8374-D201</t>
  </si>
  <si>
    <t>Saw blade sharpening service JA8377-L201</t>
  </si>
  <si>
    <t>Saw blade sharpening service JA8376-K201</t>
  </si>
  <si>
    <t xml:space="preserve">Rectifier </t>
  </si>
  <si>
    <t>Dịch vụ mài lưỡi cưa JA8374-D201</t>
  </si>
  <si>
    <t>Dịch vụ mài lưỡi cưa JA8377-L201</t>
  </si>
  <si>
    <t>Dịch vụ mài lưỡi cưa JA8376-K201</t>
  </si>
  <si>
    <t>box</t>
  </si>
  <si>
    <t>Brake rectifier</t>
  </si>
  <si>
    <t>Phanh chỉnh lưu</t>
  </si>
  <si>
    <t>Steel pipe</t>
  </si>
  <si>
    <t>Ống thép</t>
  </si>
  <si>
    <t>JISG3452</t>
  </si>
  <si>
    <t>Arm cover</t>
  </si>
  <si>
    <t>Bọc cánh tay</t>
  </si>
  <si>
    <t>Three-finger gloves</t>
  </si>
  <si>
    <t>Găng tay 3 ngón</t>
  </si>
  <si>
    <t xml:space="preserve">Foot cover </t>
  </si>
  <si>
    <t>Bao chân</t>
  </si>
  <si>
    <t>Torch Cover</t>
  </si>
  <si>
    <t>Nắp chụp</t>
  </si>
  <si>
    <t>231-6200</t>
  </si>
  <si>
    <t>231-6196</t>
  </si>
  <si>
    <t>231-6412</t>
  </si>
  <si>
    <t>761-2435</t>
  </si>
  <si>
    <t>Set</t>
  </si>
  <si>
    <t>Stick holder</t>
  </si>
  <si>
    <t>SSH-4</t>
  </si>
  <si>
    <t>SSH-6</t>
  </si>
  <si>
    <t>SSH-10</t>
  </si>
  <si>
    <t>Smooth gloves</t>
  </si>
  <si>
    <t>Bao tay</t>
  </si>
  <si>
    <t>1800L</t>
  </si>
  <si>
    <t>TECHNIQUES</t>
  </si>
  <si>
    <t>AIBD-2432</t>
  </si>
  <si>
    <t>AIBD-2451</t>
  </si>
  <si>
    <t>Led light</t>
  </si>
  <si>
    <t>Stand base</t>
  </si>
  <si>
    <t>Đèn LED</t>
  </si>
  <si>
    <t>Giá đỡ đèn LED</t>
  </si>
  <si>
    <t>VLED-400L</t>
  </si>
  <si>
    <t>V21</t>
  </si>
  <si>
    <t>AIBD-2468</t>
  </si>
  <si>
    <t>IC05-318</t>
  </si>
  <si>
    <t>Shoping cart</t>
  </si>
  <si>
    <t>IC05-317</t>
  </si>
  <si>
    <t>SLA-MK</t>
  </si>
  <si>
    <t>Tạp dề cách nhiệt bằng sợi thủy tinh</t>
  </si>
  <si>
    <t xml:space="preserve">Liquid argon </t>
  </si>
  <si>
    <t>Bình argon lỏng</t>
  </si>
  <si>
    <t>Paint brush 5cm</t>
  </si>
  <si>
    <t>[Prd] Manufacturing supplies</t>
  </si>
  <si>
    <t>Super highland-68</t>
  </si>
  <si>
    <t>SPHRD68</t>
  </si>
  <si>
    <t>MIXGAS-H2-1-AR-99</t>
  </si>
  <si>
    <t>IC05-331</t>
  </si>
  <si>
    <t>Wheel with nylon shaft</t>
  </si>
  <si>
    <t>Box</t>
  </si>
  <si>
    <t>Sandpaper roll</t>
  </si>
  <si>
    <t>Vải nhám cuộn</t>
  </si>
  <si>
    <t>Insulation Body Cover</t>
  </si>
  <si>
    <t>Cọ sơn 5cm</t>
  </si>
  <si>
    <t>Mix gas 1% H2 + AR balance (99%)</t>
  </si>
  <si>
    <t>Remote crane controller</t>
  </si>
  <si>
    <t>F23-A</t>
  </si>
  <si>
    <t>Bộ điều khiển từ xa</t>
  </si>
  <si>
    <t>IC05-358</t>
  </si>
  <si>
    <t>KLHK-21-IN018</t>
  </si>
  <si>
    <t>05F-4FB3</t>
  </si>
  <si>
    <t>L-AR</t>
  </si>
  <si>
    <t>N01465</t>
  </si>
  <si>
    <t>LVF160</t>
  </si>
  <si>
    <t>AIBD-2509</t>
  </si>
  <si>
    <t>AIBD-2510</t>
  </si>
  <si>
    <t>Đầu mài</t>
  </si>
  <si>
    <t>UFN425-120</t>
  </si>
  <si>
    <t>AIBD-2518</t>
  </si>
  <si>
    <t>GRC-1658</t>
  </si>
  <si>
    <t>GRC-1659</t>
  </si>
  <si>
    <t>AIBD-2528</t>
  </si>
  <si>
    <t>AIBD-2529</t>
  </si>
  <si>
    <t>AIBD-2530</t>
  </si>
  <si>
    <t>AIBD-2531</t>
  </si>
  <si>
    <t>NEWSUN</t>
  </si>
  <si>
    <t>C1000</t>
  </si>
  <si>
    <t>TDXN-1700X1217X590</t>
  </si>
  <si>
    <t>DONG VIET</t>
  </si>
  <si>
    <t>Maker</t>
  </si>
  <si>
    <t>COSMO</t>
  </si>
  <si>
    <t>AIBD-2534</t>
  </si>
  <si>
    <t>GRC-1663</t>
  </si>
  <si>
    <t>AIBD-2535</t>
  </si>
  <si>
    <t>Dầu thủy lực SE-46</t>
  </si>
  <si>
    <t>JIXTG</t>
  </si>
  <si>
    <t>Steel plate</t>
  </si>
  <si>
    <t>Tấm thép</t>
  </si>
  <si>
    <t>AIBD-2541</t>
  </si>
  <si>
    <t>5CNG-12</t>
  </si>
  <si>
    <t>CNG Hose</t>
  </si>
  <si>
    <t>Ống dẫn khí</t>
  </si>
  <si>
    <t>m</t>
  </si>
  <si>
    <t>350
2650</t>
  </si>
  <si>
    <t>29/07/2021
16/8/2021</t>
  </si>
  <si>
    <t>AIBD-2479
AIBD-2553</t>
  </si>
  <si>
    <t>Aluminium spool Jig</t>
  </si>
  <si>
    <t>Đồ múc nhôm</t>
  </si>
  <si>
    <t>VN210702XT14</t>
  </si>
  <si>
    <t>B2-F01-2</t>
  </si>
  <si>
    <t>Thùng nhựa B2 màu xám</t>
  </si>
  <si>
    <t>Grey bucket(PT12)</t>
  </si>
  <si>
    <t>PHU AN</t>
  </si>
  <si>
    <t>Kệ trung tải D1920xR455xC2100</t>
  </si>
  <si>
    <t>EURORACK</t>
  </si>
  <si>
    <t>IC05-383</t>
  </si>
  <si>
    <t>PED21H345</t>
  </si>
  <si>
    <t>PED21H353</t>
  </si>
  <si>
    <t>IC05-390</t>
  </si>
  <si>
    <t>MECI</t>
  </si>
  <si>
    <t>Fuji</t>
  </si>
  <si>
    <t>BW100EAG-3P100A</t>
  </si>
  <si>
    <t>BW100EAG-3P60A</t>
  </si>
  <si>
    <t>BW50EAG-3P30A</t>
  </si>
  <si>
    <t>Magnetic FUJI Circuit Breaker 100A</t>
  </si>
  <si>
    <t>Magnetic FUJI Circuit Breaker 60A</t>
  </si>
  <si>
    <t>Magnetic FUJI Circuit Breaker 30A</t>
  </si>
  <si>
    <t>Bộ ngắt mạch 100A</t>
  </si>
  <si>
    <t>Bộ ngắt mạch 60A</t>
  </si>
  <si>
    <t>Bộ ngắt mạch 30A</t>
  </si>
  <si>
    <t>BW100EAG-3P75A</t>
  </si>
  <si>
    <t>Magnetic FUJI Circuit Breaker 75A</t>
  </si>
  <si>
    <t>Bộ ngắt mạch 75A</t>
  </si>
  <si>
    <t xml:space="preserve">Anti-shock CB </t>
  </si>
  <si>
    <t>CB chống giật</t>
  </si>
  <si>
    <t>EW400EAG-3P-300A-30KA</t>
  </si>
  <si>
    <t>STRAPS-0.6X19MM</t>
  </si>
  <si>
    <t>Steel traps 0.6X19MM</t>
  </si>
  <si>
    <t>Dây đai thép 0.6X19MM</t>
  </si>
  <si>
    <t>UH-5KNX</t>
  </si>
  <si>
    <t>Universal testing machine</t>
  </si>
  <si>
    <t>Thiết bị kiểm tra lực kéo</t>
  </si>
  <si>
    <t>GRC1676</t>
  </si>
  <si>
    <t>PED21H366</t>
  </si>
  <si>
    <t>PED21H367</t>
  </si>
  <si>
    <t>PED21H368</t>
  </si>
  <si>
    <t>B-3</t>
  </si>
  <si>
    <t>NEOSEAL</t>
  </si>
  <si>
    <t>Neoseal (NITTO KAISEI) B-3</t>
  </si>
  <si>
    <t>AIBD-2572</t>
  </si>
  <si>
    <t>3455
3557</t>
  </si>
  <si>
    <t>3366
3558</t>
  </si>
  <si>
    <t>GRC-1694</t>
  </si>
  <si>
    <t>AIBD-2586</t>
  </si>
  <si>
    <t>IC05-421</t>
  </si>
  <si>
    <t>IC05-422</t>
  </si>
  <si>
    <t>IC05-423</t>
  </si>
  <si>
    <t>N000187-C1</t>
  </si>
  <si>
    <t>Racking R455xD1920xC2100</t>
  </si>
  <si>
    <t>OMRON</t>
  </si>
  <si>
    <t>HP-400</t>
  </si>
  <si>
    <t>TOP</t>
  </si>
  <si>
    <t>3227
3305</t>
  </si>
  <si>
    <t>AIBD-2536
AIBD-2615</t>
  </si>
  <si>
    <t>GRC-1702</t>
  </si>
  <si>
    <t>3153
3308</t>
  </si>
  <si>
    <t>AIBD-2504
AIBD-2616</t>
  </si>
  <si>
    <t>SS400X100X50X2CM</t>
  </si>
  <si>
    <t>GRC-1708</t>
  </si>
  <si>
    <t>PED21H394</t>
  </si>
  <si>
    <t>G-17</t>
  </si>
  <si>
    <t>R295-SAE-15W40</t>
  </si>
  <si>
    <t>DURABOND</t>
  </si>
  <si>
    <t>VIEN DAT</t>
  </si>
  <si>
    <t>Dầu bôi trơn R295-SAE-15W40</t>
  </si>
  <si>
    <t>Lubricant R295-SAE-15W40</t>
  </si>
  <si>
    <t>Trung Quoc</t>
  </si>
  <si>
    <t>MEGA32D</t>
  </si>
  <si>
    <t>EX-GDR</t>
  </si>
  <si>
    <t>Drill EX-GDR</t>
  </si>
  <si>
    <t>Mũi khoan EX-GDR</t>
  </si>
  <si>
    <t>A-SFT</t>
  </si>
  <si>
    <t>Mũi khoan A-SFT</t>
  </si>
  <si>
    <t>Drill A-SFT</t>
  </si>
  <si>
    <t>Straight collet MEGA32D</t>
  </si>
  <si>
    <t>Ống kẹp thẳng MEGA32D</t>
  </si>
  <si>
    <t>Gas gia đình 12kg</t>
  </si>
  <si>
    <t>Gray Household Gas Tank 12kg</t>
  </si>
  <si>
    <t>GAS-12KG</t>
  </si>
  <si>
    <t>YDBJ</t>
  </si>
  <si>
    <t>Tạm thời chưa mua</t>
  </si>
  <si>
    <t>IC05-443</t>
  </si>
  <si>
    <t>PED21H385</t>
  </si>
  <si>
    <t>IC05-444</t>
  </si>
  <si>
    <t>PED21H386</t>
  </si>
  <si>
    <t>IC05-439</t>
  </si>
  <si>
    <t>PED21H381</t>
  </si>
  <si>
    <t>AIBD-2639</t>
  </si>
  <si>
    <t>Flexible hose</t>
  </si>
  <si>
    <t>IC05-457</t>
  </si>
  <si>
    <t>VBAT-R</t>
  </si>
  <si>
    <t>Safety valve</t>
  </si>
  <si>
    <t>Van an toàn</t>
  </si>
  <si>
    <t>Page 1024</t>
  </si>
  <si>
    <t>brass (đồng)</t>
  </si>
  <si>
    <t>LPG</t>
  </si>
  <si>
    <t>Nailing machine AN760</t>
  </si>
  <si>
    <t>AN760</t>
  </si>
  <si>
    <t>Cordless stapler</t>
  </si>
  <si>
    <t>Máy bắn đinh AN760</t>
  </si>
  <si>
    <t>Máy bắn đinh ghim</t>
  </si>
  <si>
    <t>DST121RFE</t>
  </si>
  <si>
    <t>Makita</t>
  </si>
  <si>
    <t>Máy cưa lọng chạy pin Makita BJV180RFE</t>
  </si>
  <si>
    <t>Metal band saw</t>
  </si>
  <si>
    <t>Đinh cuộn xoắn</t>
  </si>
  <si>
    <t>KAMOGAWA</t>
  </si>
  <si>
    <t>Stk-Packaging_Matr</t>
  </si>
  <si>
    <t>VCI</t>
  </si>
  <si>
    <t>Giấy chống rỉ VCI</t>
  </si>
  <si>
    <t>Anti-Rush Paper VCI</t>
  </si>
  <si>
    <t>SUNRISE</t>
  </si>
  <si>
    <t>1016J</t>
  </si>
  <si>
    <t>Nail 1016J</t>
  </si>
  <si>
    <t>Đinh 1016J</t>
  </si>
  <si>
    <t>NILON larger format 1m5</t>
  </si>
  <si>
    <t>NILON-1M5</t>
  </si>
  <si>
    <t>NILON khổ lớn 1m5</t>
  </si>
  <si>
    <t>KRAFT-1M5</t>
  </si>
  <si>
    <t>Kraft paper roll 1m5</t>
  </si>
  <si>
    <t>Giấy Kraft cuộn 1m5</t>
  </si>
  <si>
    <t>AIBD-2650</t>
  </si>
  <si>
    <t>CHỜ APPROVE PO</t>
  </si>
  <si>
    <t>AIBD-2651</t>
  </si>
  <si>
    <t>Y đồng kết nối 2 van gas</t>
  </si>
  <si>
    <t>Y copper connect 2 gas valves</t>
  </si>
  <si>
    <t>Y-COPPER</t>
  </si>
  <si>
    <t>Van gas an toàn đồng hồ mario</t>
  </si>
  <si>
    <t>Safety gas valve mario meter</t>
  </si>
  <si>
    <t>VALVE-GAS</t>
  </si>
  <si>
    <t>DJV180RFE</t>
  </si>
  <si>
    <t>PED21I405</t>
  </si>
  <si>
    <t>PED21I403</t>
  </si>
  <si>
    <t>VN00023</t>
  </si>
  <si>
    <t>Refrigerated Air Dryers</t>
  </si>
  <si>
    <t>IDF3E-20</t>
  </si>
  <si>
    <t>Máy sấy</t>
  </si>
  <si>
    <t>TRE820PISO</t>
  </si>
  <si>
    <t>Biến áp đánh lửa COFI TRE820PISO</t>
  </si>
  <si>
    <t>Gas leakage test equipment</t>
  </si>
  <si>
    <t>Máy kiểm tra rò khí gas</t>
  </si>
  <si>
    <t>IC05-474</t>
  </si>
  <si>
    <t>IC05-476</t>
  </si>
  <si>
    <t>PED21I412</t>
  </si>
  <si>
    <t>IC05-482</t>
  </si>
  <si>
    <t>Coupling</t>
  </si>
  <si>
    <t>Bộ kết nối nhanh</t>
  </si>
  <si>
    <t>COUPLING</t>
  </si>
  <si>
    <t>GRC-1734</t>
  </si>
  <si>
    <t>GRC-1735</t>
  </si>
  <si>
    <t>999-008</t>
  </si>
  <si>
    <t>KCC</t>
  </si>
  <si>
    <t>999-001M</t>
  </si>
  <si>
    <t>999-011</t>
  </si>
  <si>
    <t>QT604-9180</t>
  </si>
  <si>
    <t>KCC-002</t>
  </si>
  <si>
    <t>Ống khí mềm</t>
  </si>
  <si>
    <t>F-HOSE</t>
  </si>
  <si>
    <t>AIBD-2669</t>
  </si>
  <si>
    <t>Thinner</t>
  </si>
  <si>
    <t>Heat resistent paint (Sliver)</t>
  </si>
  <si>
    <t>999-013</t>
  </si>
  <si>
    <t>Media for Shot Blasting</t>
  </si>
  <si>
    <t>Tủ chứa hóa chất</t>
  </si>
  <si>
    <t>SMC-08-19-001</t>
  </si>
  <si>
    <t>Chemical storage cabinets</t>
  </si>
  <si>
    <t>PED21I417</t>
  </si>
  <si>
    <t xml:space="preserve"> AIBD-2679</t>
  </si>
  <si>
    <t>Dies Washing Room</t>
  </si>
  <si>
    <t>VN00024</t>
  </si>
  <si>
    <t>Page 28</t>
  </si>
  <si>
    <t>MARIO</t>
  </si>
  <si>
    <t>GRC-1740</t>
  </si>
  <si>
    <t>AIBD-2696</t>
  </si>
  <si>
    <t>IC05-491</t>
  </si>
  <si>
    <t>PRD-Chemicals</t>
  </si>
  <si>
    <t>AIBD-2709</t>
  </si>
  <si>
    <t>AIBD-2713</t>
  </si>
  <si>
    <t>Hộp xỉ khử khí</t>
  </si>
  <si>
    <t>Degassing slag box</t>
  </si>
  <si>
    <t>HOPXI</t>
  </si>
  <si>
    <t>SHOWA CHEMICAL</t>
  </si>
  <si>
    <t>YVF157</t>
  </si>
  <si>
    <t>VH302-03</t>
  </si>
  <si>
    <t>AS3211F-02-12SA</t>
  </si>
  <si>
    <t>KQ2H04-01AS</t>
  </si>
  <si>
    <t>KQ2H06-01AS</t>
  </si>
  <si>
    <t>KQ2H08-01AS</t>
  </si>
  <si>
    <t>KQ2H06-02AS</t>
  </si>
  <si>
    <t>KQ2H08-02AS</t>
  </si>
  <si>
    <t>KQ2H08-03AS</t>
  </si>
  <si>
    <t>KQ2H10-03AS</t>
  </si>
  <si>
    <t>KQ2H06-08A</t>
  </si>
  <si>
    <t>KQ2H04-06A</t>
  </si>
  <si>
    <t>Hand valve</t>
  </si>
  <si>
    <t>Metering valve with silencer</t>
  </si>
  <si>
    <t>xy lanh khí</t>
  </si>
  <si>
    <t>Van tay</t>
  </si>
  <si>
    <t>Giảm âm</t>
  </si>
  <si>
    <t>van ngón tay</t>
  </si>
  <si>
    <t>Transformer</t>
  </si>
  <si>
    <t>COFI</t>
  </si>
  <si>
    <t>Bình khí oxy</t>
  </si>
  <si>
    <t>A2-5A</t>
  </si>
  <si>
    <t>Isolation transformer (220/220/110)</t>
  </si>
  <si>
    <t>Biến áp cách ly (220/220/110)</t>
  </si>
  <si>
    <t>FUSHIN</t>
  </si>
  <si>
    <t>Forklift extension forks</t>
  </si>
  <si>
    <t>Vi cầu thủy tinh</t>
  </si>
  <si>
    <t>AIBD-2739</t>
  </si>
  <si>
    <t>XP-702IIIA</t>
  </si>
  <si>
    <t>GRC-1804</t>
  </si>
  <si>
    <t>Saw blade CBB-5</t>
  </si>
  <si>
    <t>CBB-5</t>
  </si>
  <si>
    <t>Miếng đệm</t>
  </si>
  <si>
    <t>MCP8-75</t>
  </si>
  <si>
    <t>Corner pad MCP8-75</t>
  </si>
  <si>
    <t>G75-30</t>
  </si>
  <si>
    <t>Dây đai an toàn</t>
  </si>
  <si>
    <t>Belt sling G75-30</t>
  </si>
  <si>
    <t>AIBD-2755</t>
  </si>
  <si>
    <t>AIBD-2766</t>
  </si>
  <si>
    <t>YVF162</t>
  </si>
  <si>
    <t>VN00025</t>
  </si>
  <si>
    <t>SUNWA</t>
  </si>
  <si>
    <t>Ma tít dùng để bịt tủ điện B3</t>
  </si>
  <si>
    <t>AIBD-2775</t>
  </si>
  <si>
    <t>GRC-1818</t>
  </si>
  <si>
    <t>GRC-1819</t>
  </si>
  <si>
    <t>Lưỡi cưa CBB-5</t>
  </si>
  <si>
    <t>Lưỡi cưa JA8377-L201</t>
  </si>
  <si>
    <t>JA8377-L201</t>
  </si>
  <si>
    <t>SN-63</t>
  </si>
  <si>
    <t>Chất bôi trơn trục đẩy máy ép Toyoca</t>
  </si>
  <si>
    <t>Chất bôi trơn dao cắt Fuji BC Bluebe LB</t>
  </si>
  <si>
    <t>Toyoca-Stick (Lubricant)</t>
  </si>
  <si>
    <t>Bluee Cutting Oil</t>
  </si>
  <si>
    <t>LB-10</t>
  </si>
  <si>
    <t>GRC-1824</t>
  </si>
  <si>
    <t>GRC-1829</t>
  </si>
  <si>
    <t>AIBD-2799</t>
  </si>
  <si>
    <t>GRC-1831</t>
  </si>
  <si>
    <t>AIBD-2800</t>
  </si>
  <si>
    <t>YVF164</t>
  </si>
  <si>
    <t>chiến</t>
  </si>
  <si>
    <t>Đảm trách</t>
  </si>
  <si>
    <t xml:space="preserve">GRC-1836 </t>
  </si>
  <si>
    <t>As One</t>
  </si>
  <si>
    <t>GRC-1837</t>
  </si>
  <si>
    <t>GRC-1838</t>
  </si>
  <si>
    <t>AIBD-2811</t>
  </si>
  <si>
    <t>TRUSCO</t>
  </si>
  <si>
    <t>Hanna</t>
  </si>
  <si>
    <t>AIBD-2814</t>
  </si>
  <si>
    <t>Stock/ 
Non-Stock</t>
  </si>
  <si>
    <t>PED21J459</t>
  </si>
  <si>
    <t>IC05-555</t>
  </si>
  <si>
    <t>PED21J448</t>
  </si>
  <si>
    <t>IC05-549</t>
  </si>
  <si>
    <t>AH-A4VSO355HS5/30RPPB25N00</t>
  </si>
  <si>
    <t>Axial-piston pump</t>
  </si>
  <si>
    <t>DBDH10K-1X/400</t>
  </si>
  <si>
    <t>DBDH10K-1X/315</t>
  </si>
  <si>
    <t>DBDH6K-1X/100</t>
  </si>
  <si>
    <t>DBDH6K-1X/400</t>
  </si>
  <si>
    <t>DBDH10K-1X/100</t>
  </si>
  <si>
    <t>Control valve</t>
  </si>
  <si>
    <t>Logic cartri valve</t>
  </si>
  <si>
    <t xml:space="preserve">Press relief valve </t>
  </si>
  <si>
    <t>REXROTH</t>
  </si>
  <si>
    <t>TOKYO KEIKI</t>
  </si>
  <si>
    <t>SUMIMOTO</t>
  </si>
  <si>
    <t>HIWIN</t>
  </si>
  <si>
    <t>THK</t>
  </si>
  <si>
    <t>MITSUBISHI</t>
  </si>
  <si>
    <t>QUYNH</t>
  </si>
  <si>
    <t>MAIDEN</t>
  </si>
  <si>
    <t>NICHIDEN</t>
  </si>
  <si>
    <t>SA GIANG</t>
  </si>
  <si>
    <t>PED21J465</t>
  </si>
  <si>
    <t>GRC-1848</t>
  </si>
  <si>
    <t>GRC-1853</t>
  </si>
  <si>
    <t>PED21J474</t>
  </si>
  <si>
    <t>GRC-1880</t>
  </si>
  <si>
    <t>V01</t>
  </si>
  <si>
    <t>Tenryu</t>
  </si>
  <si>
    <t>Toyoca-Stick</t>
  </si>
  <si>
    <t>Fuji BC</t>
  </si>
  <si>
    <t>PED21J482</t>
  </si>
  <si>
    <t>IC05-575</t>
  </si>
  <si>
    <t>S21-3609
IC05-566</t>
  </si>
  <si>
    <t>AIBD-2813
=&gt;AIBD-2866</t>
  </si>
  <si>
    <t>3033=&gt;3596</t>
  </si>
  <si>
    <t>Hàng rào an toàn</t>
  </si>
  <si>
    <t>GRC-1897</t>
  </si>
  <si>
    <t>Ốc nở C-1080</t>
  </si>
  <si>
    <t>PED21J484</t>
  </si>
  <si>
    <t>YVF169</t>
  </si>
  <si>
    <t>Van tiết lưu khí nén</t>
  </si>
  <si>
    <t xml:space="preserve">Đầu nối khí bằng đồng </t>
  </si>
  <si>
    <t xml:space="preserve">Khớp nối bằng đồng </t>
  </si>
  <si>
    <t xml:space="preserve">Khớp nối bằng thép  </t>
  </si>
  <si>
    <t>Control card</t>
  </si>
  <si>
    <t>Fitting assy</t>
  </si>
  <si>
    <t xml:space="preserve">GRC-1930 </t>
  </si>
  <si>
    <t>GRC-1931</t>
  </si>
  <si>
    <t>3844=&gt;
3983</t>
  </si>
  <si>
    <t>GRC-1898</t>
  </si>
  <si>
    <t>Electronic hanging scale 500kg</t>
  </si>
  <si>
    <t>Cân treo điện tử 500kg</t>
  </si>
  <si>
    <t>Keo silicone chịu nhiệt</t>
  </si>
  <si>
    <t>Heat resistant silicone sealant</t>
  </si>
  <si>
    <t>TSUBOSAN</t>
  </si>
  <si>
    <t>SUN-WA TECHNOS</t>
  </si>
  <si>
    <t>Natri hidroxit</t>
  </si>
  <si>
    <t>AIBD-2915</t>
  </si>
  <si>
    <t>IC05-605</t>
  </si>
  <si>
    <t>IC05-603</t>
  </si>
  <si>
    <t>Saw blade 760X5.0X4.0X80X106XD-10</t>
  </si>
  <si>
    <t>PED21K502</t>
  </si>
  <si>
    <t>PED21K503</t>
  </si>
  <si>
    <t>GRC-1957</t>
  </si>
  <si>
    <t>GRC-1958</t>
  </si>
  <si>
    <t>Công tắc tơ</t>
  </si>
  <si>
    <t>IC05-625</t>
  </si>
  <si>
    <t>IC05-626</t>
  </si>
  <si>
    <t>Kính bảo hộ SK11-DG-26SP</t>
  </si>
  <si>
    <t>Nón bảo hộ màu trắng</t>
  </si>
  <si>
    <t>Lò nung+lò gia nhiệt đồng chất</t>
  </si>
  <si>
    <t>Ringi:10/11</t>
  </si>
  <si>
    <t>YVF175</t>
  </si>
  <si>
    <t>X'traseal</t>
  </si>
  <si>
    <t>300GM-750F</t>
  </si>
  <si>
    <t>PED21K525</t>
  </si>
  <si>
    <t>F-2M-3T</t>
  </si>
  <si>
    <t>UMW</t>
  </si>
  <si>
    <t>Càng giả 2M cho xe nâng 3  tấn</t>
  </si>
  <si>
    <t>PED21K534</t>
  </si>
  <si>
    <t>FUJI WARA SANGYO</t>
  </si>
  <si>
    <t>F1</t>
  </si>
  <si>
    <t>DG-26SP</t>
  </si>
  <si>
    <t>Safety Glasses DG-26SP</t>
  </si>
  <si>
    <t>AIBD-2978</t>
  </si>
  <si>
    <t>Ancohol 90 degrees</t>
  </si>
  <si>
    <t>F2</t>
  </si>
  <si>
    <t>ANCOHOL90</t>
  </si>
  <si>
    <t>Phí sửa chữa đường ray khung để khay vật liệu</t>
  </si>
  <si>
    <t>RAIL-REPAIR</t>
  </si>
  <si>
    <t>TDC-S</t>
  </si>
  <si>
    <t>MARCUS GERMANY</t>
  </si>
  <si>
    <t>M-3II</t>
  </si>
  <si>
    <t>Giấy lau không tạo bụi</t>
  </si>
  <si>
    <t>Bemcot</t>
  </si>
  <si>
    <t>ASAHI KASEI</t>
  </si>
  <si>
    <t>GRC-1990</t>
  </si>
  <si>
    <t>Straight grinder</t>
  </si>
  <si>
    <t>Máy mài thẳng</t>
  </si>
  <si>
    <t>Động Cơ Điện Mitsubishi 1Hp 0.75Kw</t>
  </si>
  <si>
    <t>Mitsubishi Electric Motor 1Hp 0.75Kw</t>
  </si>
  <si>
    <t>JA8377-B207</t>
  </si>
  <si>
    <t>Tân Thành Đạt</t>
  </si>
  <si>
    <t>PED21K543</t>
  </si>
  <si>
    <t>Hồ Thị Ngọc</t>
  </si>
  <si>
    <t>IC05-649</t>
  </si>
  <si>
    <t>IC05-665</t>
  </si>
  <si>
    <t>SANKO</t>
  </si>
  <si>
    <t>Dây cáp thép</t>
  </si>
  <si>
    <t>AIBD-2999</t>
  </si>
  <si>
    <t>SDLB-000041</t>
  </si>
  <si>
    <t>Wire rope</t>
  </si>
  <si>
    <t>Billet hanger</t>
  </si>
  <si>
    <t>Móc cẩu billet</t>
  </si>
  <si>
    <t>20AX5500MM</t>
  </si>
  <si>
    <t>YCBG:19/11</t>
  </si>
  <si>
    <t>Stainless steel stool 45cm</t>
  </si>
  <si>
    <t>Ghế đôn inox chân tròn cao 45cm</t>
  </si>
  <si>
    <t>STOOL-45CM</t>
  </si>
  <si>
    <t>Triple sling</t>
  </si>
  <si>
    <t>Dây xích móc cẩu 4 sợi</t>
  </si>
  <si>
    <t>YVF179</t>
  </si>
  <si>
    <t>AIBD-3031</t>
  </si>
  <si>
    <t>AIBD-3032</t>
  </si>
  <si>
    <t>Cồn 90°</t>
  </si>
  <si>
    <t>AIBD-3033</t>
  </si>
  <si>
    <t>IC05-693</t>
  </si>
  <si>
    <t>GRC-2009</t>
  </si>
  <si>
    <t>AIBD-3034</t>
  </si>
  <si>
    <t>AIBD-3041</t>
  </si>
  <si>
    <t>Ống nỉ chịu nhiệt</t>
  </si>
  <si>
    <t>Minh Đức Thắng</t>
  </si>
  <si>
    <t>Nguyễn Thu Thương</t>
  </si>
  <si>
    <t>Felt tube ID60.5XOD80XL200mm</t>
  </si>
  <si>
    <t>PED21L580</t>
  </si>
  <si>
    <t>SANWASEIKI</t>
  </si>
  <si>
    <t>AIBD-3074</t>
  </si>
  <si>
    <t>AIBD-3076</t>
  </si>
  <si>
    <t>PED21L584</t>
  </si>
  <si>
    <t>MITACHI</t>
  </si>
  <si>
    <t>MGS38BD-200V</t>
  </si>
  <si>
    <t>GRC-2040</t>
  </si>
  <si>
    <t>AIBD-3077</t>
  </si>
  <si>
    <t>AIBD-3078</t>
  </si>
  <si>
    <t>GRC-2041</t>
  </si>
  <si>
    <t>Sơn đỏ ruby</t>
  </si>
  <si>
    <t>DLF2054</t>
  </si>
  <si>
    <t>PED21L586</t>
  </si>
  <si>
    <t>IC05-733</t>
  </si>
  <si>
    <t>IC05-740</t>
  </si>
  <si>
    <t>IC05-738</t>
  </si>
  <si>
    <t>PED21L575</t>
  </si>
  <si>
    <t>IC05-728</t>
  </si>
  <si>
    <t>SS400X1450X2000X20MM</t>
  </si>
  <si>
    <t>SS400X2000X1590X30MM</t>
  </si>
  <si>
    <t>VIET NAM</t>
  </si>
  <si>
    <t>DAIDO</t>
  </si>
  <si>
    <t>SF-PRB-VN-0.75KW-4P-380V-50HZ</t>
  </si>
  <si>
    <t>Rail repair of material stock table</t>
  </si>
  <si>
    <t>A-number: A-2-01-003-007</t>
  </si>
  <si>
    <t>GRC-1800</t>
  </si>
  <si>
    <t>TDXN-1000X1040X380</t>
  </si>
  <si>
    <t>YCBG:8/12</t>
  </si>
  <si>
    <t>Dùng cho máy lọc</t>
  </si>
  <si>
    <t>1683=&gt;1726</t>
  </si>
  <si>
    <t>GRC-2064</t>
  </si>
  <si>
    <t>JA8378</t>
  </si>
  <si>
    <t>PED21L593</t>
  </si>
  <si>
    <t>IC05-757</t>
  </si>
  <si>
    <t>GRC-2074</t>
  </si>
  <si>
    <t>AIBD-3124</t>
  </si>
  <si>
    <t>AIBD-3125</t>
  </si>
  <si>
    <t>AIBD-3132</t>
  </si>
  <si>
    <t>3876=&gt;3959</t>
  </si>
  <si>
    <t>GRC-2083</t>
  </si>
  <si>
    <t>TWD-18S5</t>
  </si>
  <si>
    <t>KITO</t>
  </si>
  <si>
    <t>RINGI: 14/12</t>
  </si>
  <si>
    <t>PED21L604</t>
  </si>
  <si>
    <t>IC05-764</t>
  </si>
  <si>
    <t>Q-VD-VSL4-7MM</t>
  </si>
  <si>
    <t>AIBD-3153</t>
  </si>
  <si>
    <t>Tủ đựng linh kiện 75 ngăn</t>
  </si>
  <si>
    <t>SC-03</t>
  </si>
  <si>
    <t>FUJI</t>
  </si>
  <si>
    <t>Rơ le nhiệt</t>
  </si>
  <si>
    <t>Thermal Overload Relay</t>
  </si>
  <si>
    <t>Cabinet 950x650x220 - 75 drawer</t>
  </si>
  <si>
    <t>TU-950X650X220</t>
  </si>
  <si>
    <t>DONASA</t>
  </si>
  <si>
    <t>LOC NAM VIET</t>
  </si>
  <si>
    <t>Thermocouple PS2500</t>
  </si>
  <si>
    <t>Nhiệt kế PS2500</t>
  </si>
  <si>
    <t>PS2500</t>
  </si>
  <si>
    <t>TYK</t>
  </si>
  <si>
    <t>YCBG: 22/12</t>
  </si>
  <si>
    <t>PED21L634</t>
  </si>
  <si>
    <t>PED21L635</t>
  </si>
  <si>
    <t>IC05-809</t>
  </si>
  <si>
    <t>GRC-2139</t>
  </si>
  <si>
    <t>GRC-2141</t>
  </si>
  <si>
    <t>SC-03Y</t>
  </si>
  <si>
    <t>Contactor SC-03Y coil AC220V 1A</t>
  </si>
  <si>
    <t>AIBD-3209</t>
  </si>
  <si>
    <t>JA8377-U660</t>
  </si>
  <si>
    <t>Hàng rào an toàn dạng lưới</t>
  </si>
  <si>
    <t>Mesh Safety Fence</t>
  </si>
  <si>
    <t>IC05-825</t>
  </si>
  <si>
    <t>2.3X45</t>
  </si>
  <si>
    <t>Twisted coil nail (300ea x 30 rolls)</t>
  </si>
  <si>
    <t>case</t>
  </si>
  <si>
    <t>3667
=&gt;4767</t>
  </si>
  <si>
    <t>Chi phí lắp đặt máy đúc billet lần 2</t>
  </si>
  <si>
    <t>KLI-FEE-2</t>
  </si>
  <si>
    <t>KELI TQ</t>
  </si>
  <si>
    <t>PED21L652</t>
  </si>
  <si>
    <t>IC05-840</t>
  </si>
  <si>
    <t>Inox tube racking</t>
  </si>
  <si>
    <t>Kệ chứa ống bằng thép</t>
  </si>
  <si>
    <t>OKP-98139-B</t>
  </si>
  <si>
    <t>YCBG:29/12</t>
  </si>
  <si>
    <t>GRC-2194</t>
  </si>
  <si>
    <t>GRC-2195</t>
  </si>
  <si>
    <t>GRC-2196</t>
  </si>
  <si>
    <t>GRC-2197</t>
  </si>
  <si>
    <t>Helmet</t>
  </si>
  <si>
    <t>MSD-002</t>
  </si>
  <si>
    <t>SSEDA</t>
  </si>
  <si>
    <t>PHU THANH</t>
  </si>
  <si>
    <t>Nguyễn Yến Nhi</t>
  </si>
  <si>
    <t>KANETSU</t>
  </si>
  <si>
    <t>Contactor SC-03 AC220V 1A</t>
  </si>
  <si>
    <t>TR-0N-0.36A</t>
  </si>
  <si>
    <t>Giấy chống gỉ VCI</t>
  </si>
  <si>
    <t xml:space="preserve">Nẹp giấy kraft - ngắn </t>
  </si>
  <si>
    <t>Nẹp giấy kraft - dài</t>
  </si>
  <si>
    <t>Anti-Rust Paper VCI</t>
  </si>
  <si>
    <t>Nylon large format</t>
  </si>
  <si>
    <t>Short splint</t>
  </si>
  <si>
    <t>Long splint</t>
  </si>
  <si>
    <t>Bu lông M14-240</t>
  </si>
  <si>
    <t>Quạt treo tường giá treo</t>
  </si>
  <si>
    <t>Bolt M14-240</t>
  </si>
  <si>
    <t>PED22A06</t>
  </si>
  <si>
    <t>YCBG: 6/1</t>
  </si>
  <si>
    <t>AIBD-3287</t>
  </si>
  <si>
    <t>Ruby red paint</t>
  </si>
  <si>
    <t>GRC-2201</t>
  </si>
  <si>
    <t>Nylon khổ lớn cuộn 2m 3dem</t>
  </si>
  <si>
    <t>VCI-1X100M</t>
  </si>
  <si>
    <t>NILONG3ZEM-2M</t>
  </si>
  <si>
    <t>Máy bộ đàm</t>
  </si>
  <si>
    <t>Walkie talkie TC-200UNT</t>
  </si>
  <si>
    <t>TC-200UNT</t>
  </si>
  <si>
    <t>PED22A08</t>
  </si>
  <si>
    <t>AIBD-3290</t>
  </si>
  <si>
    <t>Blow gun</t>
  </si>
  <si>
    <t>VMG11W-H08-38</t>
  </si>
  <si>
    <t>Súng khí</t>
  </si>
  <si>
    <t>Q7, page 854</t>
  </si>
  <si>
    <t>Đăng</t>
  </si>
  <si>
    <t>KV đóng gói</t>
  </si>
  <si>
    <t>Air Tube</t>
  </si>
  <si>
    <t>TCU0805B-1</t>
  </si>
  <si>
    <t>Q7, page 481</t>
  </si>
  <si>
    <t>Polyurethane</t>
  </si>
  <si>
    <t>Ống nhựa</t>
  </si>
  <si>
    <t>CDS1L125-350-A54L-XA0</t>
  </si>
  <si>
    <t>CDA2B50-100Z</t>
  </si>
  <si>
    <t>CDM2C32-30AZ-M9BLS</t>
  </si>
  <si>
    <t>CA2T100-230Z</t>
  </si>
  <si>
    <t>CDA2F100-400Z-M9BW-XC3BA</t>
  </si>
  <si>
    <t>Q2-1, Page 535-536</t>
  </si>
  <si>
    <t>Q2-1, Page 470-471</t>
  </si>
  <si>
    <t>Q2-1, Page 172-173</t>
  </si>
  <si>
    <t>Q2-1, Page 292-293</t>
  </si>
  <si>
    <t>Q2-1, Page 392-393</t>
  </si>
  <si>
    <t>Máy dỡ hàng</t>
  </si>
  <si>
    <t>CDG1BN25-400Z-B54L</t>
  </si>
  <si>
    <t>MDBD63-100Z-Z73L</t>
  </si>
  <si>
    <t>CDA2B80-400Z-W-A93Z</t>
  </si>
  <si>
    <t>3426
=&gt;4137</t>
  </si>
  <si>
    <t xml:space="preserve">AIBD-3304 </t>
  </si>
  <si>
    <t>AIBD-3310</t>
  </si>
  <si>
    <t>AIBD-3312</t>
  </si>
  <si>
    <t>AIBD-3318</t>
  </si>
  <si>
    <t>IC05-862</t>
  </si>
  <si>
    <t>IC05-863
廃アルミ用バケット</t>
  </si>
  <si>
    <t xml:space="preserve">NEWSUN </t>
  </si>
  <si>
    <t>AIBD-3319</t>
  </si>
  <si>
    <t>PED22A23</t>
  </si>
  <si>
    <t>Cover</t>
  </si>
  <si>
    <t>Phòng control room line đúc billet</t>
  </si>
  <si>
    <t>YCBG: 17/1</t>
  </si>
  <si>
    <t>A01-3MM</t>
  </si>
  <si>
    <t>Nắp đậy</t>
  </si>
  <si>
    <t>PED21L658</t>
  </si>
  <si>
    <t>IC05-883</t>
  </si>
  <si>
    <t>HXNH-STTD-M14-240</t>
  </si>
  <si>
    <t>AIBD-3349</t>
  </si>
  <si>
    <t>Sunco</t>
  </si>
  <si>
    <t>Thiết bị làm mát</t>
  </si>
  <si>
    <t>lò đúc</t>
  </si>
  <si>
    <t>Thiết bị vận chuyển thanh nhôm</t>
  </si>
  <si>
    <t>Thiết bị phía sau 5000T</t>
  </si>
  <si>
    <t>Máy dỡ hàng 5000T</t>
  </si>
  <si>
    <t>Máy chuyển pallet</t>
  </si>
  <si>
    <t>Phí lắp đặt</t>
  </si>
  <si>
    <t>HANDLING-DEVICE</t>
  </si>
  <si>
    <t>PALLETIZER-5000T</t>
  </si>
  <si>
    <t>TRANSFER-5000T</t>
  </si>
  <si>
    <t>Máy đùn 2</t>
  </si>
  <si>
    <t>GRC-2252</t>
  </si>
  <si>
    <t>AIBD-3372</t>
  </si>
  <si>
    <t>Installation SV Fee</t>
  </si>
  <si>
    <t>SV-FEE</t>
  </si>
  <si>
    <t>GRC-2296</t>
  </si>
  <si>
    <t>AIBD-3429</t>
  </si>
  <si>
    <t>PHUC AN</t>
  </si>
  <si>
    <t>AIBD-3459</t>
  </si>
  <si>
    <t>Fan KM-600S</t>
  </si>
  <si>
    <t>KM-600S</t>
  </si>
  <si>
    <t>Hex bolt full screw M10</t>
  </si>
  <si>
    <t>Thermocouple WRN2-120</t>
  </si>
  <si>
    <t>WRN2-120</t>
  </si>
  <si>
    <t>Bulong đầu lục giác xẻ rãnh M10</t>
  </si>
  <si>
    <t>Can nhiệt WRN2-120</t>
  </si>
  <si>
    <t>SSJ-OXE</t>
  </si>
  <si>
    <t>QMO-1</t>
  </si>
  <si>
    <t>SSJ-AC</t>
  </si>
  <si>
    <t>QMF-1</t>
  </si>
  <si>
    <t>HK-20N-1</t>
  </si>
  <si>
    <t>YTC-A-F</t>
  </si>
  <si>
    <t>Pressure regulator</t>
  </si>
  <si>
    <t>Quick-Mag</t>
  </si>
  <si>
    <t>Welding hose</t>
  </si>
  <si>
    <t>Pistol type welder</t>
  </si>
  <si>
    <t>Welding tip for item 6</t>
  </si>
  <si>
    <t>Bộ điều chỉnh áp suất</t>
  </si>
  <si>
    <t>Van chống cháy ngược</t>
  </si>
  <si>
    <t>Vòi hàn</t>
  </si>
  <si>
    <t>Máy hàn</t>
  </si>
  <si>
    <t>Đầu hàn</t>
  </si>
  <si>
    <t>Bộ hàn gió đá</t>
  </si>
  <si>
    <t>YCBG:17/2</t>
  </si>
  <si>
    <t>GRC-2335</t>
  </si>
  <si>
    <t>GRC-2336</t>
  </si>
  <si>
    <t>GRC-2340</t>
  </si>
  <si>
    <t>IC05-849
AFC: VN-MFG21-019-ENG097</t>
  </si>
  <si>
    <t>Contactor SC-4-1 AC110V</t>
  </si>
  <si>
    <t>Khởi động từ SC-4-1 AC110V</t>
  </si>
  <si>
    <t>SC-4-1</t>
  </si>
  <si>
    <t>ycbg: 21/2</t>
  </si>
  <si>
    <t>Giấy nhám P1000</t>
  </si>
  <si>
    <t>Abrasive Cloth Sheet P1000</t>
  </si>
  <si>
    <t>dự bị cho thiết bị phía sau</t>
  </si>
  <si>
    <t>Q7, Page 555</t>
  </si>
  <si>
    <t>Q1-2, page 392-393</t>
  </si>
  <si>
    <t>Kìm cắt dây đai</t>
  </si>
  <si>
    <t>MCC</t>
  </si>
  <si>
    <t>Kìm cắt</t>
  </si>
  <si>
    <t>A00472-Machining billet casting line</t>
  </si>
  <si>
    <t>A00433-Deformation extrusion line</t>
  </si>
  <si>
    <t>Bộ dũa kim cương 140X3mm</t>
  </si>
  <si>
    <t>D-140X3MM</t>
  </si>
  <si>
    <t>chà bavia mẫu đo</t>
  </si>
  <si>
    <t>GRC-2371</t>
  </si>
  <si>
    <t>AIBD-3513</t>
  </si>
  <si>
    <t>Diamond file set 140x3mm</t>
  </si>
  <si>
    <t>JA8377-L417</t>
  </si>
  <si>
    <t>JA8377-L418</t>
  </si>
  <si>
    <t>JIG  JA8377-L417</t>
  </si>
  <si>
    <t>JIG  JA8377-L418</t>
  </si>
  <si>
    <t>Jig kẹp 1</t>
  </si>
  <si>
    <t>Jig kẹp 2</t>
  </si>
  <si>
    <t>No.2 EXH.HE</t>
  </si>
  <si>
    <t>[Prd] Packaging materials expenses</t>
  </si>
  <si>
    <t>ALSYS (THAILAND)</t>
  </si>
  <si>
    <t>CP38-9X11-P1000</t>
  </si>
  <si>
    <t>PMC-Nhật</t>
  </si>
  <si>
    <t>Sửa chữa xe nâng tay có cân EV25</t>
  </si>
  <si>
    <t>Repair hand pallet truck with scale EV25</t>
  </si>
  <si>
    <t>REPAIR-EV25</t>
  </si>
  <si>
    <t>VN00026</t>
  </si>
  <si>
    <t>TAHARA</t>
  </si>
  <si>
    <t>GRC-2437</t>
  </si>
  <si>
    <t>AIBD-3557</t>
  </si>
  <si>
    <t>AIBD-3558</t>
  </si>
  <si>
    <t>GRC-2447</t>
  </si>
  <si>
    <t>AIBD-3278
AIBD-3565</t>
  </si>
  <si>
    <t>30/12/2021
4/3/2022</t>
  </si>
  <si>
    <t>PED22C122</t>
  </si>
  <si>
    <t>IC05-1021</t>
  </si>
  <si>
    <t>Lò ngâm khuôn</t>
  </si>
  <si>
    <t>AIBD-3573</t>
  </si>
  <si>
    <t>Duct hose</t>
  </si>
  <si>
    <t>TOTAKU</t>
  </si>
  <si>
    <t>TAC-HERAN</t>
  </si>
  <si>
    <t>バンドカッター</t>
  </si>
  <si>
    <t>AIBD-3587</t>
  </si>
  <si>
    <t>AIBD-3588</t>
  </si>
  <si>
    <t>China</t>
  </si>
  <si>
    <t>バリ取り工具</t>
  </si>
  <si>
    <t>AIBD-3630</t>
  </si>
  <si>
    <t xml:space="preserve">GRC-2474 </t>
  </si>
  <si>
    <t>PED22C139</t>
  </si>
  <si>
    <t>AIBD-3657</t>
  </si>
  <si>
    <t>IC05-1048</t>
  </si>
  <si>
    <t>Hỗn hợp khí hidro 1%+Argon</t>
  </si>
  <si>
    <t>Flexible tube</t>
  </si>
  <si>
    <t>YCBG: 24/3</t>
  </si>
  <si>
    <t>Monotaro</t>
  </si>
  <si>
    <t>Ống gas</t>
  </si>
  <si>
    <t>V7010</t>
  </si>
  <si>
    <t>TF-7000</t>
  </si>
  <si>
    <t>AIBD-3678</t>
  </si>
  <si>
    <t>Checkered steel plate</t>
  </si>
  <si>
    <t>5TX500WX2000L</t>
  </si>
  <si>
    <t>YCBG: 25/3</t>
  </si>
  <si>
    <t>Thép tấm gân</t>
  </si>
  <si>
    <t>PED22C155</t>
  </si>
  <si>
    <t>ringi: 25/3</t>
  </si>
  <si>
    <t>Vòng đệm cao su khớp nối</t>
  </si>
  <si>
    <t>Rubber Bush</t>
  </si>
  <si>
    <t>IM-8030T</t>
  </si>
  <si>
    <t>KB10103</t>
  </si>
  <si>
    <t>Image dimension measuring machine</t>
  </si>
  <si>
    <t>Roughness profile measuring machine</t>
  </si>
  <si>
    <t>Máy đo kích thước hình ảnh</t>
  </si>
  <si>
    <t>Máy đo độ nhám</t>
  </si>
  <si>
    <t>ACCRETECH V/N</t>
  </si>
  <si>
    <t>PE light 100x150x750 no tape</t>
  </si>
  <si>
    <t>Miếng nhựa dùng để bảo vệ sản phẩm</t>
  </si>
  <si>
    <t>B-300FRE</t>
  </si>
  <si>
    <t>FUSO</t>
  </si>
  <si>
    <t>S-50X350X3MM</t>
  </si>
  <si>
    <t>L-50X500X3MM</t>
  </si>
  <si>
    <t>Saw blade repair service JA8376-K201</t>
  </si>
  <si>
    <t>Dịch vụ sửa lưỡi cưa JA8376-K201</t>
  </si>
  <si>
    <t>Lưỡi cưa JA8376-K201</t>
  </si>
  <si>
    <t>Saw blade JA8376-K201</t>
  </si>
  <si>
    <t>JA8376-K201</t>
  </si>
  <si>
    <t>WELDING-1</t>
  </si>
  <si>
    <t>Bộ hàn gió đá
Gas Welding kits</t>
  </si>
  <si>
    <t>CHINA</t>
  </si>
  <si>
    <t>Die furnace</t>
  </si>
  <si>
    <t>Lò ủ lão hóa</t>
  </si>
  <si>
    <t>Lò nung khuôn</t>
  </si>
  <si>
    <t>Pearl River</t>
  </si>
  <si>
    <t>KEYENCE</t>
  </si>
  <si>
    <t>Drill Set 1361-S25</t>
  </si>
  <si>
    <t>CC-R50SP</t>
  </si>
  <si>
    <t>Oil Filter</t>
  </si>
  <si>
    <t>lõi lọc máy lọc dầu máy đùn 1</t>
  </si>
  <si>
    <t>Lõi lọc dầu</t>
  </si>
  <si>
    <t>Dầu chống rỉ</t>
  </si>
  <si>
    <t>Dầu chống rỉ cho băng tải</t>
  </si>
  <si>
    <t>SNS</t>
  </si>
  <si>
    <t>PED22C165</t>
  </si>
  <si>
    <t>RUBBER-NO.3</t>
  </si>
  <si>
    <t>gấp-máy bơm nước tank làm mát</t>
  </si>
  <si>
    <t>FAN KSC-1845</t>
  </si>
  <si>
    <t>Quạt đứng KSC-1845</t>
  </si>
  <si>
    <t>cancel (mua ngoài)</t>
  </si>
  <si>
    <t>KSC-1845</t>
  </si>
  <si>
    <t>PED22D173</t>
  </si>
  <si>
    <t>AIBD-3708</t>
  </si>
  <si>
    <t>Tên tiếng Việt
Product Vie Name</t>
  </si>
  <si>
    <t>Nhà cung cấp
Supplier</t>
  </si>
  <si>
    <t>Đơn vị
Units</t>
  </si>
  <si>
    <t>NHẬP KHO
Imprort Wharehouse</t>
  </si>
  <si>
    <t>PO No.</t>
  </si>
  <si>
    <r>
      <rPr>
        <sz val="12"/>
        <color rgb="FFFF0000"/>
        <rFont val="Arial"/>
        <family val="2"/>
      </rPr>
      <t>5404=</t>
    </r>
    <r>
      <rPr>
        <sz val="12"/>
        <color theme="1"/>
        <rFont val="Arial"/>
        <family val="2"/>
      </rPr>
      <t>&gt;5609</t>
    </r>
  </si>
  <si>
    <t>PO
Shopping cart</t>
  </si>
  <si>
    <t>AIBD-3715</t>
  </si>
  <si>
    <t xml:space="preserve">AIBD-3716 </t>
  </si>
  <si>
    <t>PED22A24
=&gt;PED22D177</t>
  </si>
  <si>
    <t>5608
=&gt;5990</t>
  </si>
  <si>
    <t>Ringi No.</t>
  </si>
  <si>
    <t>Approved No.</t>
  </si>
  <si>
    <t>Mã sản phẩm
Product ID</t>
  </si>
  <si>
    <t>Product
 Category ID</t>
  </si>
  <si>
    <t>Số lượng
Quantity</t>
  </si>
  <si>
    <t>Đơn vị tiền tệ
Currency Unit</t>
  </si>
  <si>
    <t>Đơn giá
Unit Price</t>
  </si>
  <si>
    <t>Tổng tiền
Total</t>
  </si>
  <si>
    <t>Ngày đặt hàng
Order date</t>
  </si>
  <si>
    <t>Ngày giao
Deliery date</t>
  </si>
  <si>
    <t>Ngày đến SMC
To SMC date</t>
  </si>
  <si>
    <t>Người phụ trách
Person incharge</t>
  </si>
  <si>
    <t>Người yêu cầu
Requester</t>
  </si>
  <si>
    <t>Ngày YCBG
Quotation Request Date</t>
  </si>
  <si>
    <t>Phân loại
Type</t>
  </si>
  <si>
    <t>tài sản hay tiêu hao</t>
  </si>
  <si>
    <t>Vị trí sử dụng
Using position</t>
  </si>
  <si>
    <t>Tên tiếng Anh
Product EN Name</t>
  </si>
  <si>
    <t>Meter</t>
  </si>
  <si>
    <t>Case</t>
  </si>
  <si>
    <t>M.Tài</t>
  </si>
  <si>
    <t>N.Tiến</t>
  </si>
  <si>
    <t>M.Hiếu</t>
  </si>
  <si>
    <t>M.Cường</t>
  </si>
  <si>
    <t>Units</t>
  </si>
  <si>
    <t>PIC</t>
  </si>
  <si>
    <t>Units Cur</t>
  </si>
  <si>
    <t>Category</t>
  </si>
  <si>
    <t>Stk-Parts</t>
  </si>
  <si>
    <t>Stk-Raw_Materials</t>
  </si>
  <si>
    <t>Stk-Subcontracting</t>
  </si>
  <si>
    <t>Stk-Perish_Die_exp</t>
  </si>
  <si>
    <t>Stk-Uniforms</t>
  </si>
  <si>
    <t>Fixed Asset</t>
  </si>
  <si>
    <t>[Prd] Chemicals</t>
  </si>
  <si>
    <t>[Adm] Office machinery repair</t>
  </si>
  <si>
    <t>[Adm] Fixtures</t>
  </si>
  <si>
    <t>[Adm] IT equipment</t>
  </si>
  <si>
    <t>[Adm] Miscellaneous expenses</t>
  </si>
  <si>
    <t>[Adm] Office/Factory repair</t>
  </si>
  <si>
    <t>[Adm] Small value software</t>
  </si>
  <si>
    <t>[Prd] Cutting tools expenses</t>
  </si>
  <si>
    <t>[Prd] Gas &amp; Gasoline</t>
  </si>
  <si>
    <t>[Prd] IT equipment</t>
  </si>
  <si>
    <t>[Prd] Machinery and equipment repair</t>
  </si>
  <si>
    <t>[Prd] Office/Factory repair</t>
  </si>
  <si>
    <t>[Prd] Perishable die-casting expenses</t>
  </si>
  <si>
    <t>[Prd] Small value software</t>
  </si>
  <si>
    <t>[Sls] Fixtures</t>
  </si>
  <si>
    <t>[Sls] IT equipment</t>
  </si>
  <si>
    <t>[Sls] Miscellaneous expenses</t>
  </si>
  <si>
    <t>[Sls] Packaging materials expenses</t>
  </si>
  <si>
    <t>[Sls] Small value software</t>
  </si>
  <si>
    <t>[Prd] IT supplies</t>
  </si>
  <si>
    <t>[Sls] IT supplies</t>
  </si>
  <si>
    <t>[Adm] IT supplies</t>
  </si>
  <si>
    <t>[Prd] Stationery</t>
  </si>
  <si>
    <t>[Sls] Stationery</t>
  </si>
  <si>
    <t>[Adm] Stationery</t>
  </si>
  <si>
    <t>[Prd] Internet line charge</t>
  </si>
  <si>
    <t>[Sls] Internet line charge</t>
  </si>
  <si>
    <t>[Adm] Internet line charge</t>
  </si>
  <si>
    <t>[Prd] Telephone charge</t>
  </si>
  <si>
    <t>[Sls] Telephone charge</t>
  </si>
  <si>
    <t>[Adm] Telephone charge</t>
  </si>
  <si>
    <t>Aluminum frame 5 Series</t>
  </si>
  <si>
    <t>Khung nhôm định hình 5 Series</t>
  </si>
  <si>
    <t>Đai ốc lò xo</t>
  </si>
  <si>
    <t>Grooved-Type Photoelectric Sensor</t>
  </si>
  <si>
    <t>Cảm biến quang điện loại có rãnh</t>
  </si>
  <si>
    <t>Low Profile Bracket</t>
  </si>
  <si>
    <t>Khớp trượt cấu hình thấp</t>
  </si>
  <si>
    <t>HFS5-2040-200</t>
  </si>
  <si>
    <t>HNTP5-5</t>
  </si>
  <si>
    <t>HBLSS5</t>
  </si>
  <si>
    <t>E3Z-G61-5M</t>
  </si>
  <si>
    <t>Puller, No1. Press</t>
  </si>
  <si>
    <t>A.C.Electric Fan</t>
  </si>
  <si>
    <t>Quạt điện A.C</t>
  </si>
  <si>
    <t>Handling equipment, 
No1. Press</t>
  </si>
  <si>
    <t>2022-N11-0405-085329</t>
  </si>
  <si>
    <t>2022-N11-0405-093836</t>
  </si>
  <si>
    <t xml:space="preserve"> AIBD-3720</t>
  </si>
  <si>
    <t>Khí amoniac</t>
  </si>
  <si>
    <t>Bộ cấp khí CO2 và NH3</t>
  </si>
  <si>
    <t>Cacbon dioxide lỏng</t>
  </si>
  <si>
    <t>Equipment installation fee for 2nd time</t>
  </si>
  <si>
    <t>PED</t>
  </si>
  <si>
    <t>Xe đẩy hàng 4 bánh Maxkiwi PT-0091</t>
  </si>
  <si>
    <t>4-wheel drive trolley</t>
  </si>
  <si>
    <t>PT-0091</t>
  </si>
  <si>
    <t>Lấy mẫu đo</t>
  </si>
  <si>
    <t>2022-N11-0407-141818</t>
  </si>
  <si>
    <t>FELT-1000X20X3MM</t>
  </si>
  <si>
    <t>Ngăn giữa sản phẩm, chống trầy xước</t>
  </si>
  <si>
    <t>Equipment installation billet casting machine</t>
  </si>
  <si>
    <t>Equipment installation die furnace</t>
  </si>
  <si>
    <t>Chi phí lắp đặt máy đúc billet lần 1</t>
  </si>
  <si>
    <t>Chi phí lắp đặt lò nung khuôn</t>
  </si>
  <si>
    <t>SHUDEN</t>
  </si>
  <si>
    <t>PED21L620</t>
  </si>
  <si>
    <t>IC05-792
A No.: A-1-02-005-053</t>
  </si>
  <si>
    <t>IC05-792</t>
  </si>
  <si>
    <t>IC06-03</t>
  </si>
  <si>
    <t>IC05-1106</t>
  </si>
  <si>
    <t>11-0217-095922</t>
  </si>
  <si>
    <t>CO-53H</t>
  </si>
  <si>
    <t>Copper Hammer Head</t>
  </si>
  <si>
    <t>Đầu búa đồng</t>
  </si>
  <si>
    <t>AIBD-3735</t>
  </si>
  <si>
    <t>AIBD-3736</t>
  </si>
  <si>
    <t>AIBD-3737</t>
  </si>
  <si>
    <t>AIBD-3738</t>
  </si>
  <si>
    <t>Yen</t>
  </si>
  <si>
    <t>28/3/2022</t>
  </si>
  <si>
    <t>Tìm kiếm bằng mã hàng</t>
  </si>
  <si>
    <t>A-1-03-009-004
A-1-03-009-005</t>
  </si>
  <si>
    <t>IC05-792
S60-17</t>
  </si>
  <si>
    <t>Cutting machine</t>
  </si>
  <si>
    <t>A-2-01-003-007</t>
  </si>
  <si>
    <t>BL1430B</t>
  </si>
  <si>
    <t>2022-N11-0412-110221</t>
  </si>
  <si>
    <t>IC06-09</t>
  </si>
  <si>
    <t>1858=&gt;2291</t>
  </si>
  <si>
    <t>Kệ chứa hàng phòng spare</t>
  </si>
  <si>
    <t>Puller machine</t>
  </si>
  <si>
    <t>13/4/2022</t>
  </si>
  <si>
    <t>2022-N11-0413-111259</t>
  </si>
  <si>
    <t>AIBD-3755</t>
  </si>
  <si>
    <t>補助ポンプ用モーター</t>
  </si>
  <si>
    <t>Seal, Cooler pump motor</t>
  </si>
  <si>
    <t>PED21D105</t>
  </si>
  <si>
    <t>PED22D199</t>
  </si>
  <si>
    <t>30/3/2022</t>
  </si>
  <si>
    <t>Bộ mũi khoan sắt HSS-1361-S25</t>
  </si>
  <si>
    <t>HSS-1361-S25</t>
  </si>
  <si>
    <t>PED22D207</t>
  </si>
  <si>
    <t>Ngày làm ringi
Ringi Date2</t>
  </si>
  <si>
    <t>GRC-2643</t>
  </si>
  <si>
    <t>GRC-2646</t>
  </si>
  <si>
    <t>GRC- 2647</t>
  </si>
  <si>
    <t>AIBD-3802</t>
  </si>
  <si>
    <t>GRC-2667</t>
  </si>
  <si>
    <t>DASIN</t>
  </si>
  <si>
    <t>spare parts</t>
  </si>
  <si>
    <t>No1. Press</t>
  </si>
  <si>
    <t>AIBD-3810</t>
  </si>
  <si>
    <t>GRC-2668</t>
  </si>
  <si>
    <t>A-</t>
  </si>
  <si>
    <t>Billet casting machine</t>
  </si>
  <si>
    <t>MAKITA</t>
  </si>
  <si>
    <t>N.H.Quỳnh Anh</t>
  </si>
  <si>
    <t>IC06-46</t>
  </si>
  <si>
    <t>IC06-38</t>
  </si>
  <si>
    <t>PED22D221</t>
  </si>
  <si>
    <t>Battery</t>
  </si>
  <si>
    <t>billet casting machine</t>
  </si>
  <si>
    <t xml:space="preserve"> die furnace</t>
  </si>
  <si>
    <t>KWP-2460</t>
  </si>
  <si>
    <t xml:space="preserve">Pin </t>
  </si>
  <si>
    <t>Cordless Binding Machine (packing area)</t>
  </si>
  <si>
    <t>20/4/2022</t>
  </si>
  <si>
    <t>20/5/2022</t>
  </si>
  <si>
    <t>Aluminum extrusion line</t>
  </si>
  <si>
    <t>NICHILIFT</t>
  </si>
  <si>
    <t>Mold washing room</t>
  </si>
  <si>
    <t>PED22D225</t>
  </si>
  <si>
    <t>PED22D197</t>
  </si>
  <si>
    <t>IC06-36</t>
  </si>
  <si>
    <t>Tay cầm cho máy cắt</t>
  </si>
  <si>
    <t>Cutting machine no1.Press</t>
  </si>
  <si>
    <t>NOTE:</t>
  </si>
  <si>
    <t>Tất cả các hàng hóa trên hệ thống SAP sẽ được theo dõi và phân loại theo Storage Group (Tab Logistic).</t>
  </si>
  <si>
    <t>Hiện tại, Có 3 storage group được theo dõi tại SMC VN. Bao gồm:</t>
  </si>
  <si>
    <t>3. PARTS (152) - Là những hàng bao bì-đóng gói dành cho thành phẩm xuất khẩu.</t>
  </si>
  <si>
    <t>4. Raw Materials (152) - Là Nguyên Vật Liệu chính, linh kiện mua tại Việt Nam</t>
  </si>
  <si>
    <t>7. Tools and Supplies (153) - Các hàng vật tự, công cụ</t>
  </si>
  <si>
    <t>Đối với mục 3- PARTS (152), Vui lòng tham khảo tại  file Danh sách vật tư tiêu hao (Thùng carton, túi Nylon, Tem nhãn) theo đường link:</t>
  </si>
  <si>
    <t>Z:\Share\Im-Ex Dept\Danh sách vật tư tiêu hao (Thùng carton, túi Nylon, Tem nhãn)_23.12.2021</t>
  </si>
  <si>
    <t>Đối với mục số 4-Raw Materials (152), vui lòng tham khảo thông tin mua Nguyên Vật Liệu, linh kiện từ Nhật</t>
  </si>
  <si>
    <t>Đối với mục số 7-Tools and Supplies (153), sẽ là các mặt hàng còn lại không thuộc 2 trường hợp trên (3- PARTS (152) và 4-Raw Materials (152))</t>
  </si>
  <si>
    <r>
      <t xml:space="preserve">Vì vậy, khi tạo YCBG trên website sẽ phải </t>
    </r>
    <r>
      <rPr>
        <b/>
        <sz val="11"/>
        <color rgb="FFFF0000"/>
        <rFont val="Calibri"/>
        <family val="2"/>
        <scheme val="minor"/>
      </rPr>
      <t>chọn Storage Group phù hợp cho các mã hàng là Stock</t>
    </r>
    <r>
      <rPr>
        <sz val="11"/>
        <color rgb="FFFF0000"/>
        <rFont val="Calibri"/>
        <family val="2"/>
        <scheme val="minor"/>
      </rPr>
      <t>.</t>
    </r>
  </si>
  <si>
    <t>Nếu là hàng Non stock thì không cần chọn Storage Group.</t>
  </si>
  <si>
    <t>Heat resistant felt</t>
  </si>
  <si>
    <t>Aluminum slag Container TDXN-1000X620X320MM</t>
  </si>
  <si>
    <t>Thùng đựng xỉ nhôm TDXN-1000X620X320MM</t>
  </si>
  <si>
    <t>TDXN-1000X620X320MM</t>
  </si>
  <si>
    <t>2022-N14-0421-162855</t>
  </si>
  <si>
    <t>billet casting line</t>
  </si>
  <si>
    <t>PED22D241</t>
  </si>
  <si>
    <t>Gear Motor</t>
  </si>
  <si>
    <t>spare for Press No.1</t>
  </si>
  <si>
    <t>AIBD-3856</t>
  </si>
  <si>
    <t>IC06-69</t>
  </si>
  <si>
    <t>IC06-66</t>
  </si>
  <si>
    <t>GRC-2771</t>
  </si>
  <si>
    <t>2022-N11-0421-112644</t>
  </si>
  <si>
    <t>4268=&gt;5020</t>
  </si>
  <si>
    <t>GRC-2801</t>
  </si>
  <si>
    <t>AIBD-3878</t>
  </si>
  <si>
    <t>AIBD-3898</t>
  </si>
  <si>
    <t>MAXKIWI</t>
  </si>
  <si>
    <t>13/5/2022</t>
  </si>
  <si>
    <t>FS-N13N</t>
  </si>
  <si>
    <t>FU-A100</t>
  </si>
  <si>
    <t>2022-N11-0505-101907</t>
  </si>
  <si>
    <t>billet heater</t>
  </si>
  <si>
    <t>AIBD-3918</t>
  </si>
  <si>
    <t>AIBD-3919</t>
  </si>
  <si>
    <t>31/3/2022</t>
  </si>
  <si>
    <t>AIBD-3921</t>
  </si>
  <si>
    <t>AIBD-3928</t>
  </si>
  <si>
    <t>AIBD-3929</t>
  </si>
  <si>
    <t>AIBD-3931</t>
  </si>
  <si>
    <t>IC06-123</t>
  </si>
  <si>
    <t>Cọ sơn 2.5cm</t>
  </si>
  <si>
    <t>Paint brush 2.5cm</t>
  </si>
  <si>
    <t>1LTD10</t>
  </si>
  <si>
    <t>cutting machine, packing</t>
  </si>
  <si>
    <t>2022-N11-0507-110106</t>
  </si>
  <si>
    <t>spare for Cutting machine</t>
  </si>
  <si>
    <t>đóng hàng NG</t>
  </si>
  <si>
    <t>Cutting machine (cắt sp)</t>
  </si>
  <si>
    <t>AIBD-3953</t>
  </si>
  <si>
    <t xml:space="preserve">AIBD-3954 </t>
  </si>
  <si>
    <t>Magnet labels</t>
  </si>
  <si>
    <t>MNAME-S</t>
  </si>
  <si>
    <t>LVF221</t>
  </si>
  <si>
    <t>10/05/2022
(Về trc 20ea)</t>
  </si>
  <si>
    <t>Nuts for aluminum frame</t>
  </si>
  <si>
    <t>AIBD-3959</t>
  </si>
  <si>
    <t>Bộ khuếch đại cảm biến quang</t>
  </si>
  <si>
    <t>Đầu cảm biến sợi quang</t>
  </si>
  <si>
    <t>PED22E304</t>
  </si>
  <si>
    <t>Photoelectric sensor (Amplifier unit)</t>
  </si>
  <si>
    <t>Nhãn dán có gắn nam châm</t>
  </si>
  <si>
    <t>2022-N11-0511-114832</t>
  </si>
  <si>
    <t>Melting Furnace
溶解炉
Homogenizing Furnace
均質炉</t>
  </si>
  <si>
    <t xml:space="preserve">billet casting
</t>
  </si>
  <si>
    <t>A-1-02-005-053
IC06-23</t>
  </si>
  <si>
    <t>A-1-03-002-017
A-1-03-009-002
IC06-23</t>
  </si>
  <si>
    <t>Equipment installation billetcasting fee</t>
  </si>
  <si>
    <t>Equipment installation 2 furnace fee</t>
  </si>
  <si>
    <t>Phí lắp đặt máy đúc lần 2</t>
  </si>
  <si>
    <t>PACKING</t>
  </si>
  <si>
    <t>GRC-2922</t>
  </si>
  <si>
    <t>AIBD-3983</t>
  </si>
  <si>
    <t>GRC-2923</t>
  </si>
  <si>
    <t>AIBD-3985</t>
  </si>
  <si>
    <t>Lê Thị Thảo</t>
  </si>
  <si>
    <t>IC06-184</t>
  </si>
  <si>
    <t>Handle set</t>
  </si>
  <si>
    <t>HIKOKI</t>
  </si>
  <si>
    <t>Photoelectric sensor (sensor head )</t>
  </si>
  <si>
    <t>Shoulder Bolts</t>
  </si>
  <si>
    <t>puller số 2-máy đùn số 1</t>
  </si>
  <si>
    <t>AIBD-3994</t>
  </si>
  <si>
    <t>321361-321362-301653-880734</t>
  </si>
  <si>
    <t>Việt Mỹ</t>
  </si>
  <si>
    <t>Dây rút</t>
  </si>
  <si>
    <t>2022-N11-0516-081019</t>
  </si>
  <si>
    <t>2022-N11-0330-110106</t>
  </si>
  <si>
    <t>GRC- 2952</t>
  </si>
  <si>
    <t>AIBD-4028</t>
  </si>
  <si>
    <t>4626=&gt;4952</t>
  </si>
  <si>
    <t>21-N11-1207</t>
  </si>
  <si>
    <t>QA ĐẶT MUA</t>
  </si>
  <si>
    <t>2022-N11-0326-105839</t>
  </si>
  <si>
    <t>No.2 press line</t>
  </si>
  <si>
    <t>MAG</t>
  </si>
  <si>
    <t>Extrusion line</t>
  </si>
  <si>
    <t>AIBD-4062</t>
  </si>
  <si>
    <t>HDMSB10-21.4-F8-M10</t>
  </si>
  <si>
    <t>Bu lông vai</t>
  </si>
  <si>
    <t>GRC-3014</t>
  </si>
  <si>
    <t>GRC-3018</t>
  </si>
  <si>
    <t>PED22E363</t>
  </si>
  <si>
    <t>vận chuyển hàng nội bộ</t>
  </si>
  <si>
    <t>GRC-3049</t>
  </si>
  <si>
    <t>Remove the aluminum on the container of press</t>
  </si>
  <si>
    <t>Xử lý nhôm dính trên thùng chứa thanh nhôm của máy đùn</t>
  </si>
  <si>
    <t>CONTAINER-REPAIR</t>
  </si>
  <si>
    <t>UBE</t>
  </si>
  <si>
    <t>AIBD-4132</t>
  </si>
  <si>
    <t>6月20日</t>
  </si>
  <si>
    <t>7月4日</t>
  </si>
  <si>
    <t>7月25日</t>
  </si>
  <si>
    <t>8月8日</t>
  </si>
  <si>
    <t>8月29日</t>
  </si>
  <si>
    <t>SMC3-PA-001</t>
  </si>
  <si>
    <t>SMC3-PA-002</t>
  </si>
  <si>
    <t>SMC3-PA-003</t>
  </si>
  <si>
    <t>SMC3-PA-004</t>
  </si>
  <si>
    <t>SMC3-PA-005</t>
  </si>
  <si>
    <t>SMC3-PA-006</t>
  </si>
  <si>
    <t>Pedestal of wooden crate
2M</t>
  </si>
  <si>
    <t>Chân đế thùng 2M</t>
  </si>
  <si>
    <t>Top cover of wooden crate
2M</t>
  </si>
  <si>
    <t>Nắp trên 2M</t>
  </si>
  <si>
    <t>Pedestal of wooden crate
2.2M</t>
  </si>
  <si>
    <t>Chân đế thùng  2.2M</t>
  </si>
  <si>
    <t>Top cover of wooden crate
2.2M</t>
  </si>
  <si>
    <t>Nắp trên 2.2M</t>
  </si>
  <si>
    <t>Long wooden splint</t>
  </si>
  <si>
    <t>Nẹp gỗ dài</t>
  </si>
  <si>
    <t>Short wooden splint</t>
  </si>
  <si>
    <t>Nẹp gỗ ngắn</t>
  </si>
  <si>
    <t>2022-N11-0530-140517</t>
  </si>
  <si>
    <t>6月1日</t>
  </si>
  <si>
    <t>FKL6625.230</t>
  </si>
  <si>
    <t>Quạt hút kèm miệng gió</t>
  </si>
  <si>
    <t>Leipole</t>
  </si>
  <si>
    <t>Tủ điện máy gia nhiệt billet máy đùn 1</t>
  </si>
  <si>
    <t>Fan Filter</t>
  </si>
  <si>
    <t>2022-N11-0531-094853</t>
  </si>
  <si>
    <t>AIBD-4166</t>
  </si>
  <si>
    <t>IC06-247</t>
  </si>
  <si>
    <t>19/5/2022</t>
  </si>
  <si>
    <t>PED22F379</t>
  </si>
  <si>
    <t>AIBD-4170</t>
  </si>
  <si>
    <t>AIBD-4188</t>
  </si>
  <si>
    <t>2022-N11-0603-161644</t>
  </si>
  <si>
    <t>S21-4948</t>
  </si>
  <si>
    <t>Phí lắp đặt lò nung khuôn</t>
  </si>
  <si>
    <t>10500X2200X1400-4MM</t>
  </si>
  <si>
    <t>800X800X850-4MM</t>
  </si>
  <si>
    <t>FOSHAN CREDIT EVER</t>
  </si>
  <si>
    <t>S21-4948
PED22F399</t>
  </si>
  <si>
    <t>IC05-1003</t>
  </si>
  <si>
    <t>GRC-3125</t>
  </si>
  <si>
    <t>AIBD-4226</t>
  </si>
  <si>
    <t>2022-N11-0526-100019</t>
  </si>
  <si>
    <t>GRC-3135</t>
  </si>
  <si>
    <t>AIBD-4253</t>
  </si>
  <si>
    <t>GRC-3146</t>
  </si>
  <si>
    <t>IC06-270</t>
  </si>
  <si>
    <t>No.1 Press</t>
  </si>
  <si>
    <t>Hiệu</t>
  </si>
  <si>
    <t>Small Rulo Socket</t>
  </si>
  <si>
    <t>Ổ cắm rulo nhỏ</t>
  </si>
  <si>
    <t>LIOA</t>
  </si>
  <si>
    <t>QN20-2-15A</t>
  </si>
  <si>
    <t>2022-N11-0606-115110</t>
  </si>
  <si>
    <t>VN00027</t>
  </si>
  <si>
    <t>RACK5590X1400X2175</t>
  </si>
  <si>
    <t>DIE RACK 5590X1400X2175</t>
  </si>
  <si>
    <t>GRC-3202</t>
  </si>
  <si>
    <t>AIBD-4297</t>
  </si>
  <si>
    <t>GRC-3220</t>
  </si>
  <si>
    <t>Kì hạn mong muốn</t>
  </si>
  <si>
    <t>PED22F444</t>
  </si>
  <si>
    <t>AIBD-4321</t>
  </si>
  <si>
    <t>AIBD-4323</t>
  </si>
  <si>
    <t>PED22F428</t>
  </si>
  <si>
    <t>HOÀNG HUY PHÁT</t>
  </si>
  <si>
    <t>Large wrapping paper</t>
  </si>
  <si>
    <t>Giấy gói hàng khổ lớn 1M6</t>
  </si>
  <si>
    <t>L-W-PAPER-NM3</t>
  </si>
  <si>
    <t xml:space="preserve"> 2022-N11-0616-110949</t>
  </si>
  <si>
    <t>note</t>
  </si>
  <si>
    <t>IC06-329</t>
  </si>
  <si>
    <t>Container trolley</t>
  </si>
  <si>
    <t>Xe đẩy</t>
  </si>
  <si>
    <t>AIBD-4376</t>
  </si>
  <si>
    <t>BM-HC</t>
  </si>
  <si>
    <t>BM-TK</t>
  </si>
  <si>
    <t>AIBD-4397</t>
  </si>
  <si>
    <t>IC06-349</t>
  </si>
  <si>
    <t>IC06-345</t>
  </si>
  <si>
    <t>A-2-01-003-027</t>
  </si>
  <si>
    <t>A-1-03-009-009</t>
  </si>
  <si>
    <t>A-1-03-009-007
A-1-03-009-008</t>
  </si>
  <si>
    <t>Die oven 800X800X850-4MM</t>
  </si>
  <si>
    <t>Aging furnace 10500X2200X1400-4MM</t>
  </si>
  <si>
    <t>Service fee</t>
  </si>
  <si>
    <t>A-1-03-009-007
A-1-03-009-008
A-1-03-009-009</t>
  </si>
  <si>
    <t>Đồ gá kính bảo hộ</t>
  </si>
  <si>
    <t>AIBD-4409</t>
  </si>
  <si>
    <t>GRC-3279</t>
  </si>
  <si>
    <t>Dies maintenance</t>
  </si>
  <si>
    <t>2022-N11-0623-140732</t>
  </si>
  <si>
    <t>GRC-3289</t>
  </si>
  <si>
    <t>SHOERACKW854XD350XH1850MM</t>
  </si>
  <si>
    <t>Shoe rack 18</t>
  </si>
  <si>
    <t>Kệ giày 18 ngăn</t>
  </si>
  <si>
    <t>PED22F473</t>
  </si>
  <si>
    <t>PED22F474</t>
  </si>
  <si>
    <t>SMC3-PA-007</t>
  </si>
  <si>
    <t>SMC3-PA-008</t>
  </si>
  <si>
    <t>SMC3-PA-009</t>
  </si>
  <si>
    <t>SMC3-PA-010</t>
  </si>
  <si>
    <t>Pedestal of wooden crate
3M</t>
  </si>
  <si>
    <t>Top cover of wooden crate
3M</t>
  </si>
  <si>
    <t>Long wooden slint 3M</t>
  </si>
  <si>
    <t>Chân đế thùng 3M</t>
  </si>
  <si>
    <t>Nắp trên 3M</t>
  </si>
  <si>
    <t>Nẹp bên 3M</t>
  </si>
  <si>
    <t>Nẹp trên nắp 3M</t>
  </si>
  <si>
    <t>2022-N11-0628-100146</t>
  </si>
  <si>
    <t>FCD-3040-C1</t>
  </si>
  <si>
    <t>PED22F476</t>
  </si>
  <si>
    <t>Móc treo tường 5 móc</t>
  </si>
  <si>
    <t>GELER</t>
  </si>
  <si>
    <t>AIBD-4460</t>
  </si>
  <si>
    <t>Saw blade for cutting wood</t>
  </si>
  <si>
    <t>Lưỡi cưa lọng cắt gỗ</t>
  </si>
  <si>
    <t>2022-N11-0702-100324</t>
  </si>
  <si>
    <t>SMC3-HI-001</t>
  </si>
  <si>
    <t>Trolley</t>
  </si>
  <si>
    <t>Di chuyển sản phẩm</t>
  </si>
  <si>
    <t>Plug</t>
  </si>
  <si>
    <t>Phích cắm</t>
  </si>
  <si>
    <t>F014-6</t>
  </si>
  <si>
    <t>F214-6</t>
  </si>
  <si>
    <t>Ổ cắm nối</t>
  </si>
  <si>
    <t>Connector</t>
  </si>
  <si>
    <t>Panasonic</t>
  </si>
  <si>
    <t>CANCEL PO5754</t>
  </si>
  <si>
    <t>7199=&gt;7722</t>
  </si>
  <si>
    <t>Khi argon</t>
  </si>
  <si>
    <t>2022-N11-0623-092016</t>
  </si>
  <si>
    <t>AIBD-4479</t>
  </si>
  <si>
    <t>IC06-392</t>
  </si>
  <si>
    <t>IC06-394</t>
  </si>
  <si>
    <t>IC06-391</t>
  </si>
  <si>
    <t>ADM:FIXTURES - [Adm] Fixtures</t>
  </si>
  <si>
    <t>GRC-3384</t>
  </si>
  <si>
    <t>2022-N11-0704-130026</t>
  </si>
  <si>
    <t>AIBD-4502</t>
  </si>
  <si>
    <t>10N23</t>
  </si>
  <si>
    <t>Kẹp kim hàn 10N23</t>
  </si>
  <si>
    <t>2022-N11-0707-131439</t>
  </si>
  <si>
    <t>5754=&gt;6101</t>
  </si>
  <si>
    <t>JIG13609-05</t>
  </si>
  <si>
    <t>Discard box</t>
  </si>
  <si>
    <t xml:space="preserve">Thùng chứa phế phẩm đùn </t>
  </si>
  <si>
    <t>Motor bracket</t>
  </si>
  <si>
    <t>PALLET TRANSPORT</t>
  </si>
  <si>
    <t>Đã giao hàng, chứng từ kí sau khi thông quan</t>
  </si>
  <si>
    <t>2022-N11-0711-083752</t>
  </si>
  <si>
    <t>Tấm đỡ motor</t>
  </si>
  <si>
    <t>MAKITA-A-85628</t>
  </si>
  <si>
    <t>8142=&gt;8165</t>
  </si>
  <si>
    <t xml:space="preserve">Đinh cuộn xoắn 2.5X64 </t>
  </si>
  <si>
    <t>Twisted coil nails 2.5X64(300 ea x 30 rolls)</t>
  </si>
  <si>
    <t>DINHXOAN-2.5X64</t>
  </si>
  <si>
    <t>2022-N11-0712-092353</t>
  </si>
  <si>
    <t>2022-N11-0708-160815</t>
  </si>
  <si>
    <t>PED22G539</t>
  </si>
  <si>
    <t>YVF276</t>
  </si>
  <si>
    <t>Dây đai thép 0.6X16MM</t>
  </si>
  <si>
    <t>Steel traps 0.6X16MM</t>
  </si>
  <si>
    <t>STRAPS-0.6X16MM</t>
  </si>
  <si>
    <t>Sơn xịt (đỏ)</t>
  </si>
  <si>
    <t>Sơn xịt (vàng)</t>
  </si>
  <si>
    <t>Sơn xịt (xanh)</t>
  </si>
  <si>
    <t>URAIPAINTS</t>
  </si>
  <si>
    <t>GRC-3486</t>
  </si>
  <si>
    <t>AIBD-4585</t>
  </si>
  <si>
    <t xml:space="preserve">TIG Collet </t>
  </si>
  <si>
    <t>PED22G559</t>
  </si>
  <si>
    <t>AIBD-4631</t>
  </si>
  <si>
    <t>JA8379-K154</t>
  </si>
  <si>
    <t>IC06-429</t>
  </si>
  <si>
    <t>AIBD-4640</t>
  </si>
  <si>
    <t>A211</t>
  </si>
  <si>
    <t>AIBD-4646</t>
  </si>
  <si>
    <t>AIBD-4653</t>
  </si>
  <si>
    <t>AIBD-4675</t>
  </si>
  <si>
    <t>PED22G566</t>
  </si>
  <si>
    <t>IC06-478</t>
  </si>
  <si>
    <t>Short wooden slint 3M</t>
  </si>
  <si>
    <t>GRC-3557</t>
  </si>
  <si>
    <t>AIBD-4682</t>
  </si>
  <si>
    <t>IC06-491</t>
  </si>
  <si>
    <t>EP120-010N</t>
  </si>
  <si>
    <t>Q11. page 511</t>
  </si>
  <si>
    <t>Stretcher</t>
  </si>
  <si>
    <t xml:space="preserve">Replacement filter element </t>
  </si>
  <si>
    <t>VN00028</t>
  </si>
  <si>
    <t>Hydraulic filter 51759</t>
  </si>
  <si>
    <t>Bộ lọc thủy lực 51759</t>
  </si>
  <si>
    <t>Hydraulic filter 51551</t>
  </si>
  <si>
    <t>Bộ lọc thủy lực 51551</t>
  </si>
  <si>
    <t>Puller 1</t>
  </si>
  <si>
    <t>Cutting machine 1</t>
  </si>
  <si>
    <t>2022-N11-0725-102040</t>
  </si>
  <si>
    <t>GRC-3575</t>
  </si>
  <si>
    <t>AIBD-4719</t>
  </si>
  <si>
    <t>AIBD-4725</t>
  </si>
  <si>
    <t>AIBD-4726</t>
  </si>
  <si>
    <t>AIBD-4735</t>
  </si>
  <si>
    <t>LVF258</t>
  </si>
  <si>
    <t>A-2-01-016-049</t>
  </si>
  <si>
    <t>AIBD-4765</t>
  </si>
  <si>
    <t>NAP-MC-COVER1-1-001</t>
  </si>
  <si>
    <t>NAP-MC-COVER2-1-001</t>
  </si>
  <si>
    <t>NAP-MC-COVER3-1-001</t>
  </si>
  <si>
    <t>Aging Furnace</t>
  </si>
  <si>
    <t>Khung che motor 1</t>
  </si>
  <si>
    <t>Khung che motor 2</t>
  </si>
  <si>
    <t>Khung che motor 3</t>
  </si>
  <si>
    <t>COVER 1</t>
  </si>
  <si>
    <t>COVER 2</t>
  </si>
  <si>
    <t>COVER 3</t>
  </si>
  <si>
    <t>2022-N11-0728-153234</t>
  </si>
  <si>
    <t>Đá cắt</t>
  </si>
  <si>
    <t>Bosch</t>
  </si>
  <si>
    <t>GRC-3647</t>
  </si>
  <si>
    <t>AIBD-4787</t>
  </si>
  <si>
    <t>AIBD-4801</t>
  </si>
  <si>
    <t>GRC-3667</t>
  </si>
  <si>
    <t>GRC-3668</t>
  </si>
  <si>
    <t>Aptomat</t>
  </si>
  <si>
    <t>Cầu dao tự động</t>
  </si>
  <si>
    <t>Quạt tủ điện</t>
  </si>
  <si>
    <t>BH-D6-2P-0.5A</t>
  </si>
  <si>
    <t>GPC-9W-F1</t>
  </si>
  <si>
    <t>Mitsubishi Electric</t>
  </si>
  <si>
    <t>MOLD WASHING ROOM;
Billet Heater</t>
  </si>
  <si>
    <t>MOLD WASHING ROOM</t>
  </si>
  <si>
    <t>PED22H624</t>
  </si>
  <si>
    <t>Electric box Fan</t>
  </si>
  <si>
    <t>2022-N11-0803-095315</t>
  </si>
  <si>
    <t>AIBD-4802</t>
  </si>
  <si>
    <t>CONE-320X50</t>
  </si>
  <si>
    <t>PC-200M</t>
  </si>
  <si>
    <t>Cone black/yellow 320x50</t>
  </si>
  <si>
    <t>Plastic chain 200m/bag</t>
  </si>
  <si>
    <t>Dây xích nhựa</t>
  </si>
  <si>
    <t>Cọc tiêu an toàn</t>
  </si>
  <si>
    <t>GRC-3701</t>
  </si>
  <si>
    <t>AIBD-4828</t>
  </si>
  <si>
    <t>AIBD-4829</t>
  </si>
  <si>
    <t>AIBD-4851</t>
  </si>
  <si>
    <t>AIBD-4861</t>
  </si>
  <si>
    <t>IC06-555</t>
  </si>
  <si>
    <t>3M-1290</t>
  </si>
  <si>
    <t>Active noise control</t>
  </si>
  <si>
    <t>Nút bịt tai chống ồn</t>
  </si>
  <si>
    <t>3M</t>
  </si>
  <si>
    <t>AIBD-4873</t>
  </si>
  <si>
    <t>PED22H650</t>
  </si>
  <si>
    <t>PED22H651</t>
  </si>
  <si>
    <t>AIBD-4882</t>
  </si>
  <si>
    <t>Bộ phe 18 kích thước</t>
  </si>
  <si>
    <t>Snap ring set 18 size</t>
  </si>
  <si>
    <t>AIBD-4888</t>
  </si>
  <si>
    <t>2022-N11-0810-130448</t>
  </si>
  <si>
    <t>Băng keo dán nền 3M VINYL 471 50MM X 33M (XANH DA TRỜI)</t>
  </si>
  <si>
    <t>Floor tape 3M 471 (blue 50mmx33m)</t>
  </si>
  <si>
    <t>2022-N11-0810-132525</t>
  </si>
  <si>
    <t>PED22H659</t>
  </si>
  <si>
    <t>AIBD-4915</t>
  </si>
  <si>
    <t>3M-H701R</t>
  </si>
  <si>
    <t>Helmet 3M-H701R (White)</t>
  </si>
  <si>
    <t>Nón bảo hộ màu trắng 3M-H701R</t>
  </si>
  <si>
    <t>FLOORTAP-3M-471-BLUE</t>
  </si>
  <si>
    <t>Móc treo tường 10 móc</t>
  </si>
  <si>
    <t>SHINOHARA</t>
  </si>
  <si>
    <t>2022-N11-0816-091213</t>
  </si>
  <si>
    <t>IC06-592</t>
  </si>
  <si>
    <t>IC06-593</t>
  </si>
  <si>
    <t>WIX</t>
  </si>
  <si>
    <t>AIBD-4977</t>
  </si>
  <si>
    <t>N14</t>
  </si>
  <si>
    <t>IC06-602</t>
  </si>
  <si>
    <t>AIBD-4989</t>
  </si>
  <si>
    <t>AIBD-4990</t>
  </si>
  <si>
    <t>2007000012253</t>
  </si>
  <si>
    <t>Khí acetylen</t>
  </si>
  <si>
    <t>Mã sản phẩm</t>
  </si>
  <si>
    <t>Tên sản phẩm</t>
  </si>
  <si>
    <t>NSX</t>
  </si>
  <si>
    <t>Mục đích sử dụng</t>
  </si>
  <si>
    <t>Ghi chú</t>
  </si>
  <si>
    <t>Puller's saw</t>
  </si>
  <si>
    <t>Tuổi thọ: 6 tháng</t>
  </si>
  <si>
    <t>Cutting's saw</t>
  </si>
  <si>
    <t>TSN 2508 001</t>
  </si>
  <si>
    <t>Sample Cutting's saw</t>
  </si>
  <si>
    <t>Tuổi thọ: 3 tháng</t>
  </si>
  <si>
    <t>For puller machine</t>
  </si>
  <si>
    <t>For cutting machine</t>
  </si>
  <si>
    <t>For sample cutting machine</t>
  </si>
  <si>
    <t>Ngày yêu cầu</t>
  </si>
  <si>
    <t>TENRYU</t>
  </si>
  <si>
    <t>JA8374-D201</t>
  </si>
  <si>
    <t>Billet Cutting's saw</t>
  </si>
  <si>
    <t>For billet cutting machine
Model: JA8374
A-No: A-1-01-026-010
(Stock: 0 ea)</t>
  </si>
  <si>
    <t>Đơn vị</t>
  </si>
  <si>
    <t>PR</t>
  </si>
  <si>
    <t>Kép inox 304 phi 27</t>
  </si>
  <si>
    <t>Van bi 27 chất liệu inox 201 / 304 tay gạt</t>
  </si>
  <si>
    <t>Ball valve 27 stainless steel material 201/304 handle</t>
  </si>
  <si>
    <t>BALL-VALVE</t>
  </si>
  <si>
    <t>F-304-D27</t>
  </si>
  <si>
    <t>304 inox threaded union (diameter: 27 mm)</t>
  </si>
  <si>
    <t>Tank làm mát mẫu</t>
  </si>
  <si>
    <t>2022-N11-0823-131606</t>
  </si>
  <si>
    <t>AIBD-5041</t>
  </si>
  <si>
    <t>AIBD-5042</t>
  </si>
  <si>
    <t>AIBD-5045</t>
  </si>
  <si>
    <t>VN</t>
  </si>
  <si>
    <t>EBISU</t>
  </si>
  <si>
    <t>STK-UNIFORMS</t>
  </si>
  <si>
    <t>MOC10-B4</t>
  </si>
  <si>
    <t>CN11</t>
  </si>
  <si>
    <t>Rubber gloves CN11</t>
  </si>
  <si>
    <t>Găng tay cao su công nghiệp CN11</t>
  </si>
  <si>
    <t>2022-N11-0825-103837</t>
  </si>
  <si>
    <t>TAN THANH DAT</t>
  </si>
  <si>
    <t>Chờ chỉ thị  Mr.Tuấn</t>
  </si>
  <si>
    <t>AIBD-5058</t>
  </si>
  <si>
    <t>UBB16-20</t>
  </si>
  <si>
    <t>Lò xo</t>
  </si>
  <si>
    <t>Bulong vai đầu thấp</t>
  </si>
  <si>
    <t>Low Head Shoulder Screws</t>
  </si>
  <si>
    <t>A13-10-21.4-8</t>
  </si>
  <si>
    <t>2022-N11-0827-095855</t>
  </si>
  <si>
    <t>NO.3 SHELF FOR PACKING MATERIAL</t>
  </si>
  <si>
    <t>Cơ khí việt</t>
  </si>
  <si>
    <t>COD-01</t>
  </si>
  <si>
    <t>Clean out disk</t>
  </si>
  <si>
    <t>Đĩa vệ sinh thùng chứa</t>
  </si>
  <si>
    <t>NO.2 SHELF FOR PACKING MATERIAL</t>
  </si>
  <si>
    <t>NO.1 SHELF FOR PACKING MATERIAL</t>
  </si>
  <si>
    <t>GRC-3900</t>
  </si>
  <si>
    <t>GRC-3903</t>
  </si>
  <si>
    <t>AIBD-5088</t>
  </si>
  <si>
    <t>Buffer pad</t>
  </si>
  <si>
    <t>Extrusion line +Billet line</t>
  </si>
  <si>
    <t>2022-N11-0907-090053</t>
  </si>
  <si>
    <t>LVF286</t>
  </si>
  <si>
    <t>AIBD-5099</t>
  </si>
  <si>
    <t>2022-N11-0829-104906</t>
  </si>
  <si>
    <t>2022-N11-0830-154233</t>
  </si>
  <si>
    <t>Mold washing tank</t>
  </si>
  <si>
    <t>GRC-3933</t>
  </si>
  <si>
    <t>PED22I734</t>
  </si>
  <si>
    <t>Diering Extrusion machine</t>
  </si>
  <si>
    <t>Máy tách vòng khuôn</t>
  </si>
  <si>
    <t>2022-N11-0908-101841</t>
  </si>
  <si>
    <t>AIBD-5123</t>
  </si>
  <si>
    <t>BZ600-400</t>
  </si>
  <si>
    <t>AIBD-5138</t>
  </si>
  <si>
    <t>AIBD-5142</t>
  </si>
  <si>
    <t>PED22I748</t>
  </si>
  <si>
    <t>TDS-15016</t>
  </si>
  <si>
    <t>for TIG Welding-Die maintenance</t>
  </si>
  <si>
    <t>Điện cực</t>
  </si>
  <si>
    <t>AIBD-5173</t>
  </si>
  <si>
    <t>GRC-3961</t>
  </si>
  <si>
    <t>GRC-3962</t>
  </si>
  <si>
    <t>238B</t>
  </si>
  <si>
    <t>TAG-1</t>
  </si>
  <si>
    <t>MARTOR</t>
  </si>
  <si>
    <t>OLFA</t>
  </si>
  <si>
    <t>Push cut No.437</t>
  </si>
  <si>
    <t>Safety cutter 238B</t>
  </si>
  <si>
    <t>Shot blast machine</t>
  </si>
  <si>
    <t>2022-N11-0913-105243</t>
  </si>
  <si>
    <t>Tension springs</t>
  </si>
  <si>
    <t>AIBD-5198</t>
  </si>
  <si>
    <t>2022-N11-0909-083051</t>
  </si>
  <si>
    <t>2022-N11-0912-113103</t>
  </si>
  <si>
    <t>Trần Bùi Nhật Linh</t>
  </si>
  <si>
    <t>2022-N11-0913-102140</t>
  </si>
  <si>
    <t>Show board inox</t>
  </si>
  <si>
    <t>Bảng hiển thị inox</t>
  </si>
  <si>
    <t>3500X800MM</t>
  </si>
  <si>
    <t>2022-N14-0806-145431</t>
  </si>
  <si>
    <t>Extrusion line &amp; Billet casting line</t>
  </si>
  <si>
    <t>PED22I751</t>
  </si>
  <si>
    <t>Autocard machine</t>
  </si>
  <si>
    <t xml:space="preserve">UPS Emerson Liebert </t>
  </si>
  <si>
    <t>Bộ lưu điện</t>
  </si>
  <si>
    <t>2022-N11-0915-092449</t>
  </si>
  <si>
    <t>Máy chà rửa sàn</t>
  </si>
  <si>
    <t>BD-50-50-C-BP</t>
  </si>
  <si>
    <t>Miếng đánh sàn</t>
  </si>
  <si>
    <t>3M-5100</t>
  </si>
  <si>
    <t xml:space="preserve"> 2022-N11-0916-082608</t>
  </si>
  <si>
    <t>Latch lock DST121RFE</t>
  </si>
  <si>
    <t>Hammer DST121RFE</t>
  </si>
  <si>
    <t>Chốt (MAKITA) cho máy DST121RFE</t>
  </si>
  <si>
    <t>Búa (MAKITA) cho máy DST121RFE</t>
  </si>
  <si>
    <t>C-DST121RFE-FEE</t>
  </si>
  <si>
    <t>B-DST121RFE-FEE</t>
  </si>
  <si>
    <t>Dao rọc giấy</t>
  </si>
  <si>
    <t>Dao cắt cầm tay</t>
  </si>
  <si>
    <t>Auto guard cutter</t>
  </si>
  <si>
    <t>PED22I758</t>
  </si>
  <si>
    <t>40 ROLL-1/8
110 ROLL-16/9</t>
  </si>
  <si>
    <t>AIBD-4788
AIBD-5212</t>
  </si>
  <si>
    <t>P151244-016142</t>
  </si>
  <si>
    <t>2022-N11-0919-100110</t>
  </si>
  <si>
    <t>Q6BAT</t>
  </si>
  <si>
    <t>FX3U-32BL</t>
  </si>
  <si>
    <t>6ES7971-1AA00-0AA0</t>
  </si>
  <si>
    <t>6ES7291-8BA20-0XA0</t>
  </si>
  <si>
    <t>Siemen</t>
  </si>
  <si>
    <t>Mitsubishi</t>
  </si>
  <si>
    <t>Pin Q6BAT</t>
  </si>
  <si>
    <t>Pin FX3U-32BL</t>
  </si>
  <si>
    <t>Pin 6ES7971-1AA00-0AA0</t>
  </si>
  <si>
    <t>Pin 6ES7291-8BA20-0XA0</t>
  </si>
  <si>
    <t>Battery FX3U-32BL</t>
  </si>
  <si>
    <t>Battery 6ES7971-1AA00-0AA0</t>
  </si>
  <si>
    <t>Battery 6ES7291-8BA20-0XA0</t>
  </si>
  <si>
    <t>2022-N11-0919-111434</t>
  </si>
  <si>
    <t>IC06-713</t>
  </si>
  <si>
    <t>IC06-706</t>
  </si>
  <si>
    <t>GRC-4000</t>
  </si>
  <si>
    <t>GRC-4001</t>
  </si>
  <si>
    <t>Tig Electrode</t>
  </si>
  <si>
    <t>AIBD-5275</t>
  </si>
  <si>
    <t>GRC-4023</t>
  </si>
  <si>
    <t>IC06-730</t>
  </si>
  <si>
    <t>Industrial floor cleaning machine (床洗浄機)</t>
  </si>
  <si>
    <t>IC06-702</t>
  </si>
  <si>
    <t>A-7-02-005-001</t>
  </si>
  <si>
    <t>AIBD-5299</t>
  </si>
  <si>
    <t>TANK-3076</t>
  </si>
  <si>
    <t>Dasin Fan</t>
  </si>
  <si>
    <t>Quạt Dasin</t>
  </si>
  <si>
    <t>2022-N11-0924-081238</t>
  </si>
  <si>
    <t>Stacking pallet</t>
  </si>
  <si>
    <t>Pallet xếp chồng</t>
  </si>
  <si>
    <t>AM00067</t>
  </si>
  <si>
    <t>Pallet nhựa chống tràn dầu</t>
  </si>
  <si>
    <t>Chemical spill pallet</t>
  </si>
  <si>
    <t>Kho hóa chất</t>
  </si>
  <si>
    <t>8FBR20</t>
  </si>
  <si>
    <t>8FBN30</t>
  </si>
  <si>
    <t>TOYOTA</t>
  </si>
  <si>
    <t>Extrusion line 2</t>
  </si>
  <si>
    <t>Xe nâng động cơ điện 2</t>
  </si>
  <si>
    <t>Toyota forklit 2</t>
  </si>
  <si>
    <t>Xe nâng 4 chiều</t>
  </si>
  <si>
    <t>Lê Thị Nguyệt</t>
  </si>
  <si>
    <t>2022-N11-0927-085637</t>
  </si>
  <si>
    <t>Khối giả định</t>
  </si>
  <si>
    <t xml:space="preserve">FIXED DUMMY BLOCK </t>
  </si>
  <si>
    <t>DUMMY-9B</t>
  </si>
  <si>
    <t>DUMMY RING</t>
  </si>
  <si>
    <t>Vòng của khối giả định</t>
  </si>
  <si>
    <t>DUMMY-RING-9B</t>
  </si>
  <si>
    <t>2022-N11-0927-110646</t>
  </si>
  <si>
    <t>Repair fee of Vertical pump</t>
  </si>
  <si>
    <t>Chi phí sửa chữa máy bơm trục đứng</t>
  </si>
  <si>
    <t>VEH-0401</t>
  </si>
  <si>
    <t>NÔNG LÂM Enviroment</t>
  </si>
  <si>
    <t>2022-V15-0901-123829</t>
  </si>
  <si>
    <t>Scrubber</t>
  </si>
  <si>
    <t>PED22I795</t>
  </si>
  <si>
    <t>24/9/2022</t>
  </si>
  <si>
    <t>TRUONG AN</t>
  </si>
  <si>
    <t>pair</t>
  </si>
  <si>
    <t>AIBD-5337</t>
  </si>
  <si>
    <t>GRC-4083</t>
  </si>
  <si>
    <t>AIBD-5338</t>
  </si>
  <si>
    <t>measuring room</t>
  </si>
  <si>
    <t>PED22J810</t>
  </si>
  <si>
    <t>Kho hóa chất: 11
spare room: 5</t>
  </si>
  <si>
    <t xml:space="preserve">Battery </t>
  </si>
  <si>
    <t>Twisted coil nail</t>
  </si>
  <si>
    <t>Dummy boss
ダミーボス</t>
  </si>
  <si>
    <t>Dummy ring
ダミーリング</t>
  </si>
  <si>
    <t>Dummy block
ダミーブロック</t>
  </si>
  <si>
    <t>Connection bolt
コネクションボルト</t>
  </si>
  <si>
    <t>Parallel knock pin
ø10x12 ピン</t>
  </si>
  <si>
    <t>Parallel knock pin
ø10x28 ピン</t>
  </si>
  <si>
    <t>Parallel knock pin
ø10x20 ピン</t>
  </si>
  <si>
    <t>Parallel key
廻り止めキー</t>
  </si>
  <si>
    <t>Hex. socket head bolts
ボルトM8x15</t>
  </si>
  <si>
    <t>JPY</t>
  </si>
  <si>
    <t>PED22J815</t>
  </si>
  <si>
    <t>加工研究所</t>
  </si>
  <si>
    <t>PSA600-BX</t>
  </si>
  <si>
    <t>TIN VIET TIEN</t>
  </si>
  <si>
    <t>IC06-795</t>
  </si>
  <si>
    <t>IC06-776</t>
  </si>
  <si>
    <t>PALLET1200X1400X1550</t>
  </si>
  <si>
    <t>PED22J820</t>
  </si>
  <si>
    <t>Air filter</t>
  </si>
  <si>
    <t>Thiết bị lọc khí</t>
  </si>
  <si>
    <t>DONALSON</t>
  </si>
  <si>
    <t>AIBD-5378</t>
  </si>
  <si>
    <t>8FBS25</t>
  </si>
  <si>
    <t>Toyota forklit 8FBS25</t>
  </si>
  <si>
    <t>Chờ chỉ thị  Mr.Yamamori</t>
  </si>
  <si>
    <t xml:space="preserve">NAITO </t>
  </si>
  <si>
    <t>TINH HA</t>
  </si>
  <si>
    <t>GRC-4122</t>
  </si>
  <si>
    <t>AIBD-5386</t>
  </si>
  <si>
    <t>AIBD-5385</t>
  </si>
  <si>
    <t>GRC-4126</t>
  </si>
  <si>
    <t>AIBD-5392</t>
  </si>
  <si>
    <t>AIBD-5415</t>
  </si>
  <si>
    <t>GRC-4146</t>
  </si>
  <si>
    <t>AIBD-5425</t>
  </si>
  <si>
    <t>Giá cao ko mua</t>
  </si>
  <si>
    <t>D2880xR1200xC3250</t>
  </si>
  <si>
    <t>D2790xR1200xC3250</t>
  </si>
  <si>
    <t>D3580xR1400xC3250</t>
  </si>
  <si>
    <t>D3490xR1400xC3250</t>
  </si>
  <si>
    <t>D2180xR2400xC3250</t>
  </si>
  <si>
    <t>Bộ kệ đầu loại 1</t>
  </si>
  <si>
    <t>Bộ kệ tiếp theo loại 1</t>
  </si>
  <si>
    <t>Bộ kệ đầu loại 2</t>
  </si>
  <si>
    <t>Bộ kệ đơn loại 3</t>
  </si>
  <si>
    <t>GRC-4156</t>
  </si>
  <si>
    <t>AIBD-5428</t>
  </si>
  <si>
    <t>Bộ kệ tiếp theo loại 2</t>
  </si>
  <si>
    <t>Ms.Trang=&gt;LINH</t>
  </si>
  <si>
    <t>PED22J848</t>
  </si>
  <si>
    <t>AIBD-5442</t>
  </si>
  <si>
    <t>IC06-820</t>
  </si>
  <si>
    <t>18/10/2022</t>
  </si>
  <si>
    <t>25/10/2022</t>
  </si>
  <si>
    <t>PED21G275</t>
  </si>
  <si>
    <t>TB-B064-5S</t>
  </si>
  <si>
    <t>Carbide Bur Set</t>
  </si>
  <si>
    <t>Mũi mài</t>
  </si>
  <si>
    <t>AIBD-5472</t>
  </si>
  <si>
    <t>AIBD-1755</t>
  </si>
  <si>
    <t>AIBD-1756</t>
  </si>
  <si>
    <t>AIBD-1462</t>
  </si>
  <si>
    <t>AIBD-1596</t>
  </si>
  <si>
    <t>AIBD-2357</t>
  </si>
  <si>
    <t>AIBD-1338</t>
  </si>
  <si>
    <t>AIBD-1798</t>
  </si>
  <si>
    <t>AIBD-1799</t>
  </si>
  <si>
    <t>AIBD-1253</t>
  </si>
  <si>
    <t>AIBD-1829</t>
  </si>
  <si>
    <t>AIBD-1838</t>
  </si>
  <si>
    <t>AIBD-1827</t>
  </si>
  <si>
    <t>AIBD-1845</t>
  </si>
  <si>
    <t>AIBD-1846</t>
  </si>
  <si>
    <t>AIBD-1847</t>
  </si>
  <si>
    <t>AIBD-1843</t>
  </si>
  <si>
    <t>AIBD-1875</t>
  </si>
  <si>
    <t>AIBD-1949</t>
  </si>
  <si>
    <t>AIBD-1890</t>
  </si>
  <si>
    <t>AIBD-1891</t>
  </si>
  <si>
    <t>AIBD-1941</t>
  </si>
  <si>
    <t>AIBD-1976</t>
  </si>
  <si>
    <t>AIBD-2264</t>
  </si>
  <si>
    <t>AIBD-1924</t>
  </si>
  <si>
    <t>AIBD-1926</t>
  </si>
  <si>
    <t>AIBD-1981</t>
  </si>
  <si>
    <t>AIBD-2002</t>
  </si>
  <si>
    <t>AIBD-2071</t>
  </si>
  <si>
    <t>AIBD-2092</t>
  </si>
  <si>
    <t>AIBD-2144</t>
  </si>
  <si>
    <t>AIBD-2245</t>
  </si>
  <si>
    <t>AIBD-2422</t>
  </si>
  <si>
    <t>HCG1709</t>
  </si>
  <si>
    <t>Súng Bắn Silicon Chống Nhỏ Giọt</t>
  </si>
  <si>
    <t>Silicone Gun</t>
  </si>
  <si>
    <t>2022-N11-1019-103922</t>
  </si>
  <si>
    <t>Đã đặt hàng bên JP</t>
  </si>
  <si>
    <t>AIBD-5488</t>
  </si>
  <si>
    <t>AIBD-5496</t>
  </si>
  <si>
    <t>Khí argon</t>
  </si>
  <si>
    <t>GRC-4212</t>
  </si>
  <si>
    <t>Carbide Bur CB1D002</t>
  </si>
  <si>
    <t>Mũi mài hợp kim CB1D002</t>
  </si>
  <si>
    <t>Carbide Bur CB2D004</t>
  </si>
  <si>
    <t>Mũi mài hợp kim CB2D004</t>
  </si>
  <si>
    <t>Carbide Bur CB3D007</t>
  </si>
  <si>
    <t>Mũi mài hợp kim CB3D007</t>
  </si>
  <si>
    <t>Carbide Bur CB5D009</t>
  </si>
  <si>
    <t>Mũi mài hợp kim CB5D009</t>
  </si>
  <si>
    <t>CB1D002</t>
  </si>
  <si>
    <t>CB2D004</t>
  </si>
  <si>
    <t>CB3D007</t>
  </si>
  <si>
    <t>CB5D009</t>
  </si>
  <si>
    <t>2022-N11-1024-144649</t>
  </si>
  <si>
    <t>AIBD-5524</t>
  </si>
  <si>
    <t>GRC-4238</t>
  </si>
  <si>
    <t xml:space="preserve">AIBD-5542 </t>
  </si>
  <si>
    <t>NCC hết hàng=&gt;ycbg riêng lè từng loại</t>
  </si>
  <si>
    <t>JIANGSU WUYANG</t>
  </si>
  <si>
    <t>GRC- 4292</t>
  </si>
  <si>
    <t>AIBD-5583</t>
  </si>
  <si>
    <t>Dao cắt</t>
  </si>
  <si>
    <t>MURAKI</t>
  </si>
  <si>
    <t>Billet feeder</t>
  </si>
  <si>
    <t>Máy nội soi công nghiệp</t>
  </si>
  <si>
    <t>BR250-5</t>
  </si>
  <si>
    <t>EXTECH</t>
  </si>
  <si>
    <t>Cáp dùng cho máy nội soi công nghiệp</t>
  </si>
  <si>
    <t>BR-9CAM-5M</t>
  </si>
  <si>
    <t>Video Borescope/Wireless Inspection Camera</t>
  </si>
  <si>
    <t>SMC3-F140-NAP</t>
  </si>
  <si>
    <t>PED22K924</t>
  </si>
  <si>
    <t>IC06-942</t>
  </si>
  <si>
    <t>IC06-936</t>
  </si>
  <si>
    <t>PED22K916
S21-4948</t>
  </si>
  <si>
    <t>2022-N11-1103-113613</t>
  </si>
  <si>
    <t>Trần Thị Hiền Yến</t>
  </si>
  <si>
    <t>Vũ Ngọc Phương Uyên</t>
  </si>
  <si>
    <t>A-1-01-029-010</t>
  </si>
  <si>
    <t>PF3W720S-04-AT-MR</t>
  </si>
  <si>
    <t>Máy lọc nước Organo</t>
  </si>
  <si>
    <t>Tài</t>
  </si>
  <si>
    <t>Bộ công tắc và đo dòng chảy của nước</t>
  </si>
  <si>
    <t>page 5</t>
  </si>
  <si>
    <t>page 470-471</t>
  </si>
  <si>
    <t>CDA2F40-100Z-A54Z-X742（特殊）</t>
  </si>
  <si>
    <t>VN-MFG22-025-ENG131
IC06-818</t>
  </si>
  <si>
    <t>VN-MFG22-029-ENG135
IC06-848</t>
  </si>
  <si>
    <t>12月1日</t>
  </si>
  <si>
    <t>12月20日</t>
  </si>
  <si>
    <t>1月04日</t>
  </si>
  <si>
    <t>01月30日</t>
  </si>
  <si>
    <t>2月13日</t>
  </si>
  <si>
    <t>Nguyễn Thị Phương Thùy</t>
  </si>
  <si>
    <t>AIBD-5662</t>
  </si>
  <si>
    <t>PED22K945</t>
  </si>
  <si>
    <t>2022-N11-1110-094844</t>
  </si>
  <si>
    <t>Dầu bôi trơn Eneos Super Hyrando</t>
  </si>
  <si>
    <t>SVE-401</t>
  </si>
  <si>
    <t>Lightweight cabinet SVE</t>
  </si>
  <si>
    <t>Tủ dụng cụ SVE</t>
  </si>
  <si>
    <t>2022-N11-1110-100855</t>
  </si>
  <si>
    <t>Spare room</t>
  </si>
  <si>
    <t>Aging rack</t>
  </si>
  <si>
    <t>Giá đỡ sản phẩm</t>
  </si>
  <si>
    <t>SMC3-EX-AR01</t>
  </si>
  <si>
    <t>Sắp xếp sản phẩm, sử dụng trong lò ủ.</t>
  </si>
  <si>
    <t>2022-N11-1110-105229</t>
  </si>
  <si>
    <t>Scrap rack</t>
  </si>
  <si>
    <t>JIG13609-03</t>
  </si>
  <si>
    <t>Giá đỡ bằng sắt 1190*948*624mm</t>
  </si>
  <si>
    <t>2022-N11-1111-085233</t>
  </si>
  <si>
    <t>cancel</t>
  </si>
  <si>
    <t>VN00031</t>
  </si>
  <si>
    <t>Extrusion line-シリンダチューブ内径の気泡発生の内視鏡検査</t>
  </si>
  <si>
    <t>Cable</t>
  </si>
  <si>
    <t>PED22K967</t>
  </si>
  <si>
    <t>AIBD-5702</t>
  </si>
  <si>
    <t>GRC-4384</t>
  </si>
  <si>
    <t>2022-N11-1116-111156</t>
  </si>
  <si>
    <t>Bơm chìm nước thải</t>
  </si>
  <si>
    <t>Steel core flexible plastic pipe</t>
  </si>
  <si>
    <t>Ống nhựa mềm dẻo</t>
  </si>
  <si>
    <t>Anti-shock circuit breaker RCBO</t>
  </si>
  <si>
    <t>Cầu dao chống giật RCBO</t>
  </si>
  <si>
    <t>Goat necktightens 20-35MM</t>
  </si>
  <si>
    <t>Cổ dê siết ống cánh bướm 20-35MM</t>
  </si>
  <si>
    <t>Goat necktightens 40-60MM</t>
  </si>
  <si>
    <t>Cổ dê siết ống cánh bướm 40-60MM</t>
  </si>
  <si>
    <t>Floating box containing MCB</t>
  </si>
  <si>
    <t>Hộp nổi chứa MCB</t>
  </si>
  <si>
    <t>SHM-1500F</t>
  </si>
  <si>
    <t>T50</t>
  </si>
  <si>
    <t>BBDE22031CNV</t>
  </si>
  <si>
    <t>GN-20-35MM</t>
  </si>
  <si>
    <t>GN-40-60MM</t>
  </si>
  <si>
    <t>FBC-MCB</t>
  </si>
  <si>
    <t>Water Pump Shm-1500F</t>
  </si>
  <si>
    <t>RJ45-20390</t>
  </si>
  <si>
    <t>Network Cord Connector</t>
  </si>
  <si>
    <t>Đầu nối dây mạng</t>
  </si>
  <si>
    <t>2022-N11-1116-092429</t>
  </si>
  <si>
    <t>PED22K975</t>
  </si>
  <si>
    <t>AIBD-5722</t>
  </si>
  <si>
    <t>Extrusion line 2
ALSYS: 1510L
PRESS 2: 17500L
Stock(16/11/2022): 1000L</t>
  </si>
  <si>
    <t>LMV120-35</t>
  </si>
  <si>
    <t>No.1 Press
(Phun dầu cho lưỡi cắt máy đùn)</t>
  </si>
  <si>
    <t>VN00030</t>
  </si>
  <si>
    <t>One-touch Fitting</t>
  </si>
  <si>
    <t>KQ2L12-03AS</t>
  </si>
  <si>
    <t>KQ2L10-03AS</t>
  </si>
  <si>
    <t>Metering Valve with silencer</t>
  </si>
  <si>
    <t>343-02255-01</t>
  </si>
  <si>
    <t>343-02255-02</t>
  </si>
  <si>
    <t>346-44940-11</t>
  </si>
  <si>
    <t>Grip faces for flat specimens</t>
  </si>
  <si>
    <t>Grip faces for rod/tube specimens (30 HRC)</t>
  </si>
  <si>
    <t>Grip faces for rod/tube specimens (40HRC)</t>
  </si>
  <si>
    <t>Má kẹp cho mẫu đo dạng phẳng</t>
  </si>
  <si>
    <t>Má kẹp cho mẫu đo dạng trụ tròn (30 HRC)</t>
  </si>
  <si>
    <t>Má kẹp cho mẫu đo dạng trụ tròn (40 HRC)</t>
  </si>
  <si>
    <t>Shimadzu</t>
  </si>
  <si>
    <t>Universal testing machine UH-500kN
(Máy kiểm tra ứng suất kéo/ nén)</t>
  </si>
  <si>
    <t xml:space="preserve"> 2022-N11-1117-105546</t>
  </si>
  <si>
    <t>IC06-996</t>
  </si>
  <si>
    <t>IC06-1002</t>
  </si>
  <si>
    <t>chờ chỉ thị</t>
  </si>
  <si>
    <t>IC06-975</t>
  </si>
  <si>
    <t>GRC-4418</t>
  </si>
  <si>
    <t>VN00032</t>
  </si>
  <si>
    <t>Q1-2,page 1697</t>
  </si>
  <si>
    <t>Q7,page 25</t>
  </si>
  <si>
    <t>Q7,page 774</t>
  </si>
  <si>
    <t>KPEV-SB1.25SP-1P</t>
  </si>
  <si>
    <t>KPEV1.25SP-1P</t>
  </si>
  <si>
    <t>Control cable</t>
  </si>
  <si>
    <t>Cáp điều khiển</t>
  </si>
  <si>
    <t>PRD-Manuf_Supplies</t>
  </si>
  <si>
    <t>2022-N11-1119-134252</t>
  </si>
  <si>
    <t xml:space="preserve">Kìm bấm mạng Xuyên thấu Dintek </t>
  </si>
  <si>
    <t>DINTEK Pass Through ezi-PLUG Crimp Tool</t>
  </si>
  <si>
    <t>Đầu RJ45 Cat5e/Cat.6 xuyên thấu</t>
  </si>
  <si>
    <t>RJ45 Connector Cat5e/Cat.6</t>
  </si>
  <si>
    <t xml:space="preserve"> 2022-N11-1119-141010</t>
  </si>
  <si>
    <t>EPNOC GREASE (Extreme-Pressure Greases)</t>
  </si>
  <si>
    <t>Mỡ máy công nghiệp EPNOC GREASE</t>
  </si>
  <si>
    <t>Bồn rửa khuôn</t>
  </si>
  <si>
    <t>SMC-09-22-007-V1</t>
  </si>
  <si>
    <t>AIBD-5792</t>
  </si>
  <si>
    <t>EPNOC-APN-2</t>
  </si>
  <si>
    <t>VN00033</t>
  </si>
  <si>
    <t>H300XD300MM</t>
  </si>
  <si>
    <t>Chair inox</t>
  </si>
  <si>
    <t>Ghế inox</t>
  </si>
  <si>
    <t>GRC-4465</t>
  </si>
  <si>
    <t>Thùng nhựa ibc 1000l (1m3 ) đã qua sử dụng</t>
  </si>
  <si>
    <t>IBC-1000L-USED</t>
  </si>
  <si>
    <t>Used ibc 1000l (1m3) plastic bins</t>
  </si>
  <si>
    <t>Trả enviroment</t>
  </si>
  <si>
    <t>2022-N11-1125-102733</t>
  </si>
  <si>
    <t>PED22K997
S21-4948</t>
  </si>
  <si>
    <t>AIBD-5852</t>
  </si>
  <si>
    <t>A-1-05-003-033</t>
  </si>
  <si>
    <t>SMC3-PA-008-1</t>
  </si>
  <si>
    <t>Gap filler splint</t>
  </si>
  <si>
    <t xml:space="preserve">Nẹp chêm </t>
  </si>
  <si>
    <t>SMC3-PA-011</t>
  </si>
  <si>
    <t>2022-N11-1130-104640</t>
  </si>
  <si>
    <t>CRIMP-TOOL</t>
  </si>
  <si>
    <t>AIBD-5874</t>
  </si>
  <si>
    <t>IC06-1054</t>
  </si>
  <si>
    <t>AIBD-5885</t>
  </si>
  <si>
    <t>2022-N11-1202-155135</t>
  </si>
  <si>
    <t>Cooling tower</t>
  </si>
  <si>
    <t>LRC-8B</t>
  </si>
  <si>
    <t>Water filter LRC-8B</t>
  </si>
  <si>
    <t>Lưới lọc ống nước ra LRC-8B</t>
  </si>
  <si>
    <t>LIANG CHI</t>
  </si>
  <si>
    <t>GRC-4559</t>
  </si>
  <si>
    <t>Gấp</t>
  </si>
  <si>
    <t>A33.1120</t>
  </si>
  <si>
    <t>PACKING &amp; BILLET CASTING</t>
  </si>
  <si>
    <t>MD</t>
  </si>
  <si>
    <t>G-27</t>
  </si>
  <si>
    <t>bot</t>
  </si>
  <si>
    <t>Mỡ bôi trơn G-27</t>
  </si>
  <si>
    <t>2022-N11-1205-162218</t>
  </si>
  <si>
    <t>GRC-4596</t>
  </si>
  <si>
    <t>AIBD-5938</t>
  </si>
  <si>
    <t>NAOH96</t>
  </si>
  <si>
    <t>Máy chà billet</t>
  </si>
  <si>
    <t>AIBD-5958</t>
  </si>
  <si>
    <t>Chờ chỉ thị Mr.Tuấn</t>
  </si>
  <si>
    <t>AIBD-5971</t>
  </si>
  <si>
    <t>AIBD-5972</t>
  </si>
  <si>
    <t>GRC-4655</t>
  </si>
  <si>
    <t>GRC-4656</t>
  </si>
  <si>
    <t>Long life internal grease</t>
  </si>
  <si>
    <t>AIBD-5981</t>
  </si>
  <si>
    <t>AIBD-6011</t>
  </si>
  <si>
    <t>Magnifying glass</t>
  </si>
  <si>
    <t>Kính lúp cầm tay</t>
  </si>
  <si>
    <t>K2290-18</t>
  </si>
  <si>
    <t>PU-N11-SSG-2022-0058</t>
  </si>
  <si>
    <t>Soi vết nứt mẫu ngâm</t>
  </si>
  <si>
    <t>PED22L86</t>
  </si>
  <si>
    <t>PED22L87</t>
  </si>
  <si>
    <t>AIBD-6017</t>
  </si>
  <si>
    <t>S21-4948
PED22B107</t>
  </si>
  <si>
    <t>S21-4948
PED22L98</t>
  </si>
  <si>
    <t>AIBD-6064</t>
  </si>
  <si>
    <t>Chair ladder inox</t>
  </si>
  <si>
    <t>Thang ghế Inox AMG-5IN</t>
  </si>
  <si>
    <t>AMG-5IN</t>
  </si>
  <si>
    <t>PU-N11-SSG-2022-0103</t>
  </si>
  <si>
    <t>Drill chuck</t>
  </si>
  <si>
    <t>13MG-6JT</t>
  </si>
  <si>
    <t>IC06-1174</t>
  </si>
  <si>
    <t>IC06-1175</t>
  </si>
  <si>
    <t>Đầu kẹp mũi khoan</t>
  </si>
  <si>
    <t>Mặt nạ hàn</t>
  </si>
  <si>
    <t>Găng tay hàn</t>
  </si>
  <si>
    <t>Stacking shelf</t>
  </si>
  <si>
    <t>Kệ xếp chồng</t>
  </si>
  <si>
    <t>2022-V56-1202-102840</t>
  </si>
  <si>
    <t>PED22L72</t>
  </si>
  <si>
    <t>IC06-1172</t>
  </si>
  <si>
    <t>W1400D1200H2900</t>
  </si>
  <si>
    <t>Welding Mask</t>
  </si>
  <si>
    <t>YUKIWA</t>
  </si>
  <si>
    <t>PU-N11-SSG-2022-0122</t>
  </si>
  <si>
    <t>GRC-4730</t>
  </si>
  <si>
    <t>Top cover of wooden crate 3M</t>
  </si>
  <si>
    <t>AIBD-6107</t>
  </si>
  <si>
    <t>Powder-free medical gloves</t>
  </si>
  <si>
    <t>Găng tay y tế không bột</t>
  </si>
  <si>
    <t>Etching</t>
  </si>
  <si>
    <t>AIBD-6111</t>
  </si>
  <si>
    <t>LVF336</t>
  </si>
  <si>
    <t>AIBD-6115</t>
  </si>
  <si>
    <t>GRC-4757</t>
  </si>
  <si>
    <t>AIBD-6133</t>
  </si>
  <si>
    <t xml:space="preserve"> AIBD-6140</t>
  </si>
  <si>
    <t>AMECA</t>
  </si>
  <si>
    <t>Mold pallet</t>
  </si>
  <si>
    <t>Kệ di chuyển khuôn</t>
  </si>
  <si>
    <t>AE-221222</t>
  </si>
  <si>
    <t>Mini lathe</t>
  </si>
  <si>
    <t xml:space="preserve">Máy tiện mini </t>
  </si>
  <si>
    <t>SS-JSMNCC220X750-001V2</t>
  </si>
  <si>
    <t>Production</t>
  </si>
  <si>
    <t>Kệ checklist đựng tờ rơi treo tường mica trong A6</t>
  </si>
  <si>
    <t>A6-11X15CM</t>
  </si>
  <si>
    <t>Checklist shelf for mica wall flyers in A6</t>
  </si>
  <si>
    <t>OJITEX</t>
  </si>
  <si>
    <t>IC06-1190</t>
  </si>
  <si>
    <t>RETRA VN</t>
  </si>
  <si>
    <t>Double-sided tape</t>
  </si>
  <si>
    <t>Băng keo 2 mặt dán sắt</t>
  </si>
  <si>
    <t>TAPE-3CMX3M</t>
  </si>
  <si>
    <t>PU-N11-SSG-2022-0328</t>
  </si>
  <si>
    <t>LVF341</t>
  </si>
  <si>
    <t>Glass beads</t>
  </si>
  <si>
    <t>Hạt thủy tinh</t>
  </si>
  <si>
    <t>FGB-120</t>
  </si>
  <si>
    <t>PU-N11-SSG-2022-0219</t>
  </si>
  <si>
    <t>GRC-4879</t>
  </si>
  <si>
    <t>AIBD-6240</t>
  </si>
  <si>
    <t>LVF339</t>
  </si>
  <si>
    <t>Dây kẽm buộc 1 ly</t>
  </si>
  <si>
    <t>Galvanized Wire</t>
  </si>
  <si>
    <t>Lưới thép bọc nhựa</t>
  </si>
  <si>
    <t>TYK-T5</t>
  </si>
  <si>
    <t>Kính mặt nạ hàn</t>
  </si>
  <si>
    <t>MR-460M-C</t>
  </si>
  <si>
    <t>Green plate</t>
  </si>
  <si>
    <t>Gloves for Welding</t>
  </si>
  <si>
    <t>MR-460</t>
  </si>
  <si>
    <t>PU-N11-SSG-2301-0204</t>
  </si>
  <si>
    <t>Coated wire mesh</t>
  </si>
  <si>
    <t>DK-50KG</t>
  </si>
  <si>
    <t>5MMX1000M</t>
  </si>
  <si>
    <t>PU-N11-SSG-2022-0208</t>
  </si>
  <si>
    <t>AIBD-6245</t>
  </si>
  <si>
    <t>N00301-F</t>
  </si>
  <si>
    <t>UVF030</t>
  </si>
  <si>
    <t>GRC-4909</t>
  </si>
  <si>
    <t>Cylinder</t>
  </si>
  <si>
    <t>PED23A12</t>
  </si>
  <si>
    <t>IC06-1276</t>
  </si>
  <si>
    <t>PED23A13</t>
  </si>
  <si>
    <t>IC06-1277</t>
  </si>
  <si>
    <t>S-350x35x3MM</t>
  </si>
  <si>
    <t>L-500x35x3MM</t>
  </si>
  <si>
    <t>GRC-4966</t>
  </si>
  <si>
    <t>LVF345</t>
  </si>
  <si>
    <t>ADM:FIXTURES</t>
  </si>
  <si>
    <t>Nắp trên 2M7</t>
  </si>
  <si>
    <t>Top cover of wooden crate 2M7</t>
  </si>
  <si>
    <t>PU-N11-SSG-2301-0331</t>
  </si>
  <si>
    <t>CG1FN63-250Z-A93Z</t>
  </si>
  <si>
    <t>CG1FN63-500Z-A93Z</t>
  </si>
  <si>
    <t>Punch</t>
  </si>
  <si>
    <t>Lưỡi nẹp đai thép</t>
  </si>
  <si>
    <t>Lưỡi cắt đai thép</t>
  </si>
  <si>
    <t>A33.2160</t>
  </si>
  <si>
    <t>Shear blade</t>
  </si>
  <si>
    <t>FROMM</t>
  </si>
  <si>
    <t>PU-N11-SSG-2301-0343</t>
  </si>
  <si>
    <t>DNCK12</t>
  </si>
  <si>
    <t>DNCK34</t>
  </si>
  <si>
    <t>DNCK100</t>
  </si>
  <si>
    <t>DNCK114</t>
  </si>
  <si>
    <t>DNCK112</t>
  </si>
  <si>
    <t>DNCK200</t>
  </si>
  <si>
    <t>DNCK300</t>
  </si>
  <si>
    <t>MCK12</t>
  </si>
  <si>
    <t>MCK34</t>
  </si>
  <si>
    <t>MCK100</t>
  </si>
  <si>
    <t>MCK114</t>
  </si>
  <si>
    <t>MCK112</t>
  </si>
  <si>
    <t>MCK200</t>
  </si>
  <si>
    <t>OMB12CVL</t>
  </si>
  <si>
    <t>OMB34CVL</t>
  </si>
  <si>
    <t>OMB100CVL</t>
  </si>
  <si>
    <t>OMB114CVL</t>
  </si>
  <si>
    <t>OMB112CVL</t>
  </si>
  <si>
    <t>OMB200CVL</t>
  </si>
  <si>
    <t>OMB300CVL</t>
  </si>
  <si>
    <t>AMF12</t>
  </si>
  <si>
    <t>AMF34</t>
  </si>
  <si>
    <t>AMF100</t>
  </si>
  <si>
    <t>AMF114</t>
  </si>
  <si>
    <t>AMF112</t>
  </si>
  <si>
    <t>AMF200</t>
  </si>
  <si>
    <t>AMF300</t>
  </si>
  <si>
    <t>1.25Y-3</t>
  </si>
  <si>
    <t>1.25Y-4M</t>
  </si>
  <si>
    <t>R2-4</t>
  </si>
  <si>
    <t>R3.5-5L</t>
  </si>
  <si>
    <t>R5.5-5</t>
  </si>
  <si>
    <t>R8-6</t>
  </si>
  <si>
    <t>R14-8</t>
  </si>
  <si>
    <t>R22-10</t>
  </si>
  <si>
    <t>Steel conduit Fitting</t>
  </si>
  <si>
    <t>Đầu nối mềm 1' kín nước</t>
  </si>
  <si>
    <t>Đầu nối mềm 3/4" kín nước
(Chất liệu INOX 304)</t>
  </si>
  <si>
    <t>Đầu nối mềm 1' kín nước
(Chất liệu INOX 304)</t>
  </si>
  <si>
    <t>Đầu nối mềm 1-1/4" kín nước
(Chất liệu INOX 304)</t>
  </si>
  <si>
    <t>Đầu nối mềm 1-1/2" kín nước
(Chất liệu INOX 304)</t>
  </si>
  <si>
    <t>Đầu nối mềm 2" kín nước
(Chất liệu INOX 304)</t>
  </si>
  <si>
    <t>Connector for Flex Pipe and Box D76.2mm</t>
  </si>
  <si>
    <t>Đầu nối ống ruột gà với hộp điện/thiết bị</t>
  </si>
  <si>
    <t xml:space="preserve">Conector for Flex Pipe with Pipe </t>
  </si>
  <si>
    <t>Khớp nối ống mềm</t>
  </si>
  <si>
    <t>Flexible conduit</t>
  </si>
  <si>
    <t>Ống mềm bọc PVC 1/2" (CVL)</t>
  </si>
  <si>
    <t>Ống mềm bọc PVC 3/4" (CVL)</t>
  </si>
  <si>
    <t>Ống mềm bọc PVC 1" (CVL) (chất liệu  thép mạ kẽm + vỏ bọc PVC)</t>
  </si>
  <si>
    <t>Ống mềm bọc PVC 1"-1/4" (CVL) (chất liệu  thép mạ kẽm + vỏ bọc PVC)</t>
  </si>
  <si>
    <t>Ống mềm bọc PVC 1-1/2" (CVL) (chất liệu  thép mạ kẽm + vỏ bọc PVC)</t>
  </si>
  <si>
    <t>Ống mềm bọc PVC 2" (CVL) (chất liệu  thép mạ kẽm + vỏ bọc PVC)</t>
  </si>
  <si>
    <t>Flexible conduit D=76.2mm (Inside)</t>
  </si>
  <si>
    <t>Ống ruột gà lõi thép luồn dây điện bọc nhựa PVC</t>
  </si>
  <si>
    <t>Metal Ferrule For Flexible Conduit D=16mm (Inside)</t>
  </si>
  <si>
    <t>Đầu bịt ống ruột gà lõi thép</t>
  </si>
  <si>
    <t>Metal Ferrule For Flexible Conduit D=21.1mm (Inside)</t>
  </si>
  <si>
    <t>Metal Ferrule For Flexible Conduit D=26.8mm (Inside)</t>
  </si>
  <si>
    <t>Metal Ferrule For Flexible Conduit D=35.4mm (Inside)</t>
  </si>
  <si>
    <t>Metal Ferrule For Flexible Conduit D=40.3mm (Inside)</t>
  </si>
  <si>
    <t>Metal Ferrule For Flexible Conduit D=51.6mm (Inside)</t>
  </si>
  <si>
    <t>Metal Ferrule For Flexible Conduit D=76.2mm (Inside)</t>
  </si>
  <si>
    <t>Nichifu Terminal 1.25Y-3</t>
  </si>
  <si>
    <t>Đầu cos</t>
  </si>
  <si>
    <t>Nichifu Terminal 1.25Y-4M</t>
  </si>
  <si>
    <t>Uninsulated Crimping Terminal (2xΦ3.5)</t>
  </si>
  <si>
    <t>Đầu cod vòng</t>
  </si>
  <si>
    <t>Terminal</t>
  </si>
  <si>
    <t>Đầu cos nối dây điện</t>
  </si>
  <si>
    <t>Solderless Terminal</t>
  </si>
  <si>
    <t>Nichifu Terminal R3.5-5L</t>
  </si>
  <si>
    <t>Crimping Terminal</t>
  </si>
  <si>
    <t>Nichifu Terminal R14-8</t>
  </si>
  <si>
    <t>Đầu cos (Nichifu) 100pccs/box</t>
  </si>
  <si>
    <t>CÁT VẠN LỢI</t>
  </si>
  <si>
    <t>NICHIFU</t>
  </si>
  <si>
    <t>AIBD-6355</t>
  </si>
  <si>
    <t>AIBD-6356</t>
  </si>
  <si>
    <t>MU-16</t>
  </si>
  <si>
    <t>Chemical Anchor MU16</t>
  </si>
  <si>
    <t>Bulong hóa chất MU16</t>
  </si>
  <si>
    <t>Lubrication Quantitation Valve</t>
  </si>
  <si>
    <t>Van định lượng dầu thủy lực</t>
  </si>
  <si>
    <t>PU-N11-SSG-2301-0363</t>
  </si>
  <si>
    <t>LVF343</t>
  </si>
  <si>
    <t>Bộ bơm dầu bôi trơn dùng cho lưỡi cắt phế phẩm máy đùn</t>
  </si>
  <si>
    <t>SMC3-PA-008-2</t>
  </si>
  <si>
    <t>AIBD-6369</t>
  </si>
  <si>
    <t>GRC-5042</t>
  </si>
  <si>
    <t>VN00034</t>
  </si>
  <si>
    <t>L1S2010HE</t>
  </si>
  <si>
    <t>Straight Section L1S2010HE</t>
  </si>
  <si>
    <t>PU-N11-SSG-2301-0415</t>
  </si>
  <si>
    <t>HẢI NAM</t>
  </si>
  <si>
    <t>DUMMY BLOCK ASSEMBLY</t>
  </si>
  <si>
    <t>UBE-RRBM364.90-E3</t>
  </si>
  <si>
    <t>UBE-RRBM310.90-E3</t>
  </si>
  <si>
    <t>CASTOOL</t>
  </si>
  <si>
    <t>PU-N11-SSG-2302-0439</t>
  </si>
  <si>
    <t>PED23A34</t>
  </si>
  <si>
    <t>IC06-1314</t>
  </si>
  <si>
    <t>GRC-5093</t>
  </si>
  <si>
    <t>Bàn thao tác gắn máy hút bụi</t>
  </si>
  <si>
    <t>Grinding Extraction table</t>
  </si>
  <si>
    <t xml:space="preserve"> PU-N11-SSG-2302-0493</t>
  </si>
  <si>
    <t>AIBD-6473</t>
  </si>
  <si>
    <t>GRC-5106</t>
  </si>
  <si>
    <t>ko mua do giá cao</t>
  </si>
  <si>
    <t>AIBD-6485</t>
  </si>
  <si>
    <t>AIBD-6486</t>
  </si>
  <si>
    <t>chuyển qua phòng dao mua</t>
  </si>
  <si>
    <t>Nguyễn Hoàng Quỳnh Anh</t>
  </si>
  <si>
    <t>LVF349</t>
  </si>
  <si>
    <t>GRC-5115</t>
  </si>
  <si>
    <t>AIBD-6513</t>
  </si>
  <si>
    <t>PED23A69</t>
  </si>
  <si>
    <t>AIBD-6549</t>
  </si>
  <si>
    <t>AS2201F-01-10SA</t>
  </si>
  <si>
    <t>Speed Controller</t>
  </si>
  <si>
    <t>AIBD-6563</t>
  </si>
  <si>
    <t>AIBD-6574</t>
  </si>
  <si>
    <t>GRC-5165</t>
  </si>
  <si>
    <t>BNW815</t>
  </si>
  <si>
    <t>U75X280</t>
  </si>
  <si>
    <t>U75X480</t>
  </si>
  <si>
    <t>U75X680</t>
  </si>
  <si>
    <t>Seperator</t>
  </si>
  <si>
    <t>Thanh Thẳng</t>
  </si>
  <si>
    <t>Straight Section CT1S2010HE</t>
  </si>
  <si>
    <t>Straight Section CT1S4010HE</t>
  </si>
  <si>
    <t>U Channel</t>
  </si>
  <si>
    <t>Thanh đỡ chữ U</t>
  </si>
  <si>
    <t>PU-N11-SSG-2302-0659
10/2/2023</t>
  </si>
  <si>
    <t>MU-20-A</t>
  </si>
  <si>
    <t>FURUPLA</t>
  </si>
  <si>
    <t>ko có ncc</t>
  </si>
  <si>
    <t>IC06-1365</t>
  </si>
  <si>
    <t>Ê Tô Chữ F Cho Máy Khoan</t>
  </si>
  <si>
    <t>FV-150</t>
  </si>
  <si>
    <t>Kẹp Chữ C</t>
  </si>
  <si>
    <t>TBC-150</t>
  </si>
  <si>
    <t>M.Hoàng</t>
  </si>
  <si>
    <t>PU-N11-SSG-2302-0702
14/02/2023</t>
  </si>
  <si>
    <t>Máy khoan</t>
  </si>
  <si>
    <t>AIBD-6626</t>
  </si>
  <si>
    <t>GRC-5232</t>
  </si>
  <si>
    <t>AIBD-6671</t>
  </si>
  <si>
    <t>GRC-9172</t>
  </si>
  <si>
    <t>GRC-5244</t>
  </si>
  <si>
    <t xml:space="preserve"> AIBD-6691</t>
  </si>
  <si>
    <t>SMC-02-23-001</t>
  </si>
  <si>
    <t>Non Stock</t>
  </si>
  <si>
    <t>C-850-M8</t>
  </si>
  <si>
    <t>Anchor bolts</t>
  </si>
  <si>
    <t>Tắc kê nở</t>
  </si>
  <si>
    <t>PU-N11-SSG-2302-0789
17/02/2023</t>
  </si>
  <si>
    <t>SMC3-50A-2500MM</t>
  </si>
  <si>
    <t>PU-N11-SSG-2302-0817
18/02/2023</t>
  </si>
  <si>
    <t xml:space="preserve">Anti-rust paper 97 gsm
</t>
  </si>
  <si>
    <t>Giấy chống gỉ loại 97 gsm</t>
  </si>
  <si>
    <t>VCI-1X100-97GSM</t>
  </si>
  <si>
    <t>PU-N11-SSG-2302-0834
20/02/2023</t>
  </si>
  <si>
    <t>Packing</t>
  </si>
  <si>
    <t>Telescoping mirror</t>
  </si>
  <si>
    <t>PU-N11-SSG-2302-0831
20/02/2023</t>
  </si>
  <si>
    <t>No.1 extrusion line
Nhìn sản phẩm đùn ra trước máy đùn</t>
  </si>
  <si>
    <t>Shock Absorber</t>
  </si>
  <si>
    <t>RBC0806S</t>
  </si>
  <si>
    <t>RBC1006S</t>
  </si>
  <si>
    <t>Giảm chấn</t>
  </si>
  <si>
    <t>Coil Springs</t>
  </si>
  <si>
    <t>SWF30-25</t>
  </si>
  <si>
    <t>PU-N11-SSG-2302-0848
20/02</t>
  </si>
  <si>
    <t>Stretcher machine
Máy kéo thẳng</t>
  </si>
  <si>
    <t>MU-10</t>
  </si>
  <si>
    <t>MU-12</t>
  </si>
  <si>
    <t xml:space="preserve"> PU-N11-SSG-2302-0904
22/2/2023</t>
  </si>
  <si>
    <t>Chemical Anchor MU10</t>
  </si>
  <si>
    <t>Bulong hóa chất MU10</t>
  </si>
  <si>
    <t>Chemical Anchor MU12</t>
  </si>
  <si>
    <t>Bulong hóa chất MU12</t>
  </si>
  <si>
    <t>100HCK10</t>
  </si>
  <si>
    <t>Hexagon Head</t>
  </si>
  <si>
    <t>N140GCK</t>
  </si>
  <si>
    <t>GRC-5324</t>
  </si>
  <si>
    <t>Đầu lục giác</t>
  </si>
  <si>
    <t>Pham Thi Thao Linh</t>
  </si>
  <si>
    <t>GRC-5334</t>
  </si>
  <si>
    <t>R2-5-1</t>
  </si>
  <si>
    <t>PU-N11-SSG-2301-0356
13/1</t>
  </si>
  <si>
    <t>R38-12-1</t>
  </si>
  <si>
    <t>R2-3.5-1</t>
  </si>
  <si>
    <t>Terminal R8-6</t>
  </si>
  <si>
    <t>Terminal R22-10</t>
  </si>
  <si>
    <t>F type vise for Drilling Machine</t>
  </si>
  <si>
    <t>C-Clamp</t>
  </si>
  <si>
    <t>ABH-100X65MM</t>
  </si>
  <si>
    <t>Bản lề lò xo ABH</t>
  </si>
  <si>
    <t>Spring Hinges ABH</t>
  </si>
  <si>
    <t>PU-N11-SSG-2302-0941
23/2/2023</t>
  </si>
  <si>
    <t>PU-N11-SSG-2302-0949
23/02/2023</t>
  </si>
  <si>
    <t>PED23B131</t>
  </si>
  <si>
    <t>VN00036</t>
  </si>
  <si>
    <t>VN00037</t>
  </si>
  <si>
    <t>PED23B141</t>
  </si>
  <si>
    <t>GRC-5384</t>
  </si>
  <si>
    <t>W1664TVW</t>
  </si>
  <si>
    <t>Máy nước nóng lạnh</t>
  </si>
  <si>
    <t>NGA</t>
  </si>
  <si>
    <t>GRC-5405</t>
  </si>
  <si>
    <t>IC06-1454</t>
  </si>
  <si>
    <t>FUJIMOTO</t>
  </si>
  <si>
    <t>Hot-cold water dispenser</t>
  </si>
  <si>
    <t>TOSHIBA</t>
  </si>
  <si>
    <t>UNI PAINT</t>
  </si>
  <si>
    <t>NHANH NHANH</t>
  </si>
  <si>
    <t>Ms.Q.Anh</t>
  </si>
  <si>
    <t>Bút sơn lớn Uni paint PX20 xanh lá</t>
  </si>
  <si>
    <t>Paint Pen  PX20 (Green)</t>
  </si>
  <si>
    <t>LM-TU442L</t>
  </si>
  <si>
    <t>Ống lồng đầu cốt dây 2mm2</t>
  </si>
  <si>
    <t>Ống lồng đầu cốt dây 3.5mm2</t>
  </si>
  <si>
    <t>Tube cos</t>
  </si>
  <si>
    <t>PU-N11-SSG-2302-1007
28/2</t>
  </si>
  <si>
    <t>VHS40-06B-BS</t>
  </si>
  <si>
    <t>AC40-06DG-V-B</t>
  </si>
  <si>
    <t>Pressure Relief Valve</t>
  </si>
  <si>
    <t>Air combination</t>
  </si>
  <si>
    <t>Bộ kết hợp</t>
  </si>
  <si>
    <t>CV-S2SQ-3C</t>
  </si>
  <si>
    <t>CV-S3.5SQ-3C</t>
  </si>
  <si>
    <t>Electric Wire</t>
  </si>
  <si>
    <t>Dây điện</t>
  </si>
  <si>
    <t>IC06-1457</t>
  </si>
  <si>
    <t>PED23B153</t>
  </si>
  <si>
    <t>PED23B158</t>
  </si>
  <si>
    <t>①	ダイス炉
台数：2台（4室/台）
設備仕様：VN1号機と同じ
（炉内有効寸法：650L×460W×460H）
追加仕様　　：N2ガス追加</t>
  </si>
  <si>
    <t>②時効炉：1台
設備仕様：VN2号機と同じ
納期：（設備立会）24年8月、
（据付開始）24年10月</t>
  </si>
  <si>
    <t>TOMITA</t>
  </si>
  <si>
    <t>YVF360</t>
  </si>
  <si>
    <t>GRC-5448</t>
  </si>
  <si>
    <t>CYLINDER ASSY</t>
  </si>
  <si>
    <t xml:space="preserve">Xy lanh khí </t>
  </si>
  <si>
    <t>PU-N11-SSG-2303-1146
2/3/2023</t>
  </si>
  <si>
    <t>IC06-1469</t>
  </si>
  <si>
    <t>IC06-1470</t>
  </si>
  <si>
    <t>GRC-5456</t>
  </si>
  <si>
    <t>GRC-5458</t>
  </si>
  <si>
    <t>CVVS-2SQ-10C</t>
  </si>
  <si>
    <t>TAYA</t>
  </si>
  <si>
    <t>KANON</t>
  </si>
  <si>
    <t>S21-4948
PED23C171</t>
  </si>
  <si>
    <t>SMC-02-23-002-V1</t>
  </si>
  <si>
    <t>A-81860</t>
  </si>
  <si>
    <t>Lưỡi cắt sắt A-81860</t>
  </si>
  <si>
    <t>T.L.N.Tiến</t>
  </si>
  <si>
    <t>Saw Blade A-81860</t>
  </si>
  <si>
    <t>Chemical Resistant Gloves</t>
  </si>
  <si>
    <t>Găng tay chống hóa chất</t>
  </si>
  <si>
    <t>L.G.Hòa</t>
  </si>
  <si>
    <t>PU-N11-SSG-2303-1186
3/3/2023</t>
  </si>
  <si>
    <t>PU-N11-SSG-2303-1222
4/3/2023</t>
  </si>
  <si>
    <t xml:space="preserve"> PU-N11-SSG-2303-1223
4/3/2023</t>
  </si>
  <si>
    <t>JA8917-C596</t>
  </si>
  <si>
    <t>Service fee for supply and installation of pipeline</t>
  </si>
  <si>
    <t>Phi dịch vụ cung cấp và lắp đặt cụm đường ống</t>
  </si>
  <si>
    <t>AN VAN PHUC</t>
  </si>
  <si>
    <t>1</t>
  </si>
  <si>
    <t>PU-N11-SSG-2302-0758
16/2/2023</t>
  </si>
  <si>
    <t>Extrusion line 2-Mold washing tank</t>
  </si>
  <si>
    <t xml:space="preserve"> PU-N11-SSG-2303-1225
4/3/2023</t>
  </si>
  <si>
    <t>JA8917-C595</t>
  </si>
  <si>
    <t>Ống nối bể làm mát 1</t>
  </si>
  <si>
    <t>水冷装置 2</t>
  </si>
  <si>
    <t xml:space="preserve">Extrusion line </t>
  </si>
  <si>
    <t>Corrosion &amp; scale dispersant inhibitor chemical</t>
  </si>
  <si>
    <t>Non-Oxidizing biocide</t>
  </si>
  <si>
    <t>Oxidizing biocide</t>
  </si>
  <si>
    <t>Bio-dispersant</t>
  </si>
  <si>
    <t>Hóa chất chống ăn mòn và cáu cặn</t>
  </si>
  <si>
    <t>Hóa chất diệt rong rêu, vi sinh không oxy hóa</t>
  </si>
  <si>
    <t>Hóa chất diệt rong rêu, vi sinh oxy hóa</t>
  </si>
  <si>
    <t>Hóa chất diệt khuẩn</t>
  </si>
  <si>
    <t>ORGATROL-3201</t>
  </si>
  <si>
    <t>ORGATROL-2200</t>
  </si>
  <si>
    <t>ORGATROL-1107</t>
  </si>
  <si>
    <t>ORGATROL-BIOCIDE</t>
  </si>
  <si>
    <t>ORGATECH</t>
  </si>
  <si>
    <t>viên</t>
  </si>
  <si>
    <t>25kg/can</t>
  </si>
  <si>
    <t>150 viên/thùng</t>
  </si>
  <si>
    <t>GRC-5478</t>
  </si>
  <si>
    <t>AIBD-6917</t>
  </si>
  <si>
    <t>Lò xo bằng thép dùng trong công nghiệp</t>
  </si>
  <si>
    <t>AIBD-6933</t>
  </si>
  <si>
    <t>GRC-5494</t>
  </si>
  <si>
    <t>AIBD-6948</t>
  </si>
  <si>
    <t>Dây cáp điện</t>
  </si>
  <si>
    <t>CV-S38SQ-4C</t>
  </si>
  <si>
    <t>AIBD-6965</t>
  </si>
  <si>
    <t>AIBD-6966</t>
  </si>
  <si>
    <t>AAEH0810</t>
  </si>
  <si>
    <t>AAEH1012</t>
  </si>
  <si>
    <t>AAAH2932</t>
  </si>
  <si>
    <t>AAEH3436</t>
  </si>
  <si>
    <t>12856COT-32</t>
  </si>
  <si>
    <t>Cờ lê 2 đầu vòng 45 độ 8x10mm</t>
  </si>
  <si>
    <t>Cờ lê 2 đầu vòng 45 độ 10x12mm</t>
  </si>
  <si>
    <t>Cờ lê 2 đầu vòng  29x32mm</t>
  </si>
  <si>
    <t>Cờ lê 2 đầu vòng 45 độ 34x36mm</t>
  </si>
  <si>
    <t xml:space="preserve">Dao cắt ống đồng (3-32mm) </t>
  </si>
  <si>
    <t>Wrench with 2 round heads 8x10mm</t>
  </si>
  <si>
    <t>Wrench with 2 round heads 10x12mm</t>
  </si>
  <si>
    <t>Wrench with 2 round heads 29x32mm</t>
  </si>
  <si>
    <t>Wrench with 2 round heads 34x36mm</t>
  </si>
  <si>
    <t>Pipe cutting tool (3-32mm)</t>
  </si>
  <si>
    <t>Toptul</t>
  </si>
  <si>
    <t xml:space="preserve">Truper </t>
  </si>
  <si>
    <t>PU-N11-SSG-2303-1286
9/3/2023</t>
  </si>
  <si>
    <t>IC-1483</t>
  </si>
  <si>
    <t>S21-4948
PED23C178</t>
  </si>
  <si>
    <t>VN00038</t>
  </si>
  <si>
    <t>Cart for steel straps</t>
  </si>
  <si>
    <t>Xe chứa đai thép</t>
  </si>
  <si>
    <t>700X330X445MM</t>
  </si>
  <si>
    <t>PU-N11-SSG-2303-1313
10/3/2023</t>
  </si>
  <si>
    <t>S21-4948
PED23C192</t>
  </si>
  <si>
    <t>JA8378-SP2</t>
  </si>
  <si>
    <t>Spacer</t>
  </si>
  <si>
    <t>Thanh đệm</t>
  </si>
  <si>
    <t>N.Xuân Tuấn</t>
  </si>
  <si>
    <t>2nd extrusion line</t>
  </si>
  <si>
    <t>Nguyễn Hải Quỳnh</t>
  </si>
  <si>
    <t>Lắp đặt máy đùn 2</t>
  </si>
  <si>
    <t>AIBD-7024</t>
  </si>
  <si>
    <t>GRC-5569</t>
  </si>
  <si>
    <t>IC06-1517</t>
  </si>
  <si>
    <t>AIBD-7032</t>
  </si>
  <si>
    <t>A-1-05-004-035
A-1-05-004-036</t>
  </si>
  <si>
    <t>PED23C202</t>
  </si>
  <si>
    <t>AIBD-7049</t>
  </si>
  <si>
    <t>Sample cooling water tank</t>
  </si>
  <si>
    <t>Bể nước làm mát mẫu</t>
  </si>
  <si>
    <t>PED23C204</t>
  </si>
  <si>
    <t>Gương soi có đèn led</t>
  </si>
  <si>
    <t>YT-0663</t>
  </si>
  <si>
    <t>YATO</t>
  </si>
  <si>
    <t>VANBI-27-DN20</t>
  </si>
  <si>
    <t>PNK-VAN-0922</t>
  </si>
  <si>
    <t>Stainless Steel Ball Valve DN20</t>
  </si>
  <si>
    <t>Van bi inox phi 27 (DN20)</t>
  </si>
  <si>
    <t>Stainless Steel Nipple</t>
  </si>
  <si>
    <t>Kép côn inox304 phi ren 27mm</t>
  </si>
  <si>
    <t xml:space="preserve"> PU-N11-SSG-2303-1431
16/3/2023</t>
  </si>
  <si>
    <t>4725=&gt;4750</t>
  </si>
  <si>
    <t>AIBD-7079</t>
  </si>
  <si>
    <t>L1S2010LE</t>
  </si>
  <si>
    <t>L1S4010ME</t>
  </si>
  <si>
    <t>L1T20202010LE</t>
  </si>
  <si>
    <t>L1E202010LE</t>
  </si>
  <si>
    <t>L1S6010ME</t>
  </si>
  <si>
    <t>L1E404010ME-900-400</t>
  </si>
  <si>
    <t>Straight Section</t>
  </si>
  <si>
    <t xml:space="preserve">Horizontal Tee </t>
  </si>
  <si>
    <t xml:space="preserve">Horizontal Elbow </t>
  </si>
  <si>
    <t>Splice</t>
  </si>
  <si>
    <t>Bolt,nut, washer</t>
  </si>
  <si>
    <t>Ốc liên kết kệ thang</t>
  </si>
  <si>
    <t>Mối nối thang</t>
  </si>
  <si>
    <t>Co ngang</t>
  </si>
  <si>
    <t xml:space="preserve">T Ngang </t>
  </si>
  <si>
    <t>L1T40204010ME</t>
  </si>
  <si>
    <t>L1E404010ME-800</t>
  </si>
  <si>
    <t>L1T20402010ME</t>
  </si>
  <si>
    <t>L1E606010ME</t>
  </si>
  <si>
    <t>L-ST10E</t>
  </si>
  <si>
    <t>Service of supplying and installing pipe for NAOH pump</t>
  </si>
  <si>
    <t>Dịch vụ cung cấp và lắp đặt đường ống cho máy bơm xút thải</t>
  </si>
  <si>
    <t>Scrap box</t>
  </si>
  <si>
    <t>AE-1040X500X600MM</t>
  </si>
  <si>
    <t>Thùng chứa phế liệu</t>
  </si>
  <si>
    <t>Extrusion line 1</t>
  </si>
  <si>
    <t>PU-N11-SSG-2303-1485
18/03/2023</t>
  </si>
  <si>
    <t>PU-N11-SSG-2303-1426
15/3/2023</t>
  </si>
  <si>
    <t>PU-N11-SSG-2303-1431
16/3/2023</t>
  </si>
  <si>
    <t>IC06-1549</t>
  </si>
  <si>
    <t>AIBD-7101</t>
  </si>
  <si>
    <t>Mold Furnace</t>
  </si>
  <si>
    <t>Lò xử lý già hóa</t>
  </si>
  <si>
    <t>MOLD-FURNACE-SMC3</t>
  </si>
  <si>
    <t>AGING-FURNACE-SMC3</t>
  </si>
  <si>
    <t>Kẹp nâng thanh tròn</t>
  </si>
  <si>
    <t>PU-N11-SSG-2303-1547
20/03/2023</t>
  </si>
  <si>
    <t>GRC-5659</t>
  </si>
  <si>
    <t>Double knuckle joint</t>
  </si>
  <si>
    <t>Y-04M</t>
  </si>
  <si>
    <t>Lắp xilanh trên tank rửa khuôn</t>
  </si>
  <si>
    <t>PED23C228</t>
  </si>
  <si>
    <t>GRC-5667</t>
  </si>
  <si>
    <t xml:space="preserve"> AIBD-7124</t>
  </si>
  <si>
    <t>AIBD-7125</t>
  </si>
  <si>
    <t>ACHISON</t>
  </si>
  <si>
    <t>ALPHATEC87-118</t>
  </si>
  <si>
    <t xml:space="preserve"> AIBD-7188</t>
  </si>
  <si>
    <t>GRC-5729</t>
  </si>
  <si>
    <t>AIBD-7189</t>
  </si>
  <si>
    <t>GRC-5730</t>
  </si>
  <si>
    <t>giao hàng sau</t>
  </si>
  <si>
    <t>AIBD-7213</t>
  </si>
  <si>
    <t xml:space="preserve"> 6/4/2023</t>
  </si>
  <si>
    <t>HLC</t>
  </si>
  <si>
    <t>IC06-1565</t>
  </si>
  <si>
    <t>IC06-1535</t>
  </si>
  <si>
    <t>S21-4948
PED23C179
=&gt;PED23C246</t>
  </si>
  <si>
    <t>04/03/2023=&gt;27/03/2023</t>
  </si>
  <si>
    <t>PED23C247</t>
  </si>
  <si>
    <t>Kẹp Thang Cáp</t>
  </si>
  <si>
    <t>HDC10HE</t>
  </si>
  <si>
    <t>S10ME</t>
  </si>
  <si>
    <t>Thanh ngăn</t>
  </si>
  <si>
    <t>Khay cáp - Thanh Thẳng</t>
  </si>
  <si>
    <t>CT1S20HE</t>
  </si>
  <si>
    <t>CT1S40HE-2M</t>
  </si>
  <si>
    <t>CT1S40HE-1M</t>
  </si>
  <si>
    <t>VN00040</t>
  </si>
  <si>
    <t>AIBD-7121</t>
  </si>
  <si>
    <t>4698
=&gt;4843</t>
  </si>
  <si>
    <t>IC06-1587</t>
  </si>
  <si>
    <t>JIG13609-01</t>
  </si>
  <si>
    <t>Number Plate for Aging rack</t>
  </si>
  <si>
    <t>Bảng số của giá đỡ</t>
  </si>
  <si>
    <t>SMC3-EX-AR09</t>
  </si>
  <si>
    <t>Lò ủ</t>
  </si>
  <si>
    <t>JX NIPPON</t>
  </si>
  <si>
    <t>Dầu thủy lực Eneos Super Hyrando</t>
  </si>
  <si>
    <t>GRC-5801</t>
  </si>
  <si>
    <t>14231=&gt;hủy</t>
  </si>
  <si>
    <t>SMC3-EX-AR01-V2</t>
  </si>
  <si>
    <t>PU-N11-SSG-2304-1673
01/04/2023</t>
  </si>
  <si>
    <t>PED23D264</t>
  </si>
  <si>
    <t>Khung đỡ ống làm mát</t>
  </si>
  <si>
    <t>Piping basket</t>
  </si>
  <si>
    <t>AIBD-7241</t>
  </si>
  <si>
    <t>A-2-01-003-042</t>
  </si>
  <si>
    <t>AIBD-7246</t>
  </si>
  <si>
    <t>IC06-1490</t>
  </si>
  <si>
    <t>GRC-5815</t>
  </si>
  <si>
    <t>AIBD-7255</t>
  </si>
  <si>
    <t>AIBD-7256</t>
  </si>
  <si>
    <t>PED23D269</t>
  </si>
  <si>
    <t>AIBD-7239</t>
  </si>
  <si>
    <t>AIBD-7262</t>
  </si>
  <si>
    <t>AIBD-7263</t>
  </si>
  <si>
    <t>cancel ko mua</t>
  </si>
  <si>
    <t>DIE RACK 2</t>
  </si>
  <si>
    <t>Kích thước: 5650L x 2400D x 2550H
Vật liệu: ~SS400</t>
  </si>
  <si>
    <t>PU-N11-SSG-2304-1716
5/4/2023</t>
  </si>
  <si>
    <t>IC06-1491
=&gt;IC06-1586</t>
  </si>
  <si>
    <t>VN00039</t>
  </si>
  <si>
    <t>AIBD-7289</t>
  </si>
  <si>
    <t>sếp ko cho mua</t>
  </si>
  <si>
    <t>VMTCNC (CHINA)</t>
  </si>
  <si>
    <t>FUJIMACHINERY</t>
  </si>
  <si>
    <t>PU-N11-SSG-2022-0288
27/12/2022</t>
  </si>
  <si>
    <t>YVF391</t>
  </si>
  <si>
    <t>Phạm Tô Mai Yến</t>
  </si>
  <si>
    <t>IC07-16</t>
  </si>
  <si>
    <t>IC07-20</t>
  </si>
  <si>
    <t>Water cooler piping</t>
  </si>
  <si>
    <t>AIBD-7302</t>
  </si>
  <si>
    <t>MIKI NETSUREN</t>
  </si>
  <si>
    <t>TOMITA JP</t>
  </si>
  <si>
    <t>Extrusion line 2 (Billet heater)</t>
  </si>
  <si>
    <t>PB-HC-D2544</t>
  </si>
  <si>
    <r>
      <t>Round bar lifting clamp (</t>
    </r>
    <r>
      <rPr>
        <sz val="12"/>
        <color theme="1"/>
        <rFont val="ＭＳ Ｐゴシック"/>
        <family val="3"/>
        <charset val="128"/>
      </rPr>
      <t>Φ</t>
    </r>
    <r>
      <rPr>
        <sz val="6.6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300-400)</t>
    </r>
  </si>
  <si>
    <t>PED23D282</t>
  </si>
  <si>
    <t>Press 1 &amp; 2</t>
  </si>
  <si>
    <t>AIBD-7324</t>
  </si>
  <si>
    <t>AIBD-7326</t>
  </si>
  <si>
    <t>AIBD-7325</t>
  </si>
  <si>
    <t>A-1-01-029-014</t>
  </si>
  <si>
    <t>A-1-01-029-015</t>
  </si>
  <si>
    <t>A-1-01-029-016</t>
  </si>
  <si>
    <t>A-1-01-029-017</t>
  </si>
  <si>
    <t>GRC-5889</t>
  </si>
  <si>
    <t>GRC-5901</t>
  </si>
  <si>
    <t>GRC-5902</t>
  </si>
  <si>
    <t>Punching die</t>
  </si>
  <si>
    <t>Bộ khuôn mở lỗ thuỷ lực</t>
  </si>
  <si>
    <t>B16 (1/2")</t>
  </si>
  <si>
    <t>PU-N11-SSG-2304-1803
11/04/2023</t>
  </si>
  <si>
    <t>Kệ gỗ làm bằng gỗ thông ghép sơn PU</t>
  </si>
  <si>
    <t>W1800-D500-H70MM</t>
  </si>
  <si>
    <t>OFFICE F3-B2</t>
  </si>
  <si>
    <t>Wooden shelf</t>
  </si>
  <si>
    <t>PRD:MANUF_SUPPLIES</t>
  </si>
  <si>
    <t>AIBD-7379</t>
  </si>
  <si>
    <t>IC07-39</t>
  </si>
  <si>
    <t>AIBD-7383</t>
  </si>
  <si>
    <t>BÀN INOX CÓ NGĂN KÉO BCN20</t>
  </si>
  <si>
    <t>BCN20</t>
  </si>
  <si>
    <t>XE ĐẨY DÂY ĐAI NHỰA PET/PP</t>
  </si>
  <si>
    <t>DDNP0020</t>
  </si>
  <si>
    <t>INOX TABLE WITH DRAWERS BCN20</t>
  </si>
  <si>
    <t>Cart for plastic straps</t>
  </si>
  <si>
    <t>Rộng 600X Dài 1200X Cao 800
chân bàn bằng hộp inox 40x40mm</t>
  </si>
  <si>
    <t>Độ rộng đai: 13-32mm
Đường kính trong: 406mm</t>
  </si>
  <si>
    <t>PU-N11-SSG-2304-1842
13/4/2023</t>
  </si>
  <si>
    <t>AS2201-02-F10S</t>
  </si>
  <si>
    <t>press 2700T</t>
  </si>
  <si>
    <t>CM2B32-100Z</t>
  </si>
  <si>
    <t>PED23D302</t>
  </si>
  <si>
    <t>AIBD-7431</t>
  </si>
  <si>
    <t>Phao tự ngắt - Phao chống cạn đa năng</t>
  </si>
  <si>
    <t>Yến Nhi
=&gt;Nguyễn Thị Phương Thùy</t>
  </si>
  <si>
    <t>Automatic Shut-Off Float Valve</t>
  </si>
  <si>
    <t>F3-FLOAT-VALVE-3.5CM</t>
  </si>
  <si>
    <t>Kiểu: Cảm biến từ trường
Loại : 2 chân 
* Phao tự ngắt máy bơm quạt Sử dụng điện 220v AC, DC
* Phao tự ngắt máy bơm quạt Chịu được công suất máy bơm từ 7w lên đến 40w
* Dây điện dài được bọc bên ngoài tạo độ an toàn ,độ bền cao Có jack cắm vào bảng mạch để thay thế cho phao chống cạn quạt hơi nước 
* Hành trình phao 3.5cm Nhựa phao sử dụng nhựa abs, Bóng phao sử dụng nhựa pp nên độ bền rất cao</t>
  </si>
  <si>
    <t>HƯNG PHÁT</t>
  </si>
  <si>
    <t>IZUMI</t>
  </si>
  <si>
    <t>B16-395-2142</t>
  </si>
  <si>
    <t>11-12/5 giao</t>
  </si>
  <si>
    <t>IC07-77</t>
  </si>
  <si>
    <t>AIBD-7451</t>
  </si>
  <si>
    <t>MAX</t>
  </si>
  <si>
    <t>Carbon Brush</t>
  </si>
  <si>
    <t>C8FB2-WH22</t>
  </si>
  <si>
    <t>C10FS-H-B</t>
  </si>
  <si>
    <t>Công tắc 1P Trụ</t>
  </si>
  <si>
    <t>Chổi than</t>
  </si>
  <si>
    <t>1.Kích thước: 1x1x1 inch
2.Diện áp hoạt động: 110v - 120v</t>
  </si>
  <si>
    <t>HITACHI</t>
  </si>
  <si>
    <t>Switch 1P Pillartype</t>
  </si>
  <si>
    <t>PU-N11-SSG-2304-1884
18/4/2023</t>
  </si>
  <si>
    <t>Võ Tấn Phát</t>
  </si>
  <si>
    <t>UVF054</t>
  </si>
  <si>
    <t>Cutting machine (spare part)</t>
  </si>
  <si>
    <t>AIBD-7468</t>
  </si>
  <si>
    <t>K2459046
SLF13703</t>
  </si>
  <si>
    <t>SC62-1920
PED20J500</t>
  </si>
  <si>
    <t>SC62-1920
PED20J511</t>
  </si>
  <si>
    <t>YVF401</t>
  </si>
  <si>
    <t>Ngày</t>
  </si>
  <si>
    <t>Tên hàng</t>
  </si>
  <si>
    <t>Người yêu cầu</t>
  </si>
  <si>
    <t>Dầu DO</t>
  </si>
  <si>
    <t>Số phiếu</t>
  </si>
  <si>
    <t>F3-01</t>
  </si>
  <si>
    <t>N.X.Tuấn</t>
  </si>
  <si>
    <t>Số lượng
(lit)</t>
  </si>
  <si>
    <t>90CD1.0-4</t>
  </si>
  <si>
    <t>Nguyễn Minh Hoàng</t>
  </si>
  <si>
    <t>Dies maintenance (Drill machine)</t>
  </si>
  <si>
    <t>Center Drill</t>
  </si>
  <si>
    <t>PU-N11-SSG-2304-1909
20/04/2023</t>
  </si>
  <si>
    <t>KUMRAMO</t>
  </si>
  <si>
    <t>LM-TU436L2</t>
  </si>
  <si>
    <t>AIBD-7498</t>
  </si>
  <si>
    <t>AIBD-7499</t>
  </si>
  <si>
    <t>Nhật mang qua khỏi mua</t>
  </si>
  <si>
    <t>GRC-6011</t>
  </si>
  <si>
    <t>11-15/5 GIAO</t>
  </si>
  <si>
    <t>25/5 GIAO</t>
  </si>
  <si>
    <t>Người đi mua</t>
  </si>
  <si>
    <t>Vũ Châu Tuấn</t>
  </si>
  <si>
    <t>Total</t>
  </si>
  <si>
    <t>VN00041</t>
  </si>
  <si>
    <t>LVF398</t>
  </si>
  <si>
    <t>AIBD-7533</t>
  </si>
  <si>
    <t>NH3-F3</t>
  </si>
  <si>
    <t>CO2-F3</t>
  </si>
  <si>
    <t>GAS-12KG-F3</t>
  </si>
  <si>
    <t>GO2-F3</t>
  </si>
  <si>
    <t>GC2H2-F3</t>
  </si>
  <si>
    <t>MIXGAS-H2-1-AR-99-F3</t>
  </si>
  <si>
    <t>Billet casting line</t>
  </si>
  <si>
    <t>Hỗn hợp khí hidro 1% + Argon</t>
  </si>
  <si>
    <t>Le Thi Thao</t>
  </si>
  <si>
    <t>PU-N11-SSG-2304-1871
17/4/2023</t>
  </si>
  <si>
    <t>PU-N11-SSG-2303-1550
20/03/2023</t>
  </si>
  <si>
    <t>PU-N11-SSG-2304-1966
25/4/2023</t>
  </si>
  <si>
    <t>OKABE</t>
  </si>
  <si>
    <t>SS-40DG8BII</t>
  </si>
  <si>
    <t>Spot cooler with automation</t>
  </si>
  <si>
    <t>Máy làm mát di động 2 ống lạnh xoay</t>
  </si>
  <si>
    <t>SUIDEN</t>
  </si>
  <si>
    <t>AIBD-7265 (50 ROLL)
AIBD-7576 (50 ROLL)</t>
  </si>
  <si>
    <t>04/04/2023
26/4/2023</t>
  </si>
  <si>
    <t>9822
=&gt;10181</t>
  </si>
  <si>
    <t>Mũi khoan tâm</t>
  </si>
  <si>
    <t>AIBD-7606</t>
  </si>
  <si>
    <t>AIBD-7612</t>
  </si>
  <si>
    <t>AIBD-7613</t>
  </si>
  <si>
    <t>S21-4948
PED23D357</t>
  </si>
  <si>
    <t>GRC-6104</t>
  </si>
  <si>
    <t>GRC-6073
=&gt;6106</t>
  </si>
  <si>
    <t>MVF280</t>
  </si>
  <si>
    <t>MF17436
MF17887</t>
  </si>
  <si>
    <t>LVF399</t>
  </si>
  <si>
    <t>AIBD-7636</t>
  </si>
  <si>
    <t>Dãy 5 kệ liên kết</t>
  </si>
  <si>
    <t>D5590XR2150XC2300</t>
  </si>
  <si>
    <t>CO KHI VIET</t>
  </si>
  <si>
    <t>đã giao ngày 1/4=&gt;mất DO</t>
  </si>
  <si>
    <t>R22-3840
PED23E</t>
  </si>
  <si>
    <t>Long Billet Cutting Machine</t>
  </si>
  <si>
    <t>Máy cắt billet dài</t>
  </si>
  <si>
    <t>LONG-BILLET-CUTTING</t>
  </si>
  <si>
    <t>Thiết bị phía sau 2750T</t>
  </si>
  <si>
    <t>No.3 2750T EXH.HE</t>
  </si>
  <si>
    <t>PALLETIZER-2750T</t>
  </si>
  <si>
    <t>No.3 2750T Palletizer</t>
  </si>
  <si>
    <t>A-1-01-029</t>
  </si>
  <si>
    <t>Extrusion line 3</t>
  </si>
  <si>
    <t>No.3 2750T pallet transfer</t>
  </si>
  <si>
    <t>TRANSFER-2750T</t>
  </si>
  <si>
    <t>AIBD-7647</t>
  </si>
  <si>
    <t>PU-N11-SSG-2305-2116
8/5/2023</t>
  </si>
  <si>
    <t>phát hành song song ringi +ycbg</t>
  </si>
  <si>
    <t>PED23E371</t>
  </si>
  <si>
    <t>21-N11-0623
23/1/2021</t>
  </si>
  <si>
    <t>Dies maintenance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</si>
</sst>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[Red]#,##0"/>
    <numFmt numFmtId="165" formatCode="#,##0.00;[Red]#,##0.00"/>
    <numFmt numFmtId="166" formatCode="[$-1010000]d/m/yyyy;@"/>
    <numFmt numFmtId="167" formatCode="#,##0.0;[Red]#,##0.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8"/>
      <color theme="1"/>
      <name val="Arial"/>
      <family val="2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sz val="11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sz val="11"/>
      <name val="Times New Roman"/>
      <family val="1"/>
    </font>
    <font>
      <b/>
      <sz val="11"/>
      <color theme="0"/>
      <name val="Calibri"/>
      <family val="2"/>
      <scheme val="minor"/>
    </font>
    <font>
      <sz val="12"/>
      <name val="Times New Roman"/>
      <family val="1"/>
    </font>
    <font>
      <sz val="24"/>
      <color rgb="FFFF0000"/>
      <name val="Calibri"/>
      <family val="2"/>
      <scheme val="minor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  <charset val="163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sz val="12"/>
      <color theme="1"/>
      <name val="ＭＳ Ｐゴシック"/>
      <family val="3"/>
      <charset val="128"/>
    </font>
    <font>
      <sz val="6.6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38" fontId="9" fillId="0" borderId="0" applyFont="0" applyFill="0" applyBorder="0" applyAlignment="0" applyProtection="0">
      <alignment vertical="center"/>
    </xf>
    <xf numFmtId="0" fontId="10" fillId="0" borderId="0"/>
    <xf numFmtId="0" fontId="30" fillId="0" borderId="0"/>
  </cellStyleXfs>
  <cellXfs count="34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4" fontId="6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wrapText="1"/>
    </xf>
    <xf numFmtId="0" fontId="5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/>
    </xf>
    <xf numFmtId="14" fontId="6" fillId="4" borderId="3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14" fontId="0" fillId="0" borderId="1" xfId="0" applyNumberFormat="1" applyBorder="1" applyAlignment="1">
      <alignment vertical="center" wrapText="1"/>
    </xf>
    <xf numFmtId="0" fontId="3" fillId="4" borderId="3" xfId="0" applyFont="1" applyFill="1" applyBorder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0" fillId="5" borderId="1" xfId="0" applyFill="1" applyBorder="1" applyAlignment="1">
      <alignment vertical="center"/>
    </xf>
    <xf numFmtId="14" fontId="0" fillId="5" borderId="1" xfId="0" applyNumberFormat="1" applyFill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 wrapText="1"/>
    </xf>
    <xf numFmtId="0" fontId="0" fillId="5" borderId="5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15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14" fontId="3" fillId="4" borderId="9" xfId="0" applyNumberFormat="1" applyFont="1" applyFill="1" applyBorder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14" fontId="15" fillId="5" borderId="1" xfId="0" applyNumberFormat="1" applyFont="1" applyFill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5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165" fontId="11" fillId="4" borderId="3" xfId="0" applyNumberFormat="1" applyFont="1" applyFill="1" applyBorder="1" applyAlignment="1">
      <alignment horizontal="center" vertical="center"/>
    </xf>
    <xf numFmtId="165" fontId="11" fillId="4" borderId="1" xfId="0" applyNumberFormat="1" applyFont="1" applyFill="1" applyBorder="1" applyAlignment="1">
      <alignment horizontal="center" vertical="center"/>
    </xf>
    <xf numFmtId="14" fontId="11" fillId="4" borderId="1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0" fontId="11" fillId="4" borderId="5" xfId="0" applyFont="1" applyFill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1" fillId="4" borderId="1" xfId="0" applyFont="1" applyFill="1" applyBorder="1" applyAlignment="1">
      <alignment horizontal="left" vertical="center" wrapText="1"/>
    </xf>
    <xf numFmtId="0" fontId="0" fillId="0" borderId="8" xfId="0" applyBorder="1" applyAlignment="1">
      <alignment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left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164" fontId="11" fillId="6" borderId="3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164" fontId="3" fillId="6" borderId="3" xfId="0" applyNumberFormat="1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left" vertical="center"/>
    </xf>
    <xf numFmtId="14" fontId="0" fillId="0" borderId="0" xfId="0" applyNumberFormat="1" applyAlignment="1">
      <alignment vertical="center"/>
    </xf>
    <xf numFmtId="166" fontId="3" fillId="0" borderId="1" xfId="0" applyNumberFormat="1" applyFont="1" applyBorder="1" applyAlignment="1">
      <alignment horizontal="center" vertical="center"/>
    </xf>
    <xf numFmtId="166" fontId="3" fillId="3" borderId="1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166" fontId="3" fillId="0" borderId="9" xfId="0" applyNumberFormat="1" applyFont="1" applyBorder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vertical="center"/>
    </xf>
    <xf numFmtId="14" fontId="14" fillId="4" borderId="1" xfId="0" applyNumberFormat="1" applyFont="1" applyFill="1" applyBorder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3" fillId="6" borderId="1" xfId="0" quotePrefix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14" fontId="6" fillId="0" borderId="6" xfId="0" applyNumberFormat="1" applyFont="1" applyBorder="1" applyAlignment="1">
      <alignment horizontal="center" vertical="center"/>
    </xf>
    <xf numFmtId="14" fontId="6" fillId="6" borderId="6" xfId="0" applyNumberFormat="1" applyFont="1" applyFill="1" applyBorder="1" applyAlignment="1">
      <alignment horizontal="center" vertical="center"/>
    </xf>
    <xf numFmtId="0" fontId="3" fillId="6" borderId="5" xfId="0" quotePrefix="1" applyFont="1" applyFill="1" applyBorder="1" applyAlignment="1">
      <alignment horizontal="center" vertical="center"/>
    </xf>
    <xf numFmtId="14" fontId="0" fillId="0" borderId="3" xfId="0" applyNumberForma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3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11" fillId="0" borderId="1" xfId="0" applyFont="1" applyBorder="1" applyAlignment="1">
      <alignment horizontal="left" vertical="center" wrapText="1"/>
    </xf>
    <xf numFmtId="166" fontId="3" fillId="6" borderId="9" xfId="0" applyNumberFormat="1" applyFont="1" applyFill="1" applyBorder="1" applyAlignment="1">
      <alignment horizontal="center" vertical="center"/>
    </xf>
    <xf numFmtId="14" fontId="6" fillId="6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14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0" fontId="19" fillId="0" borderId="13" xfId="0" applyFont="1" applyBorder="1" applyAlignment="1">
      <alignment vertical="center"/>
    </xf>
    <xf numFmtId="166" fontId="3" fillId="3" borderId="9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left" vertical="center"/>
    </xf>
    <xf numFmtId="164" fontId="3" fillId="3" borderId="3" xfId="0" applyNumberFormat="1" applyFont="1" applyFill="1" applyBorder="1" applyAlignment="1">
      <alignment horizontal="center" vertical="center"/>
    </xf>
    <xf numFmtId="14" fontId="6" fillId="3" borderId="1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166" fontId="20" fillId="0" borderId="14" xfId="0" applyNumberFormat="1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2" fillId="0" borderId="14" xfId="0" applyFont="1" applyBorder="1" applyAlignment="1">
      <alignment horizontal="left" vertical="center"/>
    </xf>
    <xf numFmtId="14" fontId="23" fillId="0" borderId="14" xfId="0" applyNumberFormat="1" applyFont="1" applyBorder="1" applyAlignment="1">
      <alignment horizontal="center" vertical="center"/>
    </xf>
    <xf numFmtId="0" fontId="20" fillId="0" borderId="14" xfId="0" applyFont="1" applyBorder="1" applyAlignment="1">
      <alignment horizontal="left" vertical="center"/>
    </xf>
    <xf numFmtId="164" fontId="20" fillId="0" borderId="14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0" fontId="3" fillId="0" borderId="0" xfId="0" applyFont="1"/>
    <xf numFmtId="166" fontId="1" fillId="0" borderId="13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28" fillId="6" borderId="1" xfId="0" applyFont="1" applyFill="1" applyBorder="1" applyAlignment="1">
      <alignment horizontal="center" vertical="center"/>
    </xf>
    <xf numFmtId="166" fontId="15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/>
    <xf numFmtId="0" fontId="2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 vertical="center" wrapText="1"/>
    </xf>
    <xf numFmtId="0" fontId="29" fillId="0" borderId="0" xfId="0" applyFont="1"/>
    <xf numFmtId="0" fontId="29" fillId="0" borderId="0" xfId="0" applyFont="1" applyAlignment="1">
      <alignment vertical="center" wrapText="1"/>
    </xf>
    <xf numFmtId="0" fontId="17" fillId="7" borderId="15" xfId="0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/>
    <xf numFmtId="166" fontId="0" fillId="6" borderId="3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 wrapText="1"/>
    </xf>
    <xf numFmtId="0" fontId="31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7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164" fontId="20" fillId="0" borderId="1" xfId="0" applyNumberFormat="1" applyFont="1" applyBorder="1" applyAlignment="1">
      <alignment horizontal="center" vertical="center"/>
    </xf>
    <xf numFmtId="14" fontId="20" fillId="0" borderId="1" xfId="0" applyNumberFormat="1" applyFont="1" applyBorder="1" applyAlignment="1">
      <alignment horizontal="center" vertical="center"/>
    </xf>
    <xf numFmtId="166" fontId="20" fillId="0" borderId="1" xfId="0" applyNumberFormat="1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166" fontId="20" fillId="0" borderId="1" xfId="0" applyNumberFormat="1" applyFont="1" applyBorder="1" applyAlignment="1">
      <alignment horizontal="left" vertical="center"/>
    </xf>
    <xf numFmtId="0" fontId="22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164" fontId="20" fillId="0" borderId="1" xfId="0" applyNumberFormat="1" applyFont="1" applyBorder="1" applyAlignment="1">
      <alignment horizontal="center" vertical="center" wrapText="1"/>
    </xf>
    <xf numFmtId="166" fontId="22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64" fontId="22" fillId="0" borderId="1" xfId="0" applyNumberFormat="1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0" fontId="20" fillId="0" borderId="1" xfId="0" quotePrefix="1" applyFont="1" applyBorder="1" applyAlignment="1">
      <alignment horizontal="center" vertical="center" wrapText="1"/>
    </xf>
    <xf numFmtId="166" fontId="23" fillId="0" borderId="1" xfId="0" applyNumberFormat="1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 wrapText="1"/>
    </xf>
    <xf numFmtId="166" fontId="26" fillId="0" borderId="1" xfId="0" applyNumberFormat="1" applyFont="1" applyBorder="1" applyAlignment="1">
      <alignment vertical="center"/>
    </xf>
    <xf numFmtId="0" fontId="18" fillId="0" borderId="1" xfId="0" applyFont="1" applyBorder="1" applyAlignment="1" applyProtection="1">
      <alignment horizontal="center" vertical="center" shrinkToFit="1"/>
      <protection locked="0"/>
    </xf>
    <xf numFmtId="165" fontId="20" fillId="0" borderId="1" xfId="0" applyNumberFormat="1" applyFont="1" applyBorder="1" applyAlignment="1">
      <alignment horizontal="center" vertical="center"/>
    </xf>
    <xf numFmtId="0" fontId="20" fillId="0" borderId="1" xfId="0" quotePrefix="1" applyFont="1" applyBorder="1" applyAlignment="1">
      <alignment horizontal="left" vertical="center"/>
    </xf>
    <xf numFmtId="0" fontId="22" fillId="0" borderId="1" xfId="0" quotePrefix="1" applyFont="1" applyBorder="1" applyAlignment="1">
      <alignment horizontal="left" vertical="center"/>
    </xf>
    <xf numFmtId="0" fontId="20" fillId="0" borderId="1" xfId="0" quotePrefix="1" applyFont="1" applyBorder="1" applyAlignment="1">
      <alignment horizontal="center" vertical="center"/>
    </xf>
    <xf numFmtId="166" fontId="27" fillId="0" borderId="1" xfId="0" applyNumberFormat="1" applyFont="1" applyBorder="1" applyAlignment="1">
      <alignment vertical="center"/>
    </xf>
    <xf numFmtId="166" fontId="27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166" fontId="22" fillId="0" borderId="1" xfId="0" applyNumberFormat="1" applyFont="1" applyBorder="1" applyAlignment="1">
      <alignment horizontal="left" vertical="center"/>
    </xf>
    <xf numFmtId="166" fontId="20" fillId="3" borderId="1" xfId="0" applyNumberFormat="1" applyFont="1" applyFill="1" applyBorder="1" applyAlignment="1">
      <alignment horizontal="center" vertical="center"/>
    </xf>
    <xf numFmtId="166" fontId="22" fillId="0" borderId="1" xfId="0" applyNumberFormat="1" applyFont="1" applyBorder="1" applyAlignment="1">
      <alignment horizontal="center" vertical="center" wrapText="1"/>
    </xf>
    <xf numFmtId="165" fontId="22" fillId="0" borderId="1" xfId="0" applyNumberFormat="1" applyFont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167" fontId="22" fillId="0" borderId="1" xfId="0" applyNumberFormat="1" applyFont="1" applyBorder="1" applyAlignment="1">
      <alignment horizontal="center" vertical="center"/>
    </xf>
    <xf numFmtId="166" fontId="26" fillId="0" borderId="1" xfId="0" applyNumberFormat="1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left" vertical="center"/>
    </xf>
    <xf numFmtId="0" fontId="22" fillId="3" borderId="1" xfId="0" applyFont="1" applyFill="1" applyBorder="1" applyAlignment="1">
      <alignment horizontal="left" vertical="center"/>
    </xf>
    <xf numFmtId="164" fontId="20" fillId="3" borderId="1" xfId="0" applyNumberFormat="1" applyFont="1" applyFill="1" applyBorder="1" applyAlignment="1">
      <alignment horizontal="center" vertical="center" wrapText="1"/>
    </xf>
    <xf numFmtId="164" fontId="20" fillId="3" borderId="1" xfId="0" applyNumberFormat="1" applyFont="1" applyFill="1" applyBorder="1" applyAlignment="1">
      <alignment horizontal="center" vertical="center"/>
    </xf>
    <xf numFmtId="14" fontId="20" fillId="3" borderId="1" xfId="0" applyNumberFormat="1" applyFont="1" applyFill="1" applyBorder="1" applyAlignment="1">
      <alignment horizontal="center" vertical="center"/>
    </xf>
    <xf numFmtId="14" fontId="23" fillId="3" borderId="1" xfId="0" applyNumberFormat="1" applyFont="1" applyFill="1" applyBorder="1" applyAlignment="1">
      <alignment horizontal="center" vertical="center"/>
    </xf>
    <xf numFmtId="166" fontId="20" fillId="3" borderId="1" xfId="0" applyNumberFormat="1" applyFont="1" applyFill="1" applyBorder="1" applyAlignment="1">
      <alignment horizontal="left" vertical="center"/>
    </xf>
    <xf numFmtId="166" fontId="22" fillId="3" borderId="1" xfId="0" applyNumberFormat="1" applyFont="1" applyFill="1" applyBorder="1" applyAlignment="1">
      <alignment horizontal="center" vertical="center"/>
    </xf>
    <xf numFmtId="16" fontId="22" fillId="0" borderId="1" xfId="0" applyNumberFormat="1" applyFont="1" applyBorder="1" applyAlignment="1">
      <alignment horizontal="center" vertical="center"/>
    </xf>
    <xf numFmtId="166" fontId="20" fillId="0" borderId="1" xfId="0" applyNumberFormat="1" applyFont="1" applyBorder="1" applyAlignment="1">
      <alignment horizontal="center" vertical="center" wrapText="1"/>
    </xf>
    <xf numFmtId="166" fontId="20" fillId="0" borderId="1" xfId="0" applyNumberFormat="1" applyFont="1" applyBorder="1" applyAlignment="1">
      <alignment horizontal="left" vertical="center" wrapText="1"/>
    </xf>
    <xf numFmtId="0" fontId="20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left" vertical="center"/>
    </xf>
    <xf numFmtId="0" fontId="22" fillId="8" borderId="1" xfId="0" applyFont="1" applyFill="1" applyBorder="1" applyAlignment="1">
      <alignment horizontal="left" vertical="center"/>
    </xf>
    <xf numFmtId="0" fontId="20" fillId="8" borderId="1" xfId="0" applyFont="1" applyFill="1" applyBorder="1" applyAlignment="1" applyProtection="1">
      <alignment horizontal="center" vertical="center"/>
      <protection locked="0"/>
    </xf>
    <xf numFmtId="0" fontId="20" fillId="8" borderId="1" xfId="0" applyFont="1" applyFill="1" applyBorder="1" applyAlignment="1">
      <alignment horizontal="center" vertical="center" wrapText="1"/>
    </xf>
    <xf numFmtId="164" fontId="20" fillId="8" borderId="1" xfId="0" applyNumberFormat="1" applyFont="1" applyFill="1" applyBorder="1" applyAlignment="1">
      <alignment horizontal="center" vertical="center"/>
    </xf>
    <xf numFmtId="14" fontId="20" fillId="8" borderId="1" xfId="0" applyNumberFormat="1" applyFont="1" applyFill="1" applyBorder="1" applyAlignment="1">
      <alignment horizontal="center" vertical="center"/>
    </xf>
    <xf numFmtId="166" fontId="20" fillId="8" borderId="1" xfId="0" applyNumberFormat="1" applyFont="1" applyFill="1" applyBorder="1" applyAlignment="1">
      <alignment horizontal="center" vertical="center"/>
    </xf>
    <xf numFmtId="166" fontId="20" fillId="8" borderId="1" xfId="0" applyNumberFormat="1" applyFont="1" applyFill="1" applyBorder="1" applyAlignment="1">
      <alignment horizontal="center" vertical="center" wrapText="1"/>
    </xf>
    <xf numFmtId="166" fontId="20" fillId="8" borderId="1" xfId="0" applyNumberFormat="1" applyFont="1" applyFill="1" applyBorder="1" applyAlignment="1">
      <alignment horizontal="left" vertical="center"/>
    </xf>
    <xf numFmtId="166" fontId="22" fillId="8" borderId="1" xfId="0" applyNumberFormat="1" applyFont="1" applyFill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164" fontId="20" fillId="0" borderId="3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66" fontId="20" fillId="0" borderId="3" xfId="0" applyNumberFormat="1" applyFont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  <xf numFmtId="166" fontId="20" fillId="0" borderId="3" xfId="0" applyNumberFormat="1" applyFont="1" applyBorder="1" applyAlignment="1">
      <alignment horizontal="center" vertical="center" wrapText="1"/>
    </xf>
    <xf numFmtId="166" fontId="22" fillId="0" borderId="3" xfId="0" applyNumberFormat="1" applyFont="1" applyBorder="1" applyAlignment="1">
      <alignment horizontal="center" vertical="center"/>
    </xf>
    <xf numFmtId="0" fontId="20" fillId="3" borderId="1" xfId="0" applyFont="1" applyFill="1" applyBorder="1" applyAlignment="1" applyProtection="1">
      <alignment horizontal="center" vertical="center"/>
      <protection locked="0"/>
    </xf>
    <xf numFmtId="0" fontId="20" fillId="3" borderId="1" xfId="0" applyFont="1" applyFill="1" applyBorder="1" applyAlignment="1">
      <alignment horizontal="center" vertical="center" wrapText="1"/>
    </xf>
    <xf numFmtId="166" fontId="20" fillId="3" borderId="1" xfId="0" applyNumberFormat="1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left" vertical="center"/>
    </xf>
    <xf numFmtId="0" fontId="1" fillId="0" borderId="1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3" xfId="0" applyFont="1" applyBorder="1" applyAlignment="1">
      <alignment horizontal="left" vertical="center" wrapText="1"/>
    </xf>
    <xf numFmtId="16" fontId="20" fillId="0" borderId="1" xfId="0" applyNumberFormat="1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166" fontId="22" fillId="0" borderId="1" xfId="0" quotePrefix="1" applyNumberFormat="1" applyFont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right" vertical="center"/>
    </xf>
    <xf numFmtId="0" fontId="1" fillId="5" borderId="6" xfId="0" applyFont="1" applyFill="1" applyBorder="1" applyAlignment="1">
      <alignment horizontal="left" vertical="center"/>
    </xf>
    <xf numFmtId="14" fontId="20" fillId="0" borderId="1" xfId="0" applyNumberFormat="1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>
      <alignment horizontal="center" vertical="center" wrapText="1"/>
    </xf>
    <xf numFmtId="164" fontId="20" fillId="0" borderId="1" xfId="0" applyNumberFormat="1" applyFont="1" applyFill="1" applyBorder="1" applyAlignment="1">
      <alignment horizontal="center" vertical="center"/>
    </xf>
    <xf numFmtId="14" fontId="20" fillId="0" borderId="1" xfId="0" applyNumberFormat="1" applyFont="1" applyFill="1" applyBorder="1" applyAlignment="1">
      <alignment horizontal="center" vertical="center"/>
    </xf>
    <xf numFmtId="166" fontId="20" fillId="0" borderId="1" xfId="0" applyNumberFormat="1" applyFont="1" applyFill="1" applyBorder="1" applyAlignment="1">
      <alignment horizontal="center" vertical="center"/>
    </xf>
    <xf numFmtId="14" fontId="23" fillId="0" borderId="1" xfId="0" applyNumberFormat="1" applyFont="1" applyFill="1" applyBorder="1" applyAlignment="1">
      <alignment horizontal="center" vertical="center"/>
    </xf>
    <xf numFmtId="166" fontId="20" fillId="0" borderId="1" xfId="0" applyNumberFormat="1" applyFont="1" applyFill="1" applyBorder="1" applyAlignment="1">
      <alignment horizontal="center" vertical="center" wrapText="1"/>
    </xf>
    <xf numFmtId="166" fontId="22" fillId="0" borderId="1" xfId="0" applyNumberFormat="1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horizontal="center" vertical="center"/>
    </xf>
    <xf numFmtId="0" fontId="21" fillId="0" borderId="3" xfId="0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left" vertical="center"/>
    </xf>
    <xf numFmtId="0" fontId="22" fillId="0" borderId="3" xfId="0" applyFont="1" applyFill="1" applyBorder="1" applyAlignment="1">
      <alignment horizontal="left" vertical="center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Fill="1" applyBorder="1" applyAlignment="1">
      <alignment horizontal="center" vertical="center" wrapText="1"/>
    </xf>
    <xf numFmtId="164" fontId="20" fillId="0" borderId="3" xfId="0" applyNumberFormat="1" applyFont="1" applyFill="1" applyBorder="1" applyAlignment="1">
      <alignment horizontal="center" vertical="center"/>
    </xf>
    <xf numFmtId="14" fontId="20" fillId="0" borderId="3" xfId="0" applyNumberFormat="1" applyFont="1" applyFill="1" applyBorder="1" applyAlignment="1">
      <alignment horizontal="center" vertical="center"/>
    </xf>
    <xf numFmtId="166" fontId="20" fillId="0" borderId="3" xfId="0" applyNumberFormat="1" applyFont="1" applyFill="1" applyBorder="1" applyAlignment="1">
      <alignment horizontal="center" vertical="center"/>
    </xf>
    <xf numFmtId="14" fontId="23" fillId="0" borderId="3" xfId="0" applyNumberFormat="1" applyFont="1" applyFill="1" applyBorder="1" applyAlignment="1">
      <alignment horizontal="center" vertical="center"/>
    </xf>
    <xf numFmtId="166" fontId="20" fillId="0" borderId="3" xfId="0" applyNumberFormat="1" applyFont="1" applyFill="1" applyBorder="1" applyAlignment="1">
      <alignment horizontal="center" vertical="center" wrapText="1"/>
    </xf>
    <xf numFmtId="166" fontId="22" fillId="0" borderId="3" xfId="0" applyNumberFormat="1" applyFont="1" applyFill="1" applyBorder="1" applyAlignment="1">
      <alignment horizontal="center" vertical="center"/>
    </xf>
  </cellXfs>
  <cellStyles count="4">
    <cellStyle name="Comma [0] 2" xfId="1" xr:uid="{00000000-0005-0000-0000-00002F000000}"/>
    <cellStyle name="Normal" xfId="0" builtinId="0"/>
    <cellStyle name="Normal 2" xfId="3" xr:uid="{881E4BB3-F8B8-4CD3-9CC8-3C2D7D4E9E03}"/>
    <cellStyle name="標準 2" xfId="2" xr:uid="{DC518B7B-3ED2-4AB1-ABD5-3F4D9B37616D}"/>
  </cellStyles>
  <dxfs count="1026"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[$-1010000]d/m/yyyy;@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[$-1010000]d/m/yyyy;@"/>
      <alignment horizontal="center" vertical="center" textRotation="0" indent="0" justifyLastLine="0" shrinkToFit="0" readingOrder="0"/>
      <border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#,##0;[Red]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#,##0;[Red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#,##0;[Red]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#,##0;[Red]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#,##0;[Red]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#,##0;[Red]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#,##0;[Red]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#,##0;[Red]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9" formatCode="dd/mm/yyyy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6" formatCode="[$-1010000]d/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6" formatCode="[$-1010000]d/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[$-1010000]d/m/yy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[$-1010000]d/m/yy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[$-1010000]d/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[$-1010000]d/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#,##0;[Red]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#,##0;[Red]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#,##0;[Red]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#,##0;[Red]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dashed">
          <color indexed="64"/>
        </top>
      </border>
    </dxf>
    <dxf>
      <alignment horizontal="general" vertical="center" textRotation="0" wrapText="0" indent="0" justifyLastLine="0" shrinkToFit="0" readingOrder="0"/>
    </dxf>
    <dxf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border>
        <bottom style="dashed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12700</xdr:rowOff>
        </xdr:from>
        <xdr:to>
          <xdr:col>7</xdr:col>
          <xdr:colOff>2736850</xdr:colOff>
          <xdr:row>0</xdr:row>
          <xdr:rowOff>374650</xdr:rowOff>
        </xdr:to>
        <xdr:sp macro="" textlink="">
          <xdr:nvSpPr>
            <xdr:cNvPr id="1051" name="TextBox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38100</xdr:rowOff>
        </xdr:from>
        <xdr:to>
          <xdr:col>5</xdr:col>
          <xdr:colOff>882650</xdr:colOff>
          <xdr:row>0</xdr:row>
          <xdr:rowOff>381000</xdr:rowOff>
        </xdr:to>
        <xdr:sp macro="" textlink="">
          <xdr:nvSpPr>
            <xdr:cNvPr id="1058" name="Edit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mcmfg.com.vn\smcmfg\Production%20(&#29983;&#29987;)\Extrusion%20(&#25276;&#20986;)\8.%20YCBG\1.%20Quotation%20Request(Mfg%20dept-Pur%20dept).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ion%20(&#29983;&#29987;)/Billet%20Casting%20(&#12499;&#12524;&#12483;&#12488;&#37619;&#36896;)/4.%20PR/Quan%20ly%20dat%20hang%20tren%20SAP%20-22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eline_Data"/>
      <sheetName val="Selection"/>
      <sheetName val="Input_Sheet"/>
      <sheetName val="Sheet2"/>
      <sheetName val="Sheet1"/>
      <sheetName val="DMMH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et"/>
      <sheetName val="Sheet3"/>
      <sheetName val="Sheet1"/>
      <sheetName val="Billet Casting"/>
      <sheetName val="NONSAP"/>
      <sheetName val="HÀNG NỘI CHẾ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BEAE85-3B89-41E3-AC69-DD9B1AFC1EC8}" name="Product_Name" displayName="Product_Name" ref="A4:AB913" totalsRowShown="0" headerRowDxfId="1025" dataDxfId="1023" totalsRowDxfId="1021" headerRowBorderDxfId="1024" tableBorderDxfId="1022" totalsRowBorderDxfId="1020">
  <autoFilter ref="A4:AB913" xr:uid="{F2451630-D644-417D-8AEE-379D68E93AF5}"/>
  <tableColumns count="28">
    <tableColumn id="2" xr3:uid="{E6839E29-E177-415D-9CA2-9581A613FF2D}" name="PO No." dataDxfId="1019" totalsRowDxfId="1018"/>
    <tableColumn id="13" xr3:uid="{ACAAECAE-C13F-4D2F-9D54-D563DA02357B}" name="NHẬP KHO_x000a_Imprort Wharehouse" dataDxfId="1017" totalsRowDxfId="1016"/>
    <tableColumn id="1" xr3:uid="{A90CC024-D07E-4ED5-A5DB-FACCDFA81C7D}" name="PR_x000a_SAP" dataDxfId="1015" totalsRowDxfId="1014"/>
    <tableColumn id="17" xr3:uid="{51C20DF3-FFB4-4EF8-A940-EA57C675EE09}" name="Shoping cart" dataDxfId="1013" totalsRowDxfId="1012"/>
    <tableColumn id="16" xr3:uid="{6675F43A-0D55-43F0-B224-E8258BC97796}" name="PO_x000a_Shopping cart" dataDxfId="1011" totalsRowDxfId="1010"/>
    <tableColumn id="11" xr3:uid="{D767734A-D309-45CF-8101-61AFD4E5D033}" name="Ringi No." dataDxfId="1009" totalsRowDxfId="1008"/>
    <tableColumn id="23" xr3:uid="{4F9F055D-78AB-484D-A246-C3C493C8A151}" name="Approved No." dataDxfId="1007" totalsRowDxfId="1006"/>
    <tableColumn id="4" xr3:uid="{F108C2E4-DD02-4CD0-AB06-589AF094B7F6}" name="Tên tiếng Anh_x000a_Product EN Name" dataDxfId="1005" totalsRowDxfId="1004"/>
    <tableColumn id="7" xr3:uid="{9D1815E0-8B86-4DD1-9E44-E43FAD50FDD8}" name="Tên tiếng Việt_x000a_Product Vie Name" dataDxfId="1003" totalsRowDxfId="1002"/>
    <tableColumn id="25" xr3:uid="{A50529FE-F962-4098-A2F4-3C9CDECFAF1D}" name="Mã sản phẩm_x000a_Product ID" dataDxfId="1001" totalsRowDxfId="1000"/>
    <tableColumn id="15" xr3:uid="{C454DCA3-7400-426C-A084-7B91E9390391}" name="Maker" dataDxfId="999" totalsRowDxfId="998"/>
    <tableColumn id="20" xr3:uid="{3753ED68-7B54-46B2-BB73-2B4A921FBA5A}" name="Nhà cung cấp_x000a_Supplier" dataDxfId="997" totalsRowDxfId="996"/>
    <tableColumn id="3" xr3:uid="{52F7F3FB-C112-41E4-84ED-3466FF7C7F9D}" name="Product_x000a_ Category ID" dataDxfId="995" totalsRowDxfId="994"/>
    <tableColumn id="6" xr3:uid="{758BE17E-5DEC-438F-8A22-49AD6370A20C}" name="Stock/ _x000a_Non-Stock" dataDxfId="993" totalsRowDxfId="992"/>
    <tableColumn id="8" xr3:uid="{31608FA8-44B0-492A-B9A4-E3FE35F55B94}" name="Số lượng_x000a_Quantity" dataDxfId="991" totalsRowDxfId="990"/>
    <tableColumn id="24" xr3:uid="{69D2D87F-04C4-4D98-A2CF-A1FA305945BA}" name="Đơn vị_x000a_Units" dataDxfId="989" totalsRowDxfId="988"/>
    <tableColumn id="26" xr3:uid="{1D5CE6C4-51E5-410F-A36C-EB22CC87D0FB}" name="Đơn vị tiền tệ_x000a_Currency Unit" dataDxfId="987" totalsRowDxfId="986"/>
    <tableColumn id="12" xr3:uid="{35FFC28D-2401-47B6-8B09-F560D1CCBC95}" name="Đơn giá_x000a_Unit Price" dataDxfId="985" totalsRowDxfId="984"/>
    <tableColumn id="22" xr3:uid="{2FA179D6-A506-456B-B96D-BF7A8C89C129}" name="Tổng tiền_x000a_Total" dataDxfId="983" totalsRowDxfId="982">
      <calculatedColumnFormula>Product_Name[[#This Row],[Đơn giá
Unit Price]]*Product_Name[[#This Row],[Số lượng
Quantity]]</calculatedColumnFormula>
    </tableColumn>
    <tableColumn id="10" xr3:uid="{86038E5F-93B9-4992-9DD9-8E8E2ED8689D}" name="Ngày đặt hàng_x000a_Order date" dataDxfId="981" totalsRowDxfId="980"/>
    <tableColumn id="9" xr3:uid="{C2815558-0A70-4A49-AD44-4D7494639C4D}" name="Ngày giao_x000a_Deliery date" dataDxfId="979" totalsRowDxfId="978"/>
    <tableColumn id="18" xr3:uid="{2FCD590B-AF07-4B75-9776-07A3AAA87B3B}" name="Ngày đến SMC_x000a_To SMC date" dataDxfId="977" totalsRowDxfId="976"/>
    <tableColumn id="14" xr3:uid="{134C7285-4E76-4188-A23A-4AE46B34B08D}" name="Người phụ trách_x000a_Person incharge" dataDxfId="975" totalsRowDxfId="974"/>
    <tableColumn id="5" xr3:uid="{ACCEC568-9FA8-4581-B137-06B72A01A4C2}" name="Người yêu cầu_x000a_Requester" dataDxfId="973" totalsRowDxfId="972"/>
    <tableColumn id="21" xr3:uid="{02D9CA8A-5EA7-48FB-A2CE-F6A467E7D333}" name="Ngày YCBG_x000a_Quotation Request Date" dataDxfId="971" totalsRowDxfId="970"/>
    <tableColumn id="27" xr3:uid="{E415B81F-84BE-4369-B581-F6EB21468F94}" name="Phân loại_x000a_Type" dataDxfId="969" totalsRowDxfId="968"/>
    <tableColumn id="28" xr3:uid="{65048583-A9CE-46CE-B2B7-4F2B4C3D87A6}" name="Vị trí sử dụng_x000a_Using position" dataDxfId="967" totalsRowDxfId="966"/>
    <tableColumn id="19" xr3:uid="{C1356A59-99D8-48CE-81E8-0D7E584215DB}" name="Ngày làm ringi_x000a_Ringi Date2" dataDxfId="965" totalsRowDxfId="96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4B54F-C0F9-4346-89EC-A5E1F3B7E0A1}" name="Table3" displayName="Table3" ref="A2:O101" totalsRowShown="0" headerRowDxfId="963" dataDxfId="962">
  <autoFilter ref="A2:O101" xr:uid="{FC8C47C7-B30C-4759-AB1E-E69AC74B78B0}"/>
  <tableColumns count="15">
    <tableColumn id="1" xr3:uid="{5BDA936E-48E6-4049-A574-559255BF2C2B}" name="No" dataDxfId="961"/>
    <tableColumn id="2" xr3:uid="{17437CA3-B334-4397-BB76-6F2E8FCC936A}" name="Ngày tạo _x000a_đơn hàng" dataDxfId="960"/>
    <tableColumn id="3" xr3:uid="{16738D85-AE79-4B99-ADE9-585C8C7A5A39}" name="Số đơn hàng" dataDxfId="959"/>
    <tableColumn id="10" xr3:uid="{6B2D7908-D430-40ED-B1BC-10A839BA3E03}" name="Vận chuyển" dataDxfId="958"/>
    <tableColumn id="4" xr3:uid="{A83D6299-4565-4792-B474-EE2A0061D49B}" name="TÊN HÀNG" dataDxfId="957"/>
    <tableColumn id="5" xr3:uid="{192ED848-9B51-4AB5-941E-8A15D07AA337}" name="MÃ SẢN PHẨM" dataDxfId="956"/>
    <tableColumn id="7" xr3:uid="{8CFA789E-53C7-447F-BC43-3350179FEBA6}" name="Số lượng" dataDxfId="955"/>
    <tableColumn id="8" xr3:uid="{BD5987D5-BA9B-442B-90A0-B1409EC0576C}" name="Kì hạn mong muốn" dataDxfId="954"/>
    <tableColumn id="9" xr3:uid="{24E3385F-C359-4F43-BFE6-F8A070CB3BB9}" name="Ngày hàng về" dataDxfId="953"/>
    <tableColumn id="6" xr3:uid="{B73E5970-3B16-477D-8975-5E9837A6A801}" name="NOTE" dataDxfId="952"/>
    <tableColumn id="11" xr3:uid="{C5DB775B-1734-4014-BE80-47E59C1E299E}" name="Tên tiếng Việt" dataDxfId="951"/>
    <tableColumn id="12" xr3:uid="{EC8FA215-FCCB-4891-B23C-35B84CAD4407}" name="Chất liệu" dataDxfId="950"/>
    <tableColumn id="13" xr3:uid="{CE95198A-DB7A-409B-B31E-10F00C13BD47}" name="Catalogue" dataDxfId="949"/>
    <tableColumn id="14" xr3:uid="{F8EC95E6-EAF1-42CD-AC20-BFDF6138AD70}" name="Mục đích" dataDxfId="948"/>
    <tableColumn id="15" xr3:uid="{11B6D4EE-042A-422F-B752-7B5BF458CA0A}" name="Đảm trách" dataDxfId="94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A92EAC-5BE3-40CA-ABE5-B5CE43422E12}" name="Table13" displayName="Table13" ref="A2:V8" totalsRowShown="0" headerRowDxfId="946" dataDxfId="945">
  <autoFilter ref="A2:V8" xr:uid="{1A10F54B-56EA-47CC-8272-57EE004858E8}"/>
  <tableColumns count="22">
    <tableColumn id="2" xr3:uid="{D53A8FC8-82A6-42E4-AD43-095520C40256}" name="PO" dataDxfId="944" totalsRowDxfId="943"/>
    <tableColumn id="21" xr3:uid="{40BE224B-3E05-470C-895A-C235D5AD9560}" name="PUCHASE _x000a_REQUEST" dataDxfId="942" totalsRowDxfId="941"/>
    <tableColumn id="13" xr3:uid="{F331E719-976F-4D2C-8283-EC48B9F726CA}" name="NHẬP KHO" dataDxfId="940" totalsRowDxfId="939"/>
    <tableColumn id="11" xr3:uid="{5431B15D-3C09-4900-81F1-CFBACB1EC923}" name="RINGI" dataDxfId="938" totalsRowDxfId="937"/>
    <tableColumn id="23" xr3:uid="{3C7D758B-ADC0-4A09-95C1-84139EC83DDD}" name="Approve number" dataDxfId="936" totalsRowDxfId="935"/>
    <tableColumn id="4" xr3:uid="{93132806-92CE-468A-9D7D-1CB20AC6FC56}" name="TÊN HÀNG" dataDxfId="934" totalsRowDxfId="933"/>
    <tableColumn id="1" xr3:uid="{347DAF7C-3D76-4E66-8934-43E62D2E85B7}" name="Tên tiếng Việt" dataDxfId="932" totalsRowDxfId="931"/>
    <tableColumn id="25" xr3:uid="{15E1B539-00CB-4ABE-8274-09958817C736}" name="MÃ SẢN PHẨM" dataDxfId="930" totalsRowDxfId="929"/>
    <tableColumn id="20" xr3:uid="{34657623-7E89-436E-B624-CA00384E1A2B}" name="NCC" dataDxfId="928" totalsRowDxfId="927"/>
    <tableColumn id="3" xr3:uid="{1E5B7520-D638-4596-A643-70548CB791E6}" name="Product_x000a_ category ID" dataDxfId="926" totalsRowDxfId="925"/>
    <tableColumn id="6" xr3:uid="{D9C42C05-E3D8-458F-B566-DB42461877CF}" name="Stock/ _x000a_non stock" dataDxfId="924" totalsRowDxfId="923"/>
    <tableColumn id="8" xr3:uid="{EBBAF8F4-4FB7-4C93-8299-B8B05815605D}" name="Quality" dataDxfId="922" totalsRowDxfId="921"/>
    <tableColumn id="24" xr3:uid="{2A360F79-3885-4B10-B3EC-D39D26625091}" name="ĐƠN VỊ" dataDxfId="920" totalsRowDxfId="919"/>
    <tableColumn id="26" xr3:uid="{587AD898-875E-499D-9873-6CBEEF9BBC55}" name="ĐƠN VỊ _x000a_TIỀN TỆ" dataDxfId="918" totalsRowDxfId="917"/>
    <tableColumn id="12" xr3:uid="{9E901DA7-5E9E-4152-B231-65869E2E6FCF}" name="ĐƠN GIÁ" dataDxfId="916" totalsRowDxfId="915"/>
    <tableColumn id="22" xr3:uid="{CF1CF5CE-57AF-465B-A4A1-4C34B6921921}" name="TỔNG TIỀN" dataDxfId="914" totalsRowDxfId="913">
      <calculatedColumnFormula>Table13[[#This Row],[ĐƠN GIÁ]]*Table13[[#This Row],[Quality]]</calculatedColumnFormula>
    </tableColumn>
    <tableColumn id="10" xr3:uid="{40CE111B-D48A-411B-921D-216B7CF179B6}" name="Order day" dataDxfId="912" totalsRowDxfId="911"/>
    <tableColumn id="9" xr3:uid="{35E1AA12-9917-478E-BAAC-725FC6A45569}" name="Deliery" dataDxfId="910" totalsRowDxfId="909"/>
    <tableColumn id="18" xr3:uid="{907C0662-E4DE-4936-839B-79AFB9ADC82B}" name="TO SMC" dataDxfId="908" totalsRowDxfId="907"/>
    <tableColumn id="14" xr3:uid="{61B141E4-8945-4FCF-88D6-6B1E08F4C092}" name="phụ trách" dataDxfId="906" totalsRowDxfId="905"/>
    <tableColumn id="5" xr3:uid="{38FE35BD-7683-4155-ADAD-D627D4CCD224}" name="Requester" dataDxfId="904" totalsRowDxfId="903"/>
    <tableColumn id="19" xr3:uid="{CD895460-7A8D-4AA9-891E-EE45E6B55F2F}" name="Note" dataDxfId="902" totalsRowDxfId="9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410955-720A-4E25-A6B8-798E07D704D0}" name="Table15" displayName="Table15" ref="A4:Y98" totalsRowShown="0" dataDxfId="900">
  <tableColumns count="25">
    <tableColumn id="2" xr3:uid="{70568898-7901-49E8-9DB0-6B66499E7A13}" name="PO No." dataDxfId="899" totalsRowDxfId="898"/>
    <tableColumn id="13" xr3:uid="{7320E47E-8756-4AAD-B0CC-D2EB755F05C8}" name="NHẬP KHO_x000a_Imprort Wharehouse" dataDxfId="897" totalsRowDxfId="896"/>
    <tableColumn id="1" xr3:uid="{B0385A5D-6192-4844-B8CD-FDDCBDAEDB4E}" name="PR_x000a_SAP" dataDxfId="895" totalsRowDxfId="894"/>
    <tableColumn id="17" xr3:uid="{4AB834E9-A9EF-46BB-960D-B202BE99A6DE}" name="Shoping cart" dataDxfId="893"/>
    <tableColumn id="16" xr3:uid="{3D8938B3-030A-48F4-814B-B0C05515CD9B}" name="PO_x000a_Shopping cart" dataDxfId="892" totalsRowDxfId="891"/>
    <tableColumn id="11" xr3:uid="{CAAAB14D-1F09-468E-98C8-9F1D19955608}" name="Ringi No." dataDxfId="890" totalsRowDxfId="889"/>
    <tableColumn id="23" xr3:uid="{29C9BE9A-B221-4B00-A6BA-AD4F661D5AD2}" name="Approved No." dataDxfId="888" totalsRowDxfId="887"/>
    <tableColumn id="4" xr3:uid="{E1AB3700-86B8-4B7F-80B7-6FB4E27E4B88}" name="Tên tiếng Anh_x000a_Product EN Name" dataDxfId="886" totalsRowDxfId="885"/>
    <tableColumn id="7" xr3:uid="{8BA21599-9AC3-4916-948E-22903A63693E}" name="Tên tiếng Việt_x000a_Product Vie Name" dataDxfId="884" totalsRowDxfId="883"/>
    <tableColumn id="25" xr3:uid="{FC61DC99-7627-428E-B3B8-7D885261A71E}" name="Mã sản phẩm_x000a_Product ID" dataDxfId="882" totalsRowDxfId="881"/>
    <tableColumn id="15" xr3:uid="{A4459A62-3D1E-4B82-9FC1-DB280F205F9E}" name="Maker" dataDxfId="880" totalsRowDxfId="879"/>
    <tableColumn id="20" xr3:uid="{0CD354ED-9697-44A1-9C76-6B673A844C74}" name="Nhà cung cấp_x000a_Supplier" dataDxfId="878" totalsRowDxfId="877"/>
    <tableColumn id="3" xr3:uid="{99C44896-7DE5-4634-856F-FDBAEC49373D}" name="Product_x000a_ Category ID" dataDxfId="876" totalsRowDxfId="875"/>
    <tableColumn id="6" xr3:uid="{0CEA646A-D6C6-44A2-A536-F1358639E9A1}" name="Stock/ _x000a_Non-Stock" dataDxfId="874" totalsRowDxfId="873"/>
    <tableColumn id="8" xr3:uid="{D6169994-3F08-45A4-B160-6B8DD5990105}" name="Số lượng_x000a_Quantity" dataDxfId="872" totalsRowDxfId="871"/>
    <tableColumn id="24" xr3:uid="{0D2457C1-1414-4020-9D44-DC9F8DBF4843}" name="Đơn vị_x000a_Units" dataDxfId="870" totalsRowDxfId="869"/>
    <tableColumn id="26" xr3:uid="{25FADDB0-C970-4F48-B0E3-02B027A84054}" name="Đơn vị tiền tệ_x000a_Currency Unit" dataDxfId="868" totalsRowDxfId="867"/>
    <tableColumn id="12" xr3:uid="{F89A6E8F-C1BC-48DF-9B6E-B32958C2A95C}" name="Đơn giá_x000a_Unit Price" dataDxfId="866" totalsRowDxfId="865"/>
    <tableColumn id="22" xr3:uid="{712D957F-051E-44C2-B1F6-A83748D32251}" name="Tổng tiền_x000a_Total" dataDxfId="864" totalsRowDxfId="863">
      <calculatedColumnFormula>Product_Name[[#This Row],[Đơn giá
Unit Price]]*Product_Name[[#This Row],[Số lượng
Quantity]]</calculatedColumnFormula>
    </tableColumn>
    <tableColumn id="10" xr3:uid="{85C8E11A-879A-4E0B-8504-DB256D75D26D}" name="Ngày đặt hàng_x000a_Order date" dataDxfId="862" totalsRowDxfId="861"/>
    <tableColumn id="9" xr3:uid="{2B04401F-BB38-48CD-ACA1-FAB1943E5BCE}" name="Ngày giao_x000a_Deliery date" dataDxfId="860" totalsRowDxfId="859"/>
    <tableColumn id="18" xr3:uid="{C800522B-73FA-4CC2-ADF1-8B2BD1661199}" name="Ngày đến SMC_x000a_To SMC date" dataDxfId="858" totalsRowDxfId="857"/>
    <tableColumn id="14" xr3:uid="{D227140B-8C1F-4525-9EA9-1E732394E5A9}" name="Người phụ trách_x000a_Person incharge" dataDxfId="856" totalsRowDxfId="855"/>
    <tableColumn id="5" xr3:uid="{25C98BCC-2669-40B1-AA49-8D22E0A3A96D}" name="Người yêu cầu_x000a_Requester" dataDxfId="854" totalsRowDxfId="853"/>
    <tableColumn id="19" xr3:uid="{78166770-327B-4F7B-B038-7A5A13325D7B}" name="Ngày YCBG_x000a_Quotation Request Date" dataDxfId="852" totalsRowDxfId="8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46646-A588-499D-B281-15B27737C443}">
  <sheetPr codeName="Sheet1">
    <tabColor rgb="FFFFFF00"/>
  </sheetPr>
  <dimension ref="A1:AC913"/>
  <sheetViews>
    <sheetView tabSelected="1" zoomScale="55" zoomScaleNormal="55" zoomScaleSheetLayoutView="55" workbookViewId="0">
      <pane xSplit="8" ySplit="4" topLeftCell="Q897" activePane="bottomRight" state="frozen"/>
      <selection pane="topRight" activeCell="I1" sqref="I1"/>
      <selection pane="bottomLeft" activeCell="A5" sqref="A5"/>
      <selection pane="bottomRight" activeCell="U910" sqref="U910"/>
    </sheetView>
  </sheetViews>
  <sheetFormatPr defaultColWidth="9.1796875" defaultRowHeight="14.5" x14ac:dyDescent="0.35"/>
  <cols>
    <col min="1" max="1" width="12.54296875" style="2" customWidth="1"/>
    <col min="2" max="2" width="29.7265625" style="109" bestFit="1" customWidth="1"/>
    <col min="3" max="3" width="14.81640625" style="2" bestFit="1" customWidth="1"/>
    <col min="4" max="4" width="17.26953125" style="133" bestFit="1" customWidth="1"/>
    <col min="5" max="5" width="18.453125" style="133" bestFit="1" customWidth="1"/>
    <col min="6" max="6" width="15.54296875" style="2" bestFit="1" customWidth="1"/>
    <col min="7" max="7" width="25.7265625" style="2" bestFit="1" customWidth="1"/>
    <col min="8" max="8" width="55.54296875" style="2" bestFit="1" customWidth="1"/>
    <col min="9" max="9" width="73.26953125" style="109" bestFit="1" customWidth="1"/>
    <col min="10" max="10" width="36.81640625" style="2" customWidth="1"/>
    <col min="11" max="11" width="24.54296875" style="18" customWidth="1"/>
    <col min="12" max="12" width="28.54296875" style="18" customWidth="1"/>
    <col min="13" max="13" width="42.81640625" style="18" customWidth="1"/>
    <col min="14" max="14" width="18.7265625" style="2" customWidth="1"/>
    <col min="15" max="15" width="15.453125" style="18" customWidth="1"/>
    <col min="16" max="16" width="12.453125" style="2" customWidth="1"/>
    <col min="17" max="17" width="14" style="18" bestFit="1" customWidth="1"/>
    <col min="18" max="18" width="21.7265625" style="18" bestFit="1" customWidth="1"/>
    <col min="19" max="19" width="16.54296875" style="18" bestFit="1" customWidth="1"/>
    <col min="20" max="20" width="18.453125" style="138" bestFit="1" customWidth="1"/>
    <col min="21" max="21" width="13.81640625" style="144" bestFit="1" customWidth="1"/>
    <col min="22" max="22" width="21.54296875" style="201" bestFit="1" customWidth="1"/>
    <col min="23" max="23" width="37.90625" style="18" bestFit="1" customWidth="1"/>
    <col min="24" max="24" width="21.7265625" style="18" bestFit="1" customWidth="1"/>
    <col min="25" max="25" width="34.453125" style="190" customWidth="1"/>
    <col min="26" max="26" width="59.1796875" style="18" bestFit="1" customWidth="1"/>
    <col min="27" max="27" width="41.81640625" style="18" bestFit="1" customWidth="1"/>
    <col min="28" max="28" width="47.08984375" style="193" bestFit="1" customWidth="1"/>
    <col min="29" max="16384" width="9.1796875" style="18"/>
  </cols>
  <sheetData>
    <row r="1" spans="1:29" ht="31" x14ac:dyDescent="0.35">
      <c r="A1" s="165" t="s">
        <v>1795</v>
      </c>
      <c r="G1" s="192" t="s">
        <v>2026</v>
      </c>
      <c r="H1" s="22"/>
      <c r="J1" s="189"/>
    </row>
    <row r="2" spans="1:29" x14ac:dyDescent="0.35">
      <c r="A2">
        <v>1</v>
      </c>
      <c r="B2" s="108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 s="20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</row>
    <row r="3" spans="1:29" x14ac:dyDescent="0.35">
      <c r="A3"/>
      <c r="Z3" s="18" t="s">
        <v>1926</v>
      </c>
    </row>
    <row r="4" spans="1:29" s="36" customFormat="1" ht="46.5" customHeight="1" x14ac:dyDescent="0.35">
      <c r="A4" s="173" t="s">
        <v>1904</v>
      </c>
      <c r="B4" s="208" t="s">
        <v>1903</v>
      </c>
      <c r="C4" s="5" t="s">
        <v>15</v>
      </c>
      <c r="D4" s="174" t="s">
        <v>1111</v>
      </c>
      <c r="E4" s="174" t="s">
        <v>1906</v>
      </c>
      <c r="F4" s="4" t="s">
        <v>1911</v>
      </c>
      <c r="G4" s="4" t="s">
        <v>1912</v>
      </c>
      <c r="H4" s="5" t="s">
        <v>1928</v>
      </c>
      <c r="I4" s="5" t="s">
        <v>1900</v>
      </c>
      <c r="J4" s="5" t="s">
        <v>1913</v>
      </c>
      <c r="K4" s="5" t="s">
        <v>1154</v>
      </c>
      <c r="L4" s="5" t="s">
        <v>1901</v>
      </c>
      <c r="M4" s="5" t="s">
        <v>1914</v>
      </c>
      <c r="N4" s="5" t="s">
        <v>1429</v>
      </c>
      <c r="O4" s="5" t="s">
        <v>1915</v>
      </c>
      <c r="P4" s="5" t="s">
        <v>1902</v>
      </c>
      <c r="Q4" s="5" t="s">
        <v>1916</v>
      </c>
      <c r="R4" s="5" t="s">
        <v>1917</v>
      </c>
      <c r="S4" s="5" t="s">
        <v>1918</v>
      </c>
      <c r="T4" s="184" t="s">
        <v>1919</v>
      </c>
      <c r="U4" s="183" t="s">
        <v>1920</v>
      </c>
      <c r="V4" s="184" t="s">
        <v>1921</v>
      </c>
      <c r="W4" s="5" t="s">
        <v>1922</v>
      </c>
      <c r="X4" s="5" t="s">
        <v>1923</v>
      </c>
      <c r="Y4" s="186" t="s">
        <v>1924</v>
      </c>
      <c r="Z4" s="191" t="s">
        <v>1925</v>
      </c>
      <c r="AA4" s="191" t="s">
        <v>1927</v>
      </c>
      <c r="AB4" s="186" t="s">
        <v>2048</v>
      </c>
      <c r="AC4" s="294" t="s">
        <v>2270</v>
      </c>
    </row>
    <row r="5" spans="1:29" ht="15.5" x14ac:dyDescent="0.35">
      <c r="A5" s="213">
        <v>1459</v>
      </c>
      <c r="B5" s="223" t="s">
        <v>2742</v>
      </c>
      <c r="C5" s="213">
        <v>1495</v>
      </c>
      <c r="D5" s="215"/>
      <c r="E5" s="215"/>
      <c r="F5" s="213" t="s">
        <v>24</v>
      </c>
      <c r="G5" s="213" t="s">
        <v>23</v>
      </c>
      <c r="H5" s="224" t="s">
        <v>828</v>
      </c>
      <c r="I5" s="225" t="s">
        <v>829</v>
      </c>
      <c r="J5" s="213" t="s">
        <v>827</v>
      </c>
      <c r="K5" s="211"/>
      <c r="L5" s="211" t="s">
        <v>162</v>
      </c>
      <c r="M5" s="211" t="s">
        <v>124</v>
      </c>
      <c r="N5" s="211" t="s">
        <v>14</v>
      </c>
      <c r="O5" s="213">
        <v>800</v>
      </c>
      <c r="P5" s="213" t="s">
        <v>37</v>
      </c>
      <c r="Q5" s="213" t="s">
        <v>108</v>
      </c>
      <c r="R5" s="226">
        <v>32000</v>
      </c>
      <c r="S5" s="226">
        <f>Product_Name[[#This Row],[Đơn giá
Unit Price]]*Product_Name[[#This Row],[Số lượng
Quantity]]</f>
        <v>25600000</v>
      </c>
      <c r="T5" s="219">
        <v>43978</v>
      </c>
      <c r="U5" s="220">
        <v>43992</v>
      </c>
      <c r="V5" s="221">
        <v>43989</v>
      </c>
      <c r="W5" s="211" t="s">
        <v>21</v>
      </c>
      <c r="X5" s="211" t="s">
        <v>16</v>
      </c>
      <c r="Y5" s="220"/>
      <c r="Z5" s="216"/>
      <c r="AA5" s="216"/>
      <c r="AB5" s="227"/>
      <c r="AC5" s="295"/>
    </row>
    <row r="6" spans="1:29" ht="15.5" x14ac:dyDescent="0.35">
      <c r="A6" s="211">
        <v>1521</v>
      </c>
      <c r="B6" s="214" t="s">
        <v>57</v>
      </c>
      <c r="C6" s="211">
        <v>1601</v>
      </c>
      <c r="D6" s="215"/>
      <c r="E6" s="215"/>
      <c r="F6" s="211"/>
      <c r="G6" s="211"/>
      <c r="H6" s="224" t="s">
        <v>19</v>
      </c>
      <c r="I6" s="225"/>
      <c r="J6" s="213"/>
      <c r="K6" s="211"/>
      <c r="L6" s="211" t="s">
        <v>13</v>
      </c>
      <c r="M6" s="211"/>
      <c r="N6" s="211" t="s">
        <v>14</v>
      </c>
      <c r="O6" s="213">
        <v>100</v>
      </c>
      <c r="P6" s="213" t="s">
        <v>37</v>
      </c>
      <c r="Q6" s="213"/>
      <c r="R6" s="226">
        <v>36500</v>
      </c>
      <c r="S6" s="226">
        <f>Product_Name[[#This Row],[Đơn giá
Unit Price]]*Product_Name[[#This Row],[Số lượng
Quantity]]</f>
        <v>3650000</v>
      </c>
      <c r="T6" s="219">
        <v>43998</v>
      </c>
      <c r="U6" s="220">
        <v>44028</v>
      </c>
      <c r="V6" s="221">
        <v>44028</v>
      </c>
      <c r="W6" s="211" t="s">
        <v>21</v>
      </c>
      <c r="X6" s="211" t="s">
        <v>16</v>
      </c>
      <c r="Y6" s="220"/>
      <c r="Z6" s="216"/>
      <c r="AA6" s="216"/>
      <c r="AB6" s="227"/>
      <c r="AC6" s="295"/>
    </row>
    <row r="7" spans="1:29" ht="15.5" x14ac:dyDescent="0.35">
      <c r="A7" s="211">
        <v>1521</v>
      </c>
      <c r="B7" s="214" t="s">
        <v>57</v>
      </c>
      <c r="C7" s="211">
        <v>1601</v>
      </c>
      <c r="D7" s="215"/>
      <c r="E7" s="215"/>
      <c r="F7" s="211"/>
      <c r="G7" s="211"/>
      <c r="H7" s="216" t="s">
        <v>20</v>
      </c>
      <c r="I7" s="217"/>
      <c r="J7" s="211"/>
      <c r="K7" s="211"/>
      <c r="L7" s="211" t="s">
        <v>13</v>
      </c>
      <c r="M7" s="211"/>
      <c r="N7" s="211" t="s">
        <v>14</v>
      </c>
      <c r="O7" s="213">
        <v>100</v>
      </c>
      <c r="P7" s="213" t="s">
        <v>37</v>
      </c>
      <c r="Q7" s="213"/>
      <c r="R7" s="218">
        <v>38500</v>
      </c>
      <c r="S7" s="226">
        <f>Product_Name[[#This Row],[Đơn giá
Unit Price]]*Product_Name[[#This Row],[Số lượng
Quantity]]</f>
        <v>3850000</v>
      </c>
      <c r="T7" s="219">
        <v>43998</v>
      </c>
      <c r="U7" s="220">
        <v>44028</v>
      </c>
      <c r="V7" s="221">
        <v>44028</v>
      </c>
      <c r="W7" s="211" t="s">
        <v>21</v>
      </c>
      <c r="X7" s="211" t="s">
        <v>16</v>
      </c>
      <c r="Y7" s="220"/>
      <c r="Z7" s="216"/>
      <c r="AA7" s="216"/>
      <c r="AB7" s="227"/>
      <c r="AC7" s="295"/>
    </row>
    <row r="8" spans="1:29" ht="15.5" x14ac:dyDescent="0.35">
      <c r="A8" s="211">
        <v>1333</v>
      </c>
      <c r="B8" s="214" t="s">
        <v>59</v>
      </c>
      <c r="C8" s="211"/>
      <c r="D8" s="215"/>
      <c r="E8" s="215"/>
      <c r="F8" s="211"/>
      <c r="G8" s="211"/>
      <c r="H8" s="216" t="s">
        <v>58</v>
      </c>
      <c r="I8" s="217"/>
      <c r="J8" s="228" t="s">
        <v>1599</v>
      </c>
      <c r="K8" s="211" t="s">
        <v>176</v>
      </c>
      <c r="L8" s="211" t="s">
        <v>176</v>
      </c>
      <c r="M8" s="211" t="s">
        <v>124</v>
      </c>
      <c r="N8" s="211" t="s">
        <v>14</v>
      </c>
      <c r="O8" s="213">
        <v>10</v>
      </c>
      <c r="P8" s="213" t="s">
        <v>37</v>
      </c>
      <c r="Q8" s="213" t="s">
        <v>108</v>
      </c>
      <c r="R8" s="218">
        <v>9075000</v>
      </c>
      <c r="S8" s="226">
        <f>Product_Name[[#This Row],[Đơn giá
Unit Price]]*Product_Name[[#This Row],[Số lượng
Quantity]]</f>
        <v>90750000</v>
      </c>
      <c r="T8" s="219"/>
      <c r="U8" s="220">
        <v>44028</v>
      </c>
      <c r="V8" s="221">
        <v>44028</v>
      </c>
      <c r="W8" s="211" t="s">
        <v>21</v>
      </c>
      <c r="X8" s="211" t="s">
        <v>16</v>
      </c>
      <c r="Y8" s="220"/>
      <c r="Z8" s="216"/>
      <c r="AA8" s="216"/>
      <c r="AB8" s="227"/>
      <c r="AC8" s="295"/>
    </row>
    <row r="9" spans="1:29" ht="15.5" x14ac:dyDescent="0.35">
      <c r="A9" s="211">
        <v>1054</v>
      </c>
      <c r="B9" s="214" t="s">
        <v>2739</v>
      </c>
      <c r="C9" s="211">
        <v>1647</v>
      </c>
      <c r="D9" s="215"/>
      <c r="E9" s="215"/>
      <c r="F9" s="211"/>
      <c r="G9" s="211"/>
      <c r="H9" s="216" t="s">
        <v>49</v>
      </c>
      <c r="I9" s="217"/>
      <c r="J9" s="211"/>
      <c r="K9" s="211" t="s">
        <v>1153</v>
      </c>
      <c r="L9" s="211" t="s">
        <v>1153</v>
      </c>
      <c r="M9" s="211" t="s">
        <v>123</v>
      </c>
      <c r="N9" s="211" t="s">
        <v>14</v>
      </c>
      <c r="O9" s="211">
        <v>5</v>
      </c>
      <c r="P9" s="213" t="s">
        <v>37</v>
      </c>
      <c r="Q9" s="213" t="s">
        <v>108</v>
      </c>
      <c r="R9" s="218">
        <v>5000000</v>
      </c>
      <c r="S9" s="218">
        <f>Product_Name[[#This Row],[Đơn giá
Unit Price]]*Product_Name[[#This Row],[Số lượng
Quantity]]</f>
        <v>25000000</v>
      </c>
      <c r="T9" s="219">
        <v>43897</v>
      </c>
      <c r="U9" s="220">
        <v>44039</v>
      </c>
      <c r="V9" s="221" t="s">
        <v>110</v>
      </c>
      <c r="W9" s="211" t="s">
        <v>21</v>
      </c>
      <c r="X9" s="211" t="s">
        <v>16</v>
      </c>
      <c r="Y9" s="220"/>
      <c r="Z9" s="216"/>
      <c r="AA9" s="216"/>
      <c r="AB9" s="227"/>
      <c r="AC9" s="295"/>
    </row>
    <row r="10" spans="1:29" ht="15.5" x14ac:dyDescent="0.35">
      <c r="A10" s="211"/>
      <c r="B10" s="214"/>
      <c r="C10" s="211"/>
      <c r="D10" s="215"/>
      <c r="E10" s="215"/>
      <c r="F10" s="211" t="s">
        <v>25</v>
      </c>
      <c r="G10" s="211" t="s">
        <v>26</v>
      </c>
      <c r="H10" s="216" t="s">
        <v>27</v>
      </c>
      <c r="I10" s="217"/>
      <c r="J10" s="211"/>
      <c r="K10" s="211"/>
      <c r="L10" s="211" t="s">
        <v>30</v>
      </c>
      <c r="M10" s="211"/>
      <c r="N10" s="211"/>
      <c r="O10" s="211">
        <v>2</v>
      </c>
      <c r="P10" s="213" t="s">
        <v>48</v>
      </c>
      <c r="Q10" s="213"/>
      <c r="R10" s="218">
        <v>1413.42</v>
      </c>
      <c r="S10" s="218">
        <f>Product_Name[[#This Row],[Đơn giá
Unit Price]]*Product_Name[[#This Row],[Số lượng
Quantity]]</f>
        <v>2826.84</v>
      </c>
      <c r="T10" s="219">
        <v>44032</v>
      </c>
      <c r="U10" s="220">
        <v>43898</v>
      </c>
      <c r="V10" s="221" t="s">
        <v>110</v>
      </c>
      <c r="W10" s="211" t="s">
        <v>2813</v>
      </c>
      <c r="X10" s="211" t="s">
        <v>16</v>
      </c>
      <c r="Y10" s="220"/>
      <c r="Z10" s="216"/>
      <c r="AA10" s="216"/>
      <c r="AB10" s="227"/>
      <c r="AC10" s="295"/>
    </row>
    <row r="11" spans="1:29" ht="15.5" x14ac:dyDescent="0.35">
      <c r="A11" s="211"/>
      <c r="B11" s="214"/>
      <c r="C11" s="211"/>
      <c r="D11" s="215"/>
      <c r="E11" s="215"/>
      <c r="F11" s="211" t="s">
        <v>25</v>
      </c>
      <c r="G11" s="211" t="s">
        <v>26</v>
      </c>
      <c r="H11" s="216" t="s">
        <v>28</v>
      </c>
      <c r="I11" s="217"/>
      <c r="J11" s="211"/>
      <c r="K11" s="211"/>
      <c r="L11" s="211" t="s">
        <v>30</v>
      </c>
      <c r="M11" s="211"/>
      <c r="N11" s="211"/>
      <c r="O11" s="211">
        <v>1</v>
      </c>
      <c r="P11" s="213" t="s">
        <v>50</v>
      </c>
      <c r="Q11" s="213"/>
      <c r="R11" s="218">
        <v>58</v>
      </c>
      <c r="S11" s="218">
        <f>Product_Name[[#This Row],[Đơn giá
Unit Price]]*Product_Name[[#This Row],[Số lượng
Quantity]]</f>
        <v>58</v>
      </c>
      <c r="T11" s="219">
        <v>44032</v>
      </c>
      <c r="U11" s="220">
        <v>43898</v>
      </c>
      <c r="V11" s="221" t="s">
        <v>110</v>
      </c>
      <c r="W11" s="211" t="s">
        <v>2813</v>
      </c>
      <c r="X11" s="211" t="s">
        <v>16</v>
      </c>
      <c r="Y11" s="220"/>
      <c r="Z11" s="216"/>
      <c r="AA11" s="216"/>
      <c r="AB11" s="227"/>
      <c r="AC11" s="295"/>
    </row>
    <row r="12" spans="1:29" ht="15.5" x14ac:dyDescent="0.35">
      <c r="A12" s="211"/>
      <c r="B12" s="214"/>
      <c r="C12" s="211"/>
      <c r="D12" s="215"/>
      <c r="E12" s="215"/>
      <c r="F12" s="211" t="s">
        <v>25</v>
      </c>
      <c r="G12" s="211" t="s">
        <v>26</v>
      </c>
      <c r="H12" s="216" t="s">
        <v>29</v>
      </c>
      <c r="I12" s="217"/>
      <c r="J12" s="211"/>
      <c r="K12" s="211"/>
      <c r="L12" s="211" t="s">
        <v>30</v>
      </c>
      <c r="M12" s="211"/>
      <c r="N12" s="211"/>
      <c r="O12" s="211">
        <v>1</v>
      </c>
      <c r="P12" s="213" t="s">
        <v>37</v>
      </c>
      <c r="Q12" s="213"/>
      <c r="R12" s="218">
        <v>30.97</v>
      </c>
      <c r="S12" s="218">
        <f>Product_Name[[#This Row],[Đơn giá
Unit Price]]*Product_Name[[#This Row],[Số lượng
Quantity]]</f>
        <v>30.97</v>
      </c>
      <c r="T12" s="219">
        <v>44032</v>
      </c>
      <c r="U12" s="220">
        <v>43898</v>
      </c>
      <c r="V12" s="221" t="s">
        <v>110</v>
      </c>
      <c r="W12" s="211" t="s">
        <v>2813</v>
      </c>
      <c r="X12" s="211" t="s">
        <v>16</v>
      </c>
      <c r="Y12" s="220"/>
      <c r="Z12" s="216"/>
      <c r="AA12" s="216"/>
      <c r="AB12" s="227"/>
      <c r="AC12" s="295"/>
    </row>
    <row r="13" spans="1:29" ht="15.5" x14ac:dyDescent="0.35">
      <c r="A13" s="211"/>
      <c r="B13" s="214"/>
      <c r="C13" s="211"/>
      <c r="D13" s="215"/>
      <c r="E13" s="215"/>
      <c r="F13" s="211" t="s">
        <v>33</v>
      </c>
      <c r="G13" s="211" t="s">
        <v>32</v>
      </c>
      <c r="H13" s="216" t="s">
        <v>34</v>
      </c>
      <c r="I13" s="217"/>
      <c r="J13" s="211"/>
      <c r="K13" s="211"/>
      <c r="L13" s="211" t="s">
        <v>35</v>
      </c>
      <c r="M13" s="211"/>
      <c r="N13" s="211"/>
      <c r="O13" s="211">
        <v>60</v>
      </c>
      <c r="P13" s="213" t="s">
        <v>37</v>
      </c>
      <c r="Q13" s="213"/>
      <c r="R13" s="218">
        <v>415.29</v>
      </c>
      <c r="S13" s="218">
        <f>Product_Name[[#This Row],[Đơn giá
Unit Price]]*Product_Name[[#This Row],[Số lượng
Quantity]]</f>
        <v>24917.4</v>
      </c>
      <c r="T13" s="219">
        <v>44036</v>
      </c>
      <c r="U13" s="220">
        <v>43930</v>
      </c>
      <c r="V13" s="221" t="s">
        <v>110</v>
      </c>
      <c r="W13" s="211" t="s">
        <v>21</v>
      </c>
      <c r="X13" s="211" t="s">
        <v>16</v>
      </c>
      <c r="Y13" s="220"/>
      <c r="Z13" s="216"/>
      <c r="AA13" s="216"/>
      <c r="AB13" s="227"/>
      <c r="AC13" s="295"/>
    </row>
    <row r="14" spans="1:29" ht="15.5" x14ac:dyDescent="0.35">
      <c r="A14" s="211"/>
      <c r="B14" s="214"/>
      <c r="C14" s="211"/>
      <c r="D14" s="215"/>
      <c r="E14" s="215"/>
      <c r="F14" s="211" t="s">
        <v>38</v>
      </c>
      <c r="G14" s="211" t="s">
        <v>39</v>
      </c>
      <c r="H14" s="216" t="s">
        <v>40</v>
      </c>
      <c r="I14" s="217"/>
      <c r="J14" s="211"/>
      <c r="K14" s="211"/>
      <c r="L14" s="211" t="s">
        <v>35</v>
      </c>
      <c r="M14" s="211"/>
      <c r="N14" s="211"/>
      <c r="O14" s="211">
        <v>1</v>
      </c>
      <c r="P14" s="213" t="s">
        <v>44</v>
      </c>
      <c r="Q14" s="213"/>
      <c r="R14" s="218">
        <v>420379.27</v>
      </c>
      <c r="S14" s="218">
        <f>Product_Name[[#This Row],[Đơn giá
Unit Price]]*Product_Name[[#This Row],[Số lượng
Quantity]]</f>
        <v>420379.27</v>
      </c>
      <c r="T14" s="219">
        <v>44036</v>
      </c>
      <c r="U14" s="220">
        <v>43930</v>
      </c>
      <c r="V14" s="221" t="s">
        <v>110</v>
      </c>
      <c r="W14" s="211" t="s">
        <v>21</v>
      </c>
      <c r="X14" s="211" t="s">
        <v>16</v>
      </c>
      <c r="Y14" s="220"/>
      <c r="Z14" s="216"/>
      <c r="AA14" s="216"/>
      <c r="AB14" s="227"/>
      <c r="AC14" s="295"/>
    </row>
    <row r="15" spans="1:29" ht="15.5" x14ac:dyDescent="0.35">
      <c r="A15" s="211"/>
      <c r="B15" s="214"/>
      <c r="C15" s="211"/>
      <c r="D15" s="215"/>
      <c r="E15" s="215"/>
      <c r="F15" s="211" t="s">
        <v>38</v>
      </c>
      <c r="G15" s="211" t="s">
        <v>39</v>
      </c>
      <c r="H15" s="216" t="s">
        <v>45</v>
      </c>
      <c r="I15" s="217"/>
      <c r="J15" s="211"/>
      <c r="K15" s="211"/>
      <c r="L15" s="211" t="s">
        <v>35</v>
      </c>
      <c r="M15" s="211"/>
      <c r="N15" s="211"/>
      <c r="O15" s="211">
        <v>1</v>
      </c>
      <c r="P15" s="213" t="s">
        <v>44</v>
      </c>
      <c r="Q15" s="213"/>
      <c r="R15" s="218">
        <v>211479.14</v>
      </c>
      <c r="S15" s="218">
        <f>Product_Name[[#This Row],[Đơn giá
Unit Price]]*Product_Name[[#This Row],[Số lượng
Quantity]]</f>
        <v>211479.14</v>
      </c>
      <c r="T15" s="219">
        <v>44036</v>
      </c>
      <c r="U15" s="220">
        <v>43930</v>
      </c>
      <c r="V15" s="221" t="s">
        <v>110</v>
      </c>
      <c r="W15" s="211" t="s">
        <v>21</v>
      </c>
      <c r="X15" s="211" t="s">
        <v>16</v>
      </c>
      <c r="Y15" s="220"/>
      <c r="Z15" s="216"/>
      <c r="AA15" s="216"/>
      <c r="AB15" s="227"/>
      <c r="AC15" s="295"/>
    </row>
    <row r="16" spans="1:29" ht="15.5" x14ac:dyDescent="0.35">
      <c r="A16" s="211"/>
      <c r="B16" s="214"/>
      <c r="C16" s="211"/>
      <c r="D16" s="215">
        <v>534</v>
      </c>
      <c r="E16" s="215"/>
      <c r="F16" s="211" t="s">
        <v>38</v>
      </c>
      <c r="G16" s="211" t="s">
        <v>39</v>
      </c>
      <c r="H16" s="216" t="s">
        <v>41</v>
      </c>
      <c r="I16" s="217"/>
      <c r="J16" s="211"/>
      <c r="K16" s="211"/>
      <c r="L16" s="211" t="s">
        <v>35</v>
      </c>
      <c r="M16" s="211"/>
      <c r="N16" s="211"/>
      <c r="O16" s="211">
        <v>2</v>
      </c>
      <c r="P16" s="213" t="s">
        <v>44</v>
      </c>
      <c r="Q16" s="213"/>
      <c r="R16" s="218">
        <v>62844.12</v>
      </c>
      <c r="S16" s="218">
        <f>Product_Name[[#This Row],[Đơn giá
Unit Price]]*Product_Name[[#This Row],[Số lượng
Quantity]]</f>
        <v>125688.24</v>
      </c>
      <c r="T16" s="219">
        <v>44036</v>
      </c>
      <c r="U16" s="220">
        <v>43930</v>
      </c>
      <c r="V16" s="221" t="s">
        <v>110</v>
      </c>
      <c r="W16" s="211" t="s">
        <v>21</v>
      </c>
      <c r="X16" s="211" t="s">
        <v>16</v>
      </c>
      <c r="Y16" s="220"/>
      <c r="Z16" s="216"/>
      <c r="AA16" s="216"/>
      <c r="AB16" s="227"/>
      <c r="AC16" s="295"/>
    </row>
    <row r="17" spans="1:29" ht="15.5" x14ac:dyDescent="0.35">
      <c r="A17" s="211"/>
      <c r="B17" s="214"/>
      <c r="C17" s="211"/>
      <c r="D17" s="215"/>
      <c r="E17" s="215"/>
      <c r="F17" s="211" t="s">
        <v>38</v>
      </c>
      <c r="G17" s="211" t="s">
        <v>39</v>
      </c>
      <c r="H17" s="216" t="s">
        <v>42</v>
      </c>
      <c r="I17" s="217"/>
      <c r="J17" s="211"/>
      <c r="K17" s="211"/>
      <c r="L17" s="211" t="s">
        <v>35</v>
      </c>
      <c r="M17" s="211"/>
      <c r="N17" s="211"/>
      <c r="O17" s="211">
        <v>1</v>
      </c>
      <c r="P17" s="213" t="s">
        <v>44</v>
      </c>
      <c r="Q17" s="213"/>
      <c r="R17" s="218">
        <v>123715.3</v>
      </c>
      <c r="S17" s="218">
        <f>Product_Name[[#This Row],[Đơn giá
Unit Price]]*Product_Name[[#This Row],[Số lượng
Quantity]]</f>
        <v>123715.3</v>
      </c>
      <c r="T17" s="219">
        <v>44036</v>
      </c>
      <c r="U17" s="220">
        <v>43930</v>
      </c>
      <c r="V17" s="221" t="s">
        <v>110</v>
      </c>
      <c r="W17" s="211" t="s">
        <v>21</v>
      </c>
      <c r="X17" s="211" t="s">
        <v>16</v>
      </c>
      <c r="Y17" s="220"/>
      <c r="Z17" s="216"/>
      <c r="AA17" s="216"/>
      <c r="AB17" s="227"/>
      <c r="AC17" s="295"/>
    </row>
    <row r="18" spans="1:29" ht="15.5" x14ac:dyDescent="0.35">
      <c r="A18" s="211"/>
      <c r="B18" s="214"/>
      <c r="C18" s="211"/>
      <c r="D18" s="215"/>
      <c r="E18" s="215"/>
      <c r="F18" s="211" t="s">
        <v>38</v>
      </c>
      <c r="G18" s="211" t="s">
        <v>39</v>
      </c>
      <c r="H18" s="216" t="s">
        <v>43</v>
      </c>
      <c r="I18" s="217"/>
      <c r="J18" s="211"/>
      <c r="K18" s="211"/>
      <c r="L18" s="211" t="s">
        <v>35</v>
      </c>
      <c r="M18" s="211"/>
      <c r="N18" s="211"/>
      <c r="O18" s="211">
        <v>1</v>
      </c>
      <c r="P18" s="213" t="s">
        <v>44</v>
      </c>
      <c r="Q18" s="213"/>
      <c r="R18" s="218">
        <v>41047.21</v>
      </c>
      <c r="S18" s="218">
        <f>Product_Name[[#This Row],[Đơn giá
Unit Price]]*Product_Name[[#This Row],[Số lượng
Quantity]]</f>
        <v>41047.21</v>
      </c>
      <c r="T18" s="219">
        <v>44036</v>
      </c>
      <c r="U18" s="220">
        <v>43930</v>
      </c>
      <c r="V18" s="221" t="s">
        <v>110</v>
      </c>
      <c r="W18" s="211" t="s">
        <v>21</v>
      </c>
      <c r="X18" s="211" t="s">
        <v>16</v>
      </c>
      <c r="Y18" s="220"/>
      <c r="Z18" s="216"/>
      <c r="AA18" s="216"/>
      <c r="AB18" s="227"/>
      <c r="AC18" s="295"/>
    </row>
    <row r="19" spans="1:29" ht="15.5" x14ac:dyDescent="0.35">
      <c r="A19" s="215"/>
      <c r="B19" s="214" t="s">
        <v>251</v>
      </c>
      <c r="C19" s="215" t="s">
        <v>110</v>
      </c>
      <c r="D19" s="215">
        <v>634</v>
      </c>
      <c r="E19" s="215">
        <v>1744</v>
      </c>
      <c r="F19" s="211" t="s">
        <v>60</v>
      </c>
      <c r="G19" s="211" t="s">
        <v>61</v>
      </c>
      <c r="H19" s="224" t="s">
        <v>62</v>
      </c>
      <c r="I19" s="225"/>
      <c r="J19" s="213"/>
      <c r="K19" s="211" t="s">
        <v>176</v>
      </c>
      <c r="L19" s="211" t="s">
        <v>176</v>
      </c>
      <c r="M19" s="211" t="s">
        <v>63</v>
      </c>
      <c r="N19" s="211"/>
      <c r="O19" s="211">
        <v>1</v>
      </c>
      <c r="P19" s="213" t="s">
        <v>37</v>
      </c>
      <c r="Q19" s="213" t="s">
        <v>108</v>
      </c>
      <c r="R19" s="218">
        <v>73900000</v>
      </c>
      <c r="S19" s="218">
        <f>Product_Name[[#This Row],[Đơn giá
Unit Price]]*Product_Name[[#This Row],[Số lượng
Quantity]]</f>
        <v>73900000</v>
      </c>
      <c r="T19" s="219">
        <v>44042</v>
      </c>
      <c r="U19" s="220">
        <v>44092</v>
      </c>
      <c r="V19" s="221">
        <v>44123</v>
      </c>
      <c r="W19" s="211" t="s">
        <v>21</v>
      </c>
      <c r="X19" s="211" t="s">
        <v>16</v>
      </c>
      <c r="Y19" s="220"/>
      <c r="Z19" s="227" t="s">
        <v>63</v>
      </c>
      <c r="AA19" s="216"/>
      <c r="AB19" s="227"/>
      <c r="AC19" s="295"/>
    </row>
    <row r="20" spans="1:29" ht="15.5" x14ac:dyDescent="0.35">
      <c r="A20" s="215"/>
      <c r="B20" s="214" t="s">
        <v>252</v>
      </c>
      <c r="C20" s="215" t="s">
        <v>110</v>
      </c>
      <c r="D20" s="215">
        <v>664</v>
      </c>
      <c r="E20" s="215">
        <v>1813</v>
      </c>
      <c r="F20" s="211" t="s">
        <v>110</v>
      </c>
      <c r="G20" s="211" t="s">
        <v>110</v>
      </c>
      <c r="H20" s="224" t="s">
        <v>64</v>
      </c>
      <c r="I20" s="225"/>
      <c r="J20" s="213" t="s">
        <v>80</v>
      </c>
      <c r="K20" s="211"/>
      <c r="L20" s="211" t="s">
        <v>99</v>
      </c>
      <c r="M20" s="211" t="s">
        <v>63</v>
      </c>
      <c r="N20" s="211" t="s">
        <v>14</v>
      </c>
      <c r="O20" s="211">
        <v>1</v>
      </c>
      <c r="P20" s="213" t="s">
        <v>104</v>
      </c>
      <c r="Q20" s="213" t="s">
        <v>108</v>
      </c>
      <c r="R20" s="218">
        <v>169000</v>
      </c>
      <c r="S20" s="218">
        <f>Product_Name[[#This Row],[Đơn giá
Unit Price]]*Product_Name[[#This Row],[Số lượng
Quantity]]</f>
        <v>169000</v>
      </c>
      <c r="T20" s="219">
        <v>44064</v>
      </c>
      <c r="U20" s="220">
        <v>44082</v>
      </c>
      <c r="V20" s="221">
        <v>44097</v>
      </c>
      <c r="W20" s="211" t="s">
        <v>2813</v>
      </c>
      <c r="X20" s="211" t="s">
        <v>16</v>
      </c>
      <c r="Y20" s="220"/>
      <c r="Z20" s="227" t="s">
        <v>63</v>
      </c>
      <c r="AA20" s="216"/>
      <c r="AB20" s="227"/>
      <c r="AC20" s="295"/>
    </row>
    <row r="21" spans="1:29" ht="15.5" x14ac:dyDescent="0.35">
      <c r="A21" s="215"/>
      <c r="B21" s="214" t="s">
        <v>252</v>
      </c>
      <c r="C21" s="215" t="s">
        <v>110</v>
      </c>
      <c r="D21" s="215">
        <v>664</v>
      </c>
      <c r="E21" s="215">
        <v>1813</v>
      </c>
      <c r="F21" s="211" t="s">
        <v>110</v>
      </c>
      <c r="G21" s="211" t="s">
        <v>110</v>
      </c>
      <c r="H21" s="224" t="s">
        <v>65</v>
      </c>
      <c r="I21" s="225"/>
      <c r="J21" s="213" t="s">
        <v>81</v>
      </c>
      <c r="K21" s="211"/>
      <c r="L21" s="211" t="s">
        <v>99</v>
      </c>
      <c r="M21" s="211" t="s">
        <v>63</v>
      </c>
      <c r="N21" s="211" t="s">
        <v>14</v>
      </c>
      <c r="O21" s="211">
        <v>1</v>
      </c>
      <c r="P21" s="213" t="s">
        <v>104</v>
      </c>
      <c r="Q21" s="213" t="s">
        <v>108</v>
      </c>
      <c r="R21" s="218">
        <v>72000</v>
      </c>
      <c r="S21" s="218">
        <f>Product_Name[[#This Row],[Đơn giá
Unit Price]]*Product_Name[[#This Row],[Số lượng
Quantity]]</f>
        <v>72000</v>
      </c>
      <c r="T21" s="219">
        <v>44064</v>
      </c>
      <c r="U21" s="220">
        <v>44082</v>
      </c>
      <c r="V21" s="221">
        <v>44097</v>
      </c>
      <c r="W21" s="211" t="s">
        <v>2813</v>
      </c>
      <c r="X21" s="211" t="s">
        <v>16</v>
      </c>
      <c r="Y21" s="220"/>
      <c r="Z21" s="227" t="s">
        <v>63</v>
      </c>
      <c r="AA21" s="216"/>
      <c r="AB21" s="227"/>
      <c r="AC21" s="295"/>
    </row>
    <row r="22" spans="1:29" ht="15.5" x14ac:dyDescent="0.35">
      <c r="A22" s="211">
        <v>1754</v>
      </c>
      <c r="B22" s="214" t="s">
        <v>165</v>
      </c>
      <c r="C22" s="211">
        <v>1819</v>
      </c>
      <c r="D22" s="211" t="s">
        <v>110</v>
      </c>
      <c r="E22" s="211" t="s">
        <v>110</v>
      </c>
      <c r="F22" s="211" t="s">
        <v>110</v>
      </c>
      <c r="G22" s="211" t="s">
        <v>110</v>
      </c>
      <c r="H22" s="224" t="s">
        <v>66</v>
      </c>
      <c r="I22" s="225"/>
      <c r="J22" s="213" t="s">
        <v>82</v>
      </c>
      <c r="K22" s="211"/>
      <c r="L22" s="211" t="s">
        <v>100</v>
      </c>
      <c r="M22" s="211"/>
      <c r="N22" s="211" t="s">
        <v>14</v>
      </c>
      <c r="O22" s="211">
        <v>14</v>
      </c>
      <c r="P22" s="213" t="s">
        <v>105</v>
      </c>
      <c r="Q22" s="213" t="s">
        <v>108</v>
      </c>
      <c r="R22" s="218">
        <v>13410000</v>
      </c>
      <c r="S22" s="218">
        <f>Product_Name[[#This Row],[Đơn giá
Unit Price]]*Product_Name[[#This Row],[Số lượng
Quantity]]</f>
        <v>187740000</v>
      </c>
      <c r="T22" s="219">
        <v>44064</v>
      </c>
      <c r="U22" s="220">
        <v>44096</v>
      </c>
      <c r="V22" s="221">
        <v>44088</v>
      </c>
      <c r="W22" s="211" t="s">
        <v>21</v>
      </c>
      <c r="X22" s="211" t="s">
        <v>16</v>
      </c>
      <c r="Y22" s="220"/>
      <c r="Z22" s="216"/>
      <c r="AA22" s="216"/>
      <c r="AB22" s="227"/>
      <c r="AC22" s="295"/>
    </row>
    <row r="23" spans="1:29" ht="15.5" x14ac:dyDescent="0.35">
      <c r="A23" s="211">
        <v>1754</v>
      </c>
      <c r="B23" s="214" t="s">
        <v>165</v>
      </c>
      <c r="C23" s="211">
        <v>1819</v>
      </c>
      <c r="D23" s="211" t="s">
        <v>110</v>
      </c>
      <c r="E23" s="211" t="s">
        <v>110</v>
      </c>
      <c r="F23" s="211" t="s">
        <v>110</v>
      </c>
      <c r="G23" s="211" t="s">
        <v>110</v>
      </c>
      <c r="H23" s="224" t="s">
        <v>67</v>
      </c>
      <c r="I23" s="225"/>
      <c r="J23" s="213" t="s">
        <v>83</v>
      </c>
      <c r="K23" s="211"/>
      <c r="L23" s="211" t="s">
        <v>100</v>
      </c>
      <c r="M23" s="211"/>
      <c r="N23" s="211" t="s">
        <v>14</v>
      </c>
      <c r="O23" s="211">
        <v>12</v>
      </c>
      <c r="P23" s="213" t="s">
        <v>105</v>
      </c>
      <c r="Q23" s="213" t="s">
        <v>108</v>
      </c>
      <c r="R23" s="218">
        <v>3910000</v>
      </c>
      <c r="S23" s="218">
        <f>Product_Name[[#This Row],[Đơn giá
Unit Price]]*Product_Name[[#This Row],[Số lượng
Quantity]]</f>
        <v>46920000</v>
      </c>
      <c r="T23" s="219">
        <v>44064</v>
      </c>
      <c r="U23" s="220">
        <v>44096</v>
      </c>
      <c r="V23" s="221">
        <v>44088</v>
      </c>
      <c r="W23" s="211" t="s">
        <v>21</v>
      </c>
      <c r="X23" s="211" t="s">
        <v>16</v>
      </c>
      <c r="Y23" s="220"/>
      <c r="Z23" s="216"/>
      <c r="AA23" s="216"/>
      <c r="AB23" s="227"/>
      <c r="AC23" s="295"/>
    </row>
    <row r="24" spans="1:29" ht="15.5" x14ac:dyDescent="0.35">
      <c r="A24" s="211">
        <v>1838</v>
      </c>
      <c r="B24" s="214" t="s">
        <v>163</v>
      </c>
      <c r="C24" s="211">
        <v>1918</v>
      </c>
      <c r="D24" s="211" t="s">
        <v>110</v>
      </c>
      <c r="E24" s="211" t="s">
        <v>110</v>
      </c>
      <c r="F24" s="211" t="s">
        <v>110</v>
      </c>
      <c r="G24" s="211" t="s">
        <v>110</v>
      </c>
      <c r="H24" s="224" t="s">
        <v>70</v>
      </c>
      <c r="I24" s="225"/>
      <c r="J24" s="213" t="s">
        <v>86</v>
      </c>
      <c r="K24" s="211"/>
      <c r="L24" s="211" t="s">
        <v>99</v>
      </c>
      <c r="M24" s="211" t="s">
        <v>123</v>
      </c>
      <c r="N24" s="211" t="s">
        <v>14</v>
      </c>
      <c r="O24" s="211">
        <v>2</v>
      </c>
      <c r="P24" s="213" t="s">
        <v>107</v>
      </c>
      <c r="Q24" s="213" t="s">
        <v>108</v>
      </c>
      <c r="R24" s="218">
        <v>7923000</v>
      </c>
      <c r="S24" s="218">
        <f>Product_Name[[#This Row],[Đơn giá
Unit Price]]*Product_Name[[#This Row],[Số lượng
Quantity]]</f>
        <v>15846000</v>
      </c>
      <c r="T24" s="219">
        <v>44064</v>
      </c>
      <c r="U24" s="220">
        <v>44095</v>
      </c>
      <c r="V24" s="221">
        <v>44105</v>
      </c>
      <c r="W24" s="211" t="s">
        <v>21</v>
      </c>
      <c r="X24" s="211" t="s">
        <v>16</v>
      </c>
      <c r="Y24" s="220"/>
      <c r="Z24" s="216" t="s">
        <v>328</v>
      </c>
      <c r="AA24" s="216"/>
      <c r="AB24" s="227"/>
      <c r="AC24" s="295"/>
    </row>
    <row r="25" spans="1:29" ht="15.5" x14ac:dyDescent="0.35">
      <c r="A25" s="211">
        <v>1838</v>
      </c>
      <c r="B25" s="214" t="s">
        <v>163</v>
      </c>
      <c r="C25" s="211">
        <v>1918</v>
      </c>
      <c r="D25" s="211" t="s">
        <v>110</v>
      </c>
      <c r="E25" s="211" t="s">
        <v>110</v>
      </c>
      <c r="F25" s="211" t="s">
        <v>110</v>
      </c>
      <c r="G25" s="211" t="s">
        <v>110</v>
      </c>
      <c r="H25" s="224" t="s">
        <v>70</v>
      </c>
      <c r="I25" s="225"/>
      <c r="J25" s="213" t="s">
        <v>87</v>
      </c>
      <c r="K25" s="211"/>
      <c r="L25" s="211" t="s">
        <v>99</v>
      </c>
      <c r="M25" s="211" t="s">
        <v>123</v>
      </c>
      <c r="N25" s="211" t="s">
        <v>14</v>
      </c>
      <c r="O25" s="211">
        <v>3</v>
      </c>
      <c r="P25" s="213" t="s">
        <v>107</v>
      </c>
      <c r="Q25" s="213" t="s">
        <v>108</v>
      </c>
      <c r="R25" s="218">
        <v>7734000</v>
      </c>
      <c r="S25" s="218">
        <f>Product_Name[[#This Row],[Đơn giá
Unit Price]]*Product_Name[[#This Row],[Số lượng
Quantity]]</f>
        <v>23202000</v>
      </c>
      <c r="T25" s="219">
        <v>44064</v>
      </c>
      <c r="U25" s="220">
        <v>44095</v>
      </c>
      <c r="V25" s="221">
        <v>44105</v>
      </c>
      <c r="W25" s="211" t="s">
        <v>21</v>
      </c>
      <c r="X25" s="211" t="s">
        <v>16</v>
      </c>
      <c r="Y25" s="220"/>
      <c r="Z25" s="216" t="s">
        <v>328</v>
      </c>
      <c r="AA25" s="216"/>
      <c r="AB25" s="227"/>
      <c r="AC25" s="295"/>
    </row>
    <row r="26" spans="1:29" ht="15.5" x14ac:dyDescent="0.35">
      <c r="A26" s="211">
        <v>1838</v>
      </c>
      <c r="B26" s="214" t="s">
        <v>163</v>
      </c>
      <c r="C26" s="211">
        <v>1918</v>
      </c>
      <c r="D26" s="211" t="s">
        <v>110</v>
      </c>
      <c r="E26" s="211" t="s">
        <v>110</v>
      </c>
      <c r="F26" s="211" t="s">
        <v>110</v>
      </c>
      <c r="G26" s="211" t="s">
        <v>110</v>
      </c>
      <c r="H26" s="224" t="s">
        <v>71</v>
      </c>
      <c r="I26" s="225"/>
      <c r="J26" s="213" t="s">
        <v>88</v>
      </c>
      <c r="K26" s="211"/>
      <c r="L26" s="211" t="s">
        <v>99</v>
      </c>
      <c r="M26" s="211" t="s">
        <v>123</v>
      </c>
      <c r="N26" s="211" t="s">
        <v>14</v>
      </c>
      <c r="O26" s="211">
        <v>8</v>
      </c>
      <c r="P26" s="213" t="s">
        <v>107</v>
      </c>
      <c r="Q26" s="213" t="s">
        <v>108</v>
      </c>
      <c r="R26" s="218">
        <v>807000</v>
      </c>
      <c r="S26" s="218">
        <f>Product_Name[[#This Row],[Đơn giá
Unit Price]]*Product_Name[[#This Row],[Số lượng
Quantity]]</f>
        <v>6456000</v>
      </c>
      <c r="T26" s="219">
        <v>44064</v>
      </c>
      <c r="U26" s="220">
        <v>44095</v>
      </c>
      <c r="V26" s="221">
        <v>44105</v>
      </c>
      <c r="W26" s="211" t="s">
        <v>21</v>
      </c>
      <c r="X26" s="211" t="s">
        <v>16</v>
      </c>
      <c r="Y26" s="220"/>
      <c r="Z26" s="216" t="s">
        <v>328</v>
      </c>
      <c r="AA26" s="216"/>
      <c r="AB26" s="227"/>
      <c r="AC26" s="295"/>
    </row>
    <row r="27" spans="1:29" ht="15.5" x14ac:dyDescent="0.35">
      <c r="A27" s="211">
        <v>1838</v>
      </c>
      <c r="B27" s="214" t="s">
        <v>163</v>
      </c>
      <c r="C27" s="211">
        <v>1918</v>
      </c>
      <c r="D27" s="211" t="s">
        <v>110</v>
      </c>
      <c r="E27" s="211" t="s">
        <v>110</v>
      </c>
      <c r="F27" s="211" t="s">
        <v>110</v>
      </c>
      <c r="G27" s="211" t="s">
        <v>110</v>
      </c>
      <c r="H27" s="224" t="s">
        <v>70</v>
      </c>
      <c r="I27" s="225"/>
      <c r="J27" s="213" t="s">
        <v>89</v>
      </c>
      <c r="K27" s="211"/>
      <c r="L27" s="211" t="s">
        <v>99</v>
      </c>
      <c r="M27" s="211" t="s">
        <v>123</v>
      </c>
      <c r="N27" s="211" t="s">
        <v>14</v>
      </c>
      <c r="O27" s="211">
        <v>10</v>
      </c>
      <c r="P27" s="213" t="s">
        <v>107</v>
      </c>
      <c r="Q27" s="213" t="s">
        <v>108</v>
      </c>
      <c r="R27" s="218">
        <v>2319000</v>
      </c>
      <c r="S27" s="218">
        <f>Product_Name[[#This Row],[Đơn giá
Unit Price]]*Product_Name[[#This Row],[Số lượng
Quantity]]</f>
        <v>23190000</v>
      </c>
      <c r="T27" s="219">
        <v>44064</v>
      </c>
      <c r="U27" s="220">
        <v>44095</v>
      </c>
      <c r="V27" s="221">
        <v>44105</v>
      </c>
      <c r="W27" s="211" t="s">
        <v>21</v>
      </c>
      <c r="X27" s="211" t="s">
        <v>16</v>
      </c>
      <c r="Y27" s="220"/>
      <c r="Z27" s="216" t="s">
        <v>328</v>
      </c>
      <c r="AA27" s="216"/>
      <c r="AB27" s="227"/>
      <c r="AC27" s="295"/>
    </row>
    <row r="28" spans="1:29" ht="15.5" x14ac:dyDescent="0.35">
      <c r="A28" s="211">
        <v>1836</v>
      </c>
      <c r="B28" s="214" t="s">
        <v>2740</v>
      </c>
      <c r="C28" s="211">
        <v>1915</v>
      </c>
      <c r="D28" s="211" t="s">
        <v>110</v>
      </c>
      <c r="E28" s="211" t="s">
        <v>110</v>
      </c>
      <c r="F28" s="211" t="s">
        <v>110</v>
      </c>
      <c r="G28" s="211" t="s">
        <v>110</v>
      </c>
      <c r="H28" s="224" t="s">
        <v>72</v>
      </c>
      <c r="I28" s="225"/>
      <c r="J28" s="213" t="s">
        <v>90</v>
      </c>
      <c r="K28" s="211"/>
      <c r="L28" s="211" t="s">
        <v>99</v>
      </c>
      <c r="M28" s="211" t="s">
        <v>124</v>
      </c>
      <c r="N28" s="211" t="s">
        <v>14</v>
      </c>
      <c r="O28" s="211">
        <v>2</v>
      </c>
      <c r="P28" s="213" t="s">
        <v>37</v>
      </c>
      <c r="Q28" s="213" t="s">
        <v>108</v>
      </c>
      <c r="R28" s="218">
        <v>100000</v>
      </c>
      <c r="S28" s="218">
        <f>Product_Name[[#This Row],[Đơn giá
Unit Price]]*Product_Name[[#This Row],[Số lượng
Quantity]]</f>
        <v>200000</v>
      </c>
      <c r="T28" s="219">
        <v>44064</v>
      </c>
      <c r="U28" s="220">
        <v>44095</v>
      </c>
      <c r="V28" s="221">
        <v>44097</v>
      </c>
      <c r="W28" s="211" t="s">
        <v>21</v>
      </c>
      <c r="X28" s="211" t="s">
        <v>16</v>
      </c>
      <c r="Y28" s="220"/>
      <c r="Z28" s="216"/>
      <c r="AA28" s="216"/>
      <c r="AB28" s="227"/>
      <c r="AC28" s="295"/>
    </row>
    <row r="29" spans="1:29" ht="15.5" x14ac:dyDescent="0.35">
      <c r="A29" s="211">
        <v>1838</v>
      </c>
      <c r="B29" s="214" t="s">
        <v>163</v>
      </c>
      <c r="C29" s="211">
        <v>1918</v>
      </c>
      <c r="D29" s="211" t="s">
        <v>110</v>
      </c>
      <c r="E29" s="211" t="s">
        <v>110</v>
      </c>
      <c r="F29" s="211" t="s">
        <v>110</v>
      </c>
      <c r="G29" s="211" t="s">
        <v>110</v>
      </c>
      <c r="H29" s="224" t="s">
        <v>72</v>
      </c>
      <c r="I29" s="225"/>
      <c r="J29" s="213" t="s">
        <v>91</v>
      </c>
      <c r="K29" s="211"/>
      <c r="L29" s="211" t="s">
        <v>102</v>
      </c>
      <c r="M29" s="211" t="s">
        <v>124</v>
      </c>
      <c r="N29" s="211" t="s">
        <v>14</v>
      </c>
      <c r="O29" s="211">
        <v>2</v>
      </c>
      <c r="P29" s="213" t="s">
        <v>37</v>
      </c>
      <c r="Q29" s="213" t="s">
        <v>108</v>
      </c>
      <c r="R29" s="218">
        <v>144000</v>
      </c>
      <c r="S29" s="218">
        <f>Product_Name[[#This Row],[Đơn giá
Unit Price]]*Product_Name[[#This Row],[Số lượng
Quantity]]</f>
        <v>288000</v>
      </c>
      <c r="T29" s="219">
        <v>44064</v>
      </c>
      <c r="U29" s="220">
        <v>44095</v>
      </c>
      <c r="V29" s="221">
        <v>44105</v>
      </c>
      <c r="W29" s="211" t="s">
        <v>21</v>
      </c>
      <c r="X29" s="211" t="s">
        <v>16</v>
      </c>
      <c r="Y29" s="220"/>
      <c r="Z29" s="216"/>
      <c r="AA29" s="216"/>
      <c r="AB29" s="227"/>
      <c r="AC29" s="295"/>
    </row>
    <row r="30" spans="1:29" ht="15.5" x14ac:dyDescent="0.35">
      <c r="A30" s="211">
        <v>1838</v>
      </c>
      <c r="B30" s="214" t="s">
        <v>163</v>
      </c>
      <c r="C30" s="211">
        <v>1918</v>
      </c>
      <c r="D30" s="211" t="s">
        <v>110</v>
      </c>
      <c r="E30" s="211" t="s">
        <v>110</v>
      </c>
      <c r="F30" s="211" t="s">
        <v>110</v>
      </c>
      <c r="G30" s="211" t="s">
        <v>110</v>
      </c>
      <c r="H30" s="224" t="s">
        <v>73</v>
      </c>
      <c r="I30" s="225"/>
      <c r="J30" s="213" t="s">
        <v>92</v>
      </c>
      <c r="K30" s="211"/>
      <c r="L30" s="211" t="s">
        <v>102</v>
      </c>
      <c r="M30" s="211" t="s">
        <v>123</v>
      </c>
      <c r="N30" s="211" t="s">
        <v>14</v>
      </c>
      <c r="O30" s="211">
        <v>3</v>
      </c>
      <c r="P30" s="213" t="s">
        <v>37</v>
      </c>
      <c r="Q30" s="213" t="s">
        <v>108</v>
      </c>
      <c r="R30" s="218">
        <v>617000</v>
      </c>
      <c r="S30" s="218">
        <f>Product_Name[[#This Row],[Đơn giá
Unit Price]]*Product_Name[[#This Row],[Số lượng
Quantity]]</f>
        <v>1851000</v>
      </c>
      <c r="T30" s="219">
        <v>44064</v>
      </c>
      <c r="U30" s="220">
        <v>44095</v>
      </c>
      <c r="V30" s="221">
        <v>44105</v>
      </c>
      <c r="W30" s="211" t="s">
        <v>21</v>
      </c>
      <c r="X30" s="211" t="s">
        <v>16</v>
      </c>
      <c r="Y30" s="220"/>
      <c r="Z30" s="216" t="s">
        <v>328</v>
      </c>
      <c r="AA30" s="216"/>
      <c r="AB30" s="227"/>
      <c r="AC30" s="295"/>
    </row>
    <row r="31" spans="1:29" ht="15.5" x14ac:dyDescent="0.35">
      <c r="A31" s="211">
        <v>1836</v>
      </c>
      <c r="B31" s="214" t="s">
        <v>2740</v>
      </c>
      <c r="C31" s="211">
        <v>1915</v>
      </c>
      <c r="D31" s="211" t="s">
        <v>110</v>
      </c>
      <c r="E31" s="211" t="s">
        <v>110</v>
      </c>
      <c r="F31" s="211" t="s">
        <v>110</v>
      </c>
      <c r="G31" s="211" t="s">
        <v>110</v>
      </c>
      <c r="H31" s="224" t="s">
        <v>74</v>
      </c>
      <c r="I31" s="225"/>
      <c r="J31" s="213" t="s">
        <v>93</v>
      </c>
      <c r="K31" s="211"/>
      <c r="L31" s="211" t="s">
        <v>99</v>
      </c>
      <c r="M31" s="211" t="s">
        <v>123</v>
      </c>
      <c r="N31" s="211" t="s">
        <v>14</v>
      </c>
      <c r="O31" s="211">
        <v>10</v>
      </c>
      <c r="P31" s="213" t="s">
        <v>37</v>
      </c>
      <c r="Q31" s="213" t="s">
        <v>108</v>
      </c>
      <c r="R31" s="218">
        <v>132000</v>
      </c>
      <c r="S31" s="218">
        <f>Product_Name[[#This Row],[Đơn giá
Unit Price]]*Product_Name[[#This Row],[Số lượng
Quantity]]</f>
        <v>1320000</v>
      </c>
      <c r="T31" s="219">
        <v>44064</v>
      </c>
      <c r="U31" s="220">
        <v>44095</v>
      </c>
      <c r="V31" s="221">
        <v>44097</v>
      </c>
      <c r="W31" s="211" t="s">
        <v>21</v>
      </c>
      <c r="X31" s="211" t="s">
        <v>16</v>
      </c>
      <c r="Y31" s="220"/>
      <c r="Z31" s="216" t="s">
        <v>328</v>
      </c>
      <c r="AA31" s="216"/>
      <c r="AB31" s="227"/>
      <c r="AC31" s="295"/>
    </row>
    <row r="32" spans="1:29" ht="15.5" x14ac:dyDescent="0.35">
      <c r="A32" s="211">
        <v>1836</v>
      </c>
      <c r="B32" s="214" t="s">
        <v>2740</v>
      </c>
      <c r="C32" s="211">
        <v>1915</v>
      </c>
      <c r="D32" s="211" t="s">
        <v>110</v>
      </c>
      <c r="E32" s="211" t="s">
        <v>110</v>
      </c>
      <c r="F32" s="211" t="s">
        <v>110</v>
      </c>
      <c r="G32" s="211" t="s">
        <v>110</v>
      </c>
      <c r="H32" s="224" t="s">
        <v>75</v>
      </c>
      <c r="I32" s="225"/>
      <c r="J32" s="213" t="s">
        <v>94</v>
      </c>
      <c r="K32" s="211"/>
      <c r="L32" s="211" t="s">
        <v>99</v>
      </c>
      <c r="M32" s="211" t="s">
        <v>123</v>
      </c>
      <c r="N32" s="211" t="s">
        <v>14</v>
      </c>
      <c r="O32" s="211">
        <v>2</v>
      </c>
      <c r="P32" s="213" t="s">
        <v>105</v>
      </c>
      <c r="Q32" s="213" t="s">
        <v>108</v>
      </c>
      <c r="R32" s="218">
        <v>60000</v>
      </c>
      <c r="S32" s="218">
        <f>Product_Name[[#This Row],[Đơn giá
Unit Price]]*Product_Name[[#This Row],[Số lượng
Quantity]]</f>
        <v>120000</v>
      </c>
      <c r="T32" s="219">
        <v>44064</v>
      </c>
      <c r="U32" s="220">
        <v>44095</v>
      </c>
      <c r="V32" s="221">
        <v>44097</v>
      </c>
      <c r="W32" s="211" t="s">
        <v>21</v>
      </c>
      <c r="X32" s="211" t="s">
        <v>16</v>
      </c>
      <c r="Y32" s="220"/>
      <c r="Z32" s="216" t="s">
        <v>328</v>
      </c>
      <c r="AA32" s="216"/>
      <c r="AB32" s="227"/>
      <c r="AC32" s="295"/>
    </row>
    <row r="33" spans="1:29" ht="15.5" x14ac:dyDescent="0.35">
      <c r="A33" s="211">
        <v>1836</v>
      </c>
      <c r="B33" s="214" t="s">
        <v>2740</v>
      </c>
      <c r="C33" s="211">
        <v>1915</v>
      </c>
      <c r="D33" s="211" t="s">
        <v>110</v>
      </c>
      <c r="E33" s="211" t="s">
        <v>110</v>
      </c>
      <c r="F33" s="211" t="s">
        <v>110</v>
      </c>
      <c r="G33" s="211" t="s">
        <v>110</v>
      </c>
      <c r="H33" s="224" t="s">
        <v>76</v>
      </c>
      <c r="I33" s="225"/>
      <c r="J33" s="213" t="s">
        <v>95</v>
      </c>
      <c r="K33" s="211"/>
      <c r="L33" s="211" t="s">
        <v>99</v>
      </c>
      <c r="M33" s="211" t="s">
        <v>123</v>
      </c>
      <c r="N33" s="211" t="s">
        <v>14</v>
      </c>
      <c r="O33" s="211">
        <v>2</v>
      </c>
      <c r="P33" s="213" t="s">
        <v>37</v>
      </c>
      <c r="Q33" s="213" t="s">
        <v>108</v>
      </c>
      <c r="R33" s="218">
        <v>169000</v>
      </c>
      <c r="S33" s="218">
        <f>Product_Name[[#This Row],[Đơn giá
Unit Price]]*Product_Name[[#This Row],[Số lượng
Quantity]]</f>
        <v>338000</v>
      </c>
      <c r="T33" s="219">
        <v>44064</v>
      </c>
      <c r="U33" s="220">
        <v>44095</v>
      </c>
      <c r="V33" s="221">
        <v>44097</v>
      </c>
      <c r="W33" s="211" t="s">
        <v>21</v>
      </c>
      <c r="X33" s="211" t="s">
        <v>16</v>
      </c>
      <c r="Y33" s="220"/>
      <c r="Z33" s="216" t="s">
        <v>328</v>
      </c>
      <c r="AA33" s="216"/>
      <c r="AB33" s="227"/>
      <c r="AC33" s="295"/>
    </row>
    <row r="34" spans="1:29" ht="15.5" x14ac:dyDescent="0.35">
      <c r="A34" s="211">
        <v>1838</v>
      </c>
      <c r="B34" s="214" t="s">
        <v>163</v>
      </c>
      <c r="C34" s="211">
        <v>1918</v>
      </c>
      <c r="D34" s="211" t="s">
        <v>110</v>
      </c>
      <c r="E34" s="211" t="s">
        <v>110</v>
      </c>
      <c r="F34" s="211" t="s">
        <v>110</v>
      </c>
      <c r="G34" s="211" t="s">
        <v>110</v>
      </c>
      <c r="H34" s="224" t="s">
        <v>77</v>
      </c>
      <c r="I34" s="225"/>
      <c r="J34" s="213" t="s">
        <v>96</v>
      </c>
      <c r="K34" s="211"/>
      <c r="L34" s="211" t="s">
        <v>102</v>
      </c>
      <c r="M34" s="211" t="s">
        <v>123</v>
      </c>
      <c r="N34" s="211" t="s">
        <v>14</v>
      </c>
      <c r="O34" s="211">
        <v>2</v>
      </c>
      <c r="P34" s="213" t="s">
        <v>37</v>
      </c>
      <c r="Q34" s="213" t="s">
        <v>108</v>
      </c>
      <c r="R34" s="218">
        <v>617000</v>
      </c>
      <c r="S34" s="218">
        <f>Product_Name[[#This Row],[Đơn giá
Unit Price]]*Product_Name[[#This Row],[Số lượng
Quantity]]</f>
        <v>1234000</v>
      </c>
      <c r="T34" s="219">
        <v>44064</v>
      </c>
      <c r="U34" s="220">
        <v>44095</v>
      </c>
      <c r="V34" s="221">
        <v>44105</v>
      </c>
      <c r="W34" s="211" t="s">
        <v>21</v>
      </c>
      <c r="X34" s="211" t="s">
        <v>16</v>
      </c>
      <c r="Y34" s="220"/>
      <c r="Z34" s="216" t="s">
        <v>328</v>
      </c>
      <c r="AA34" s="216"/>
      <c r="AB34" s="227"/>
      <c r="AC34" s="295"/>
    </row>
    <row r="35" spans="1:29" ht="15.5" x14ac:dyDescent="0.35">
      <c r="A35" s="211">
        <v>1837</v>
      </c>
      <c r="B35" s="214" t="s">
        <v>191</v>
      </c>
      <c r="C35" s="211">
        <v>1914</v>
      </c>
      <c r="D35" s="211" t="s">
        <v>110</v>
      </c>
      <c r="E35" s="211" t="s">
        <v>110</v>
      </c>
      <c r="F35" s="211" t="s">
        <v>110</v>
      </c>
      <c r="G35" s="211" t="s">
        <v>110</v>
      </c>
      <c r="H35" s="224" t="s">
        <v>78</v>
      </c>
      <c r="I35" s="225"/>
      <c r="J35" s="213" t="s">
        <v>97</v>
      </c>
      <c r="K35" s="211"/>
      <c r="L35" s="211" t="s">
        <v>103</v>
      </c>
      <c r="M35" s="211" t="s">
        <v>123</v>
      </c>
      <c r="N35" s="211" t="s">
        <v>14</v>
      </c>
      <c r="O35" s="211">
        <v>3</v>
      </c>
      <c r="P35" s="213" t="s">
        <v>105</v>
      </c>
      <c r="Q35" s="213" t="s">
        <v>108</v>
      </c>
      <c r="R35" s="218">
        <v>6600000</v>
      </c>
      <c r="S35" s="218">
        <f>Product_Name[[#This Row],[Đơn giá
Unit Price]]*Product_Name[[#This Row],[Số lượng
Quantity]]</f>
        <v>19800000</v>
      </c>
      <c r="T35" s="219">
        <v>44064</v>
      </c>
      <c r="U35" s="220">
        <v>44095</v>
      </c>
      <c r="V35" s="221">
        <v>44140</v>
      </c>
      <c r="W35" s="211" t="s">
        <v>21</v>
      </c>
      <c r="X35" s="211" t="s">
        <v>16</v>
      </c>
      <c r="Y35" s="220"/>
      <c r="Z35" s="216" t="s">
        <v>328</v>
      </c>
      <c r="AA35" s="216" t="s">
        <v>2060</v>
      </c>
      <c r="AB35" s="227"/>
      <c r="AC35" s="295"/>
    </row>
    <row r="36" spans="1:29" ht="15.5" x14ac:dyDescent="0.35">
      <c r="A36" s="211" t="s">
        <v>110</v>
      </c>
      <c r="B36" s="214" t="s">
        <v>110</v>
      </c>
      <c r="C36" s="211" t="s">
        <v>110</v>
      </c>
      <c r="D36" s="215"/>
      <c r="E36" s="215">
        <v>1243</v>
      </c>
      <c r="F36" s="211" t="s">
        <v>110</v>
      </c>
      <c r="G36" s="211" t="s">
        <v>110</v>
      </c>
      <c r="H36" s="224" t="s">
        <v>125</v>
      </c>
      <c r="I36" s="225"/>
      <c r="J36" s="213"/>
      <c r="K36" s="211"/>
      <c r="L36" s="211" t="s">
        <v>127</v>
      </c>
      <c r="M36" s="211" t="s">
        <v>63</v>
      </c>
      <c r="N36" s="211" t="s">
        <v>642</v>
      </c>
      <c r="O36" s="211">
        <v>1</v>
      </c>
      <c r="P36" s="213" t="s">
        <v>44</v>
      </c>
      <c r="Q36" s="213" t="s">
        <v>108</v>
      </c>
      <c r="R36" s="218">
        <v>742000000</v>
      </c>
      <c r="S36" s="218">
        <f>Product_Name[[#This Row],[Đơn giá
Unit Price]]*Product_Name[[#This Row],[Số lượng
Quantity]]</f>
        <v>742000000</v>
      </c>
      <c r="T36" s="219">
        <v>44011</v>
      </c>
      <c r="U36" s="220"/>
      <c r="V36" s="221">
        <v>44077</v>
      </c>
      <c r="W36" s="211" t="s">
        <v>2813</v>
      </c>
      <c r="X36" s="211" t="s">
        <v>16</v>
      </c>
      <c r="Y36" s="220"/>
      <c r="Z36" s="227" t="s">
        <v>63</v>
      </c>
      <c r="AA36" s="216"/>
      <c r="AB36" s="227" t="s">
        <v>63</v>
      </c>
      <c r="AC36" s="295"/>
    </row>
    <row r="37" spans="1:29" ht="15.5" x14ac:dyDescent="0.35">
      <c r="A37" s="211" t="s">
        <v>110</v>
      </c>
      <c r="B37" s="214" t="s">
        <v>110</v>
      </c>
      <c r="C37" s="211" t="s">
        <v>110</v>
      </c>
      <c r="D37" s="215"/>
      <c r="E37" s="215">
        <v>1243</v>
      </c>
      <c r="F37" s="211" t="s">
        <v>110</v>
      </c>
      <c r="G37" s="211" t="s">
        <v>110</v>
      </c>
      <c r="H37" s="224" t="s">
        <v>126</v>
      </c>
      <c r="I37" s="225"/>
      <c r="J37" s="213"/>
      <c r="K37" s="211"/>
      <c r="L37" s="211" t="s">
        <v>127</v>
      </c>
      <c r="M37" s="211" t="s">
        <v>63</v>
      </c>
      <c r="N37" s="211" t="s">
        <v>642</v>
      </c>
      <c r="O37" s="211">
        <v>1</v>
      </c>
      <c r="P37" s="213" t="s">
        <v>44</v>
      </c>
      <c r="Q37" s="213" t="s">
        <v>108</v>
      </c>
      <c r="R37" s="218">
        <v>108000000</v>
      </c>
      <c r="S37" s="218">
        <f>Product_Name[[#This Row],[Đơn giá
Unit Price]]*Product_Name[[#This Row],[Số lượng
Quantity]]</f>
        <v>108000000</v>
      </c>
      <c r="T37" s="219">
        <v>44011</v>
      </c>
      <c r="U37" s="220"/>
      <c r="V37" s="221">
        <v>44077</v>
      </c>
      <c r="W37" s="211" t="s">
        <v>2813</v>
      </c>
      <c r="X37" s="211" t="s">
        <v>16</v>
      </c>
      <c r="Y37" s="220"/>
      <c r="Z37" s="227" t="s">
        <v>63</v>
      </c>
      <c r="AA37" s="216"/>
      <c r="AB37" s="227" t="s">
        <v>63</v>
      </c>
      <c r="AC37" s="295"/>
    </row>
    <row r="38" spans="1:29" ht="15.5" x14ac:dyDescent="0.35">
      <c r="A38" s="211">
        <v>1934</v>
      </c>
      <c r="B38" s="214" t="s">
        <v>164</v>
      </c>
      <c r="C38" s="211">
        <v>2039</v>
      </c>
      <c r="D38" s="215" t="s">
        <v>110</v>
      </c>
      <c r="E38" s="215" t="s">
        <v>110</v>
      </c>
      <c r="F38" s="211" t="s">
        <v>110</v>
      </c>
      <c r="G38" s="211" t="s">
        <v>110</v>
      </c>
      <c r="H38" s="224" t="s">
        <v>128</v>
      </c>
      <c r="I38" s="225"/>
      <c r="J38" s="213" t="s">
        <v>130</v>
      </c>
      <c r="K38" s="211" t="s">
        <v>176</v>
      </c>
      <c r="L38" s="211" t="s">
        <v>176</v>
      </c>
      <c r="M38" s="211" t="s">
        <v>124</v>
      </c>
      <c r="N38" s="211" t="s">
        <v>14</v>
      </c>
      <c r="O38" s="211">
        <v>1</v>
      </c>
      <c r="P38" s="213" t="s">
        <v>37</v>
      </c>
      <c r="Q38" s="213" t="s">
        <v>108</v>
      </c>
      <c r="R38" s="218">
        <v>82000</v>
      </c>
      <c r="S38" s="218">
        <f>Product_Name[[#This Row],[Đơn giá
Unit Price]]*Product_Name[[#This Row],[Số lượng
Quantity]]</f>
        <v>82000</v>
      </c>
      <c r="T38" s="219">
        <v>44097</v>
      </c>
      <c r="U38" s="220">
        <v>44104</v>
      </c>
      <c r="V38" s="221">
        <v>44111</v>
      </c>
      <c r="W38" s="211" t="s">
        <v>51</v>
      </c>
      <c r="X38" s="211" t="s">
        <v>16</v>
      </c>
      <c r="Y38" s="220"/>
      <c r="Z38" s="227"/>
      <c r="AA38" s="216"/>
      <c r="AB38" s="227"/>
      <c r="AC38" s="295"/>
    </row>
    <row r="39" spans="1:29" ht="15.5" x14ac:dyDescent="0.35">
      <c r="A39" s="211">
        <v>1934</v>
      </c>
      <c r="B39" s="214" t="s">
        <v>164</v>
      </c>
      <c r="C39" s="211">
        <v>2039</v>
      </c>
      <c r="D39" s="215" t="s">
        <v>110</v>
      </c>
      <c r="E39" s="215" t="s">
        <v>110</v>
      </c>
      <c r="F39" s="211" t="s">
        <v>110</v>
      </c>
      <c r="G39" s="211" t="s">
        <v>110</v>
      </c>
      <c r="H39" s="224" t="s">
        <v>129</v>
      </c>
      <c r="I39" s="225"/>
      <c r="J39" s="213" t="s">
        <v>131</v>
      </c>
      <c r="K39" s="211" t="s">
        <v>176</v>
      </c>
      <c r="L39" s="211" t="s">
        <v>176</v>
      </c>
      <c r="M39" s="211" t="s">
        <v>124</v>
      </c>
      <c r="N39" s="211" t="s">
        <v>14</v>
      </c>
      <c r="O39" s="211">
        <v>1</v>
      </c>
      <c r="P39" s="213" t="s">
        <v>37</v>
      </c>
      <c r="Q39" s="213" t="s">
        <v>108</v>
      </c>
      <c r="R39" s="218">
        <v>47000</v>
      </c>
      <c r="S39" s="218">
        <f>Product_Name[[#This Row],[Đơn giá
Unit Price]]*Product_Name[[#This Row],[Số lượng
Quantity]]</f>
        <v>47000</v>
      </c>
      <c r="T39" s="219">
        <v>44097</v>
      </c>
      <c r="U39" s="220">
        <v>44104</v>
      </c>
      <c r="V39" s="221">
        <v>44111</v>
      </c>
      <c r="W39" s="211" t="s">
        <v>51</v>
      </c>
      <c r="X39" s="211" t="s">
        <v>16</v>
      </c>
      <c r="Y39" s="220"/>
      <c r="Z39" s="227"/>
      <c r="AA39" s="216"/>
      <c r="AB39" s="227"/>
      <c r="AC39" s="295"/>
    </row>
    <row r="40" spans="1:29" ht="31" x14ac:dyDescent="0.35">
      <c r="A40" s="215" t="s">
        <v>110</v>
      </c>
      <c r="B40" s="214" t="s">
        <v>313</v>
      </c>
      <c r="C40" s="215" t="s">
        <v>110</v>
      </c>
      <c r="D40" s="215" t="s">
        <v>132</v>
      </c>
      <c r="E40" s="215">
        <v>2003</v>
      </c>
      <c r="F40" s="213" t="s">
        <v>3626</v>
      </c>
      <c r="G40" s="211" t="s">
        <v>135</v>
      </c>
      <c r="H40" s="224" t="s">
        <v>137</v>
      </c>
      <c r="I40" s="225"/>
      <c r="J40" s="213" t="s">
        <v>136</v>
      </c>
      <c r="K40" s="211"/>
      <c r="L40" s="211" t="s">
        <v>733</v>
      </c>
      <c r="M40" s="211" t="s">
        <v>63</v>
      </c>
      <c r="N40" s="211" t="s">
        <v>642</v>
      </c>
      <c r="O40" s="211">
        <v>2</v>
      </c>
      <c r="P40" s="213" t="s">
        <v>37</v>
      </c>
      <c r="Q40" s="213" t="s">
        <v>108</v>
      </c>
      <c r="R40" s="218">
        <v>189800000</v>
      </c>
      <c r="S40" s="218">
        <f>Product_Name[[#This Row],[Đơn giá
Unit Price]]*Product_Name[[#This Row],[Số lượng
Quantity]]</f>
        <v>379600000</v>
      </c>
      <c r="T40" s="219">
        <v>44116</v>
      </c>
      <c r="U40" s="220">
        <v>44148</v>
      </c>
      <c r="V40" s="221">
        <v>44174</v>
      </c>
      <c r="W40" s="211" t="s">
        <v>21</v>
      </c>
      <c r="X40" s="211" t="s">
        <v>16</v>
      </c>
      <c r="Y40" s="220"/>
      <c r="Z40" s="227" t="s">
        <v>63</v>
      </c>
      <c r="AA40" s="216"/>
      <c r="AB40" s="227" t="s">
        <v>63</v>
      </c>
      <c r="AC40" s="295"/>
    </row>
    <row r="41" spans="1:29" ht="31" x14ac:dyDescent="0.35">
      <c r="A41" s="215" t="s">
        <v>110</v>
      </c>
      <c r="B41" s="214" t="s">
        <v>314</v>
      </c>
      <c r="C41" s="215" t="s">
        <v>110</v>
      </c>
      <c r="D41" s="215" t="s">
        <v>132</v>
      </c>
      <c r="E41" s="215">
        <v>2003</v>
      </c>
      <c r="F41" s="213" t="s">
        <v>3626</v>
      </c>
      <c r="G41" s="211" t="s">
        <v>135</v>
      </c>
      <c r="H41" s="224" t="s">
        <v>139</v>
      </c>
      <c r="I41" s="225"/>
      <c r="J41" s="213" t="s">
        <v>138</v>
      </c>
      <c r="K41" s="211"/>
      <c r="L41" s="211" t="s">
        <v>733</v>
      </c>
      <c r="M41" s="211" t="s">
        <v>63</v>
      </c>
      <c r="N41" s="211" t="s">
        <v>642</v>
      </c>
      <c r="O41" s="211">
        <v>3</v>
      </c>
      <c r="P41" s="213" t="s">
        <v>37</v>
      </c>
      <c r="Q41" s="213" t="s">
        <v>108</v>
      </c>
      <c r="R41" s="218">
        <v>266900000</v>
      </c>
      <c r="S41" s="218">
        <f>Product_Name[[#This Row],[Đơn giá
Unit Price]]*Product_Name[[#This Row],[Số lượng
Quantity]]</f>
        <v>800700000</v>
      </c>
      <c r="T41" s="219">
        <v>44116</v>
      </c>
      <c r="U41" s="220">
        <v>44148</v>
      </c>
      <c r="V41" s="221">
        <v>44180</v>
      </c>
      <c r="W41" s="211" t="s">
        <v>21</v>
      </c>
      <c r="X41" s="211" t="s">
        <v>16</v>
      </c>
      <c r="Y41" s="220"/>
      <c r="Z41" s="227" t="s">
        <v>63</v>
      </c>
      <c r="AA41" s="216"/>
      <c r="AB41" s="227" t="s">
        <v>63</v>
      </c>
      <c r="AC41" s="295"/>
    </row>
    <row r="42" spans="1:29" ht="31" x14ac:dyDescent="0.35">
      <c r="A42" s="215" t="s">
        <v>110</v>
      </c>
      <c r="B42" s="214" t="s">
        <v>347</v>
      </c>
      <c r="C42" s="215" t="s">
        <v>110</v>
      </c>
      <c r="D42" s="215" t="s">
        <v>133</v>
      </c>
      <c r="E42" s="215">
        <v>2004</v>
      </c>
      <c r="F42" s="213" t="s">
        <v>3626</v>
      </c>
      <c r="G42" s="211" t="s">
        <v>135</v>
      </c>
      <c r="H42" s="224" t="s">
        <v>346</v>
      </c>
      <c r="I42" s="225"/>
      <c r="J42" s="213" t="s">
        <v>140</v>
      </c>
      <c r="K42" s="211"/>
      <c r="L42" s="211" t="s">
        <v>733</v>
      </c>
      <c r="M42" s="211" t="s">
        <v>63</v>
      </c>
      <c r="N42" s="211" t="s">
        <v>642</v>
      </c>
      <c r="O42" s="211">
        <v>2</v>
      </c>
      <c r="P42" s="213" t="s">
        <v>44</v>
      </c>
      <c r="Q42" s="213" t="s">
        <v>108</v>
      </c>
      <c r="R42" s="218">
        <v>51950000</v>
      </c>
      <c r="S42" s="218">
        <f>Product_Name[[#This Row],[Đơn giá
Unit Price]]*Product_Name[[#This Row],[Số lượng
Quantity]]</f>
        <v>103900000</v>
      </c>
      <c r="T42" s="219">
        <v>44116</v>
      </c>
      <c r="U42" s="220">
        <v>44148</v>
      </c>
      <c r="V42" s="221">
        <v>44208</v>
      </c>
      <c r="W42" s="211" t="s">
        <v>21</v>
      </c>
      <c r="X42" s="211" t="s">
        <v>16</v>
      </c>
      <c r="Y42" s="220"/>
      <c r="Z42" s="227" t="s">
        <v>63</v>
      </c>
      <c r="AA42" s="216"/>
      <c r="AB42" s="227" t="s">
        <v>63</v>
      </c>
      <c r="AC42" s="295"/>
    </row>
    <row r="43" spans="1:29" ht="31" x14ac:dyDescent="0.35">
      <c r="A43" s="215" t="s">
        <v>110</v>
      </c>
      <c r="B43" s="214" t="s">
        <v>345</v>
      </c>
      <c r="C43" s="215" t="s">
        <v>110</v>
      </c>
      <c r="D43" s="215" t="s">
        <v>134</v>
      </c>
      <c r="E43" s="215">
        <v>2002</v>
      </c>
      <c r="F43" s="213" t="s">
        <v>3626</v>
      </c>
      <c r="G43" s="211" t="s">
        <v>135</v>
      </c>
      <c r="H43" s="224" t="s">
        <v>344</v>
      </c>
      <c r="I43" s="225"/>
      <c r="J43" s="213" t="s">
        <v>141</v>
      </c>
      <c r="K43" s="211"/>
      <c r="L43" s="211" t="s">
        <v>343</v>
      </c>
      <c r="M43" s="211" t="s">
        <v>63</v>
      </c>
      <c r="N43" s="211" t="s">
        <v>642</v>
      </c>
      <c r="O43" s="211">
        <v>1</v>
      </c>
      <c r="P43" s="213" t="s">
        <v>44</v>
      </c>
      <c r="Q43" s="213" t="s">
        <v>108</v>
      </c>
      <c r="R43" s="218">
        <v>75000000</v>
      </c>
      <c r="S43" s="218">
        <f>Product_Name[[#This Row],[Đơn giá
Unit Price]]*Product_Name[[#This Row],[Số lượng
Quantity]]</f>
        <v>75000000</v>
      </c>
      <c r="T43" s="219">
        <v>44116</v>
      </c>
      <c r="U43" s="220">
        <v>44162</v>
      </c>
      <c r="V43" s="221">
        <v>44409</v>
      </c>
      <c r="W43" s="211" t="s">
        <v>21</v>
      </c>
      <c r="X43" s="211" t="s">
        <v>16</v>
      </c>
      <c r="Y43" s="220"/>
      <c r="Z43" s="227" t="s">
        <v>63</v>
      </c>
      <c r="AA43" s="216"/>
      <c r="AB43" s="227" t="s">
        <v>63</v>
      </c>
      <c r="AC43" s="295"/>
    </row>
    <row r="44" spans="1:29" ht="31" x14ac:dyDescent="0.35">
      <c r="A44" s="211">
        <v>1999</v>
      </c>
      <c r="B44" s="214" t="s">
        <v>193</v>
      </c>
      <c r="C44" s="211">
        <v>2098</v>
      </c>
      <c r="D44" s="215" t="s">
        <v>110</v>
      </c>
      <c r="E44" s="215" t="s">
        <v>110</v>
      </c>
      <c r="F44" s="213" t="s">
        <v>3626</v>
      </c>
      <c r="G44" s="211" t="s">
        <v>135</v>
      </c>
      <c r="H44" s="224" t="s">
        <v>142</v>
      </c>
      <c r="I44" s="225"/>
      <c r="J44" s="213" t="s">
        <v>153</v>
      </c>
      <c r="K44" s="211"/>
      <c r="L44" s="211" t="s">
        <v>733</v>
      </c>
      <c r="M44" s="211" t="s">
        <v>124</v>
      </c>
      <c r="N44" s="211" t="s">
        <v>14</v>
      </c>
      <c r="O44" s="211">
        <v>4</v>
      </c>
      <c r="P44" s="213" t="s">
        <v>37</v>
      </c>
      <c r="Q44" s="213" t="s">
        <v>108</v>
      </c>
      <c r="R44" s="218">
        <v>1500000</v>
      </c>
      <c r="S44" s="218">
        <f>Product_Name[[#This Row],[Đơn giá
Unit Price]]*Product_Name[[#This Row],[Số lượng
Quantity]]</f>
        <v>6000000</v>
      </c>
      <c r="T44" s="219">
        <v>44116</v>
      </c>
      <c r="U44" s="220">
        <v>44148</v>
      </c>
      <c r="V44" s="221">
        <v>44148</v>
      </c>
      <c r="W44" s="211" t="s">
        <v>21</v>
      </c>
      <c r="X44" s="211" t="s">
        <v>16</v>
      </c>
      <c r="Y44" s="220"/>
      <c r="Z44" s="216"/>
      <c r="AA44" s="216"/>
      <c r="AB44" s="227"/>
      <c r="AC44" s="295"/>
    </row>
    <row r="45" spans="1:29" ht="31" x14ac:dyDescent="0.35">
      <c r="A45" s="211">
        <v>1998</v>
      </c>
      <c r="B45" s="214" t="s">
        <v>192</v>
      </c>
      <c r="C45" s="211">
        <v>2099</v>
      </c>
      <c r="D45" s="215" t="s">
        <v>110</v>
      </c>
      <c r="E45" s="215" t="s">
        <v>110</v>
      </c>
      <c r="F45" s="213" t="s">
        <v>3626</v>
      </c>
      <c r="G45" s="211" t="s">
        <v>135</v>
      </c>
      <c r="H45" s="216" t="s">
        <v>143</v>
      </c>
      <c r="I45" s="217"/>
      <c r="J45" s="213" t="s">
        <v>154</v>
      </c>
      <c r="K45" s="211"/>
      <c r="L45" s="211" t="s">
        <v>733</v>
      </c>
      <c r="M45" s="211" t="s">
        <v>124</v>
      </c>
      <c r="N45" s="211" t="s">
        <v>14</v>
      </c>
      <c r="O45" s="211">
        <v>2</v>
      </c>
      <c r="P45" s="213" t="s">
        <v>44</v>
      </c>
      <c r="Q45" s="213" t="s">
        <v>108</v>
      </c>
      <c r="R45" s="218">
        <v>410000</v>
      </c>
      <c r="S45" s="218">
        <f>Product_Name[[#This Row],[Đơn giá
Unit Price]]*Product_Name[[#This Row],[Số lượng
Quantity]]</f>
        <v>820000</v>
      </c>
      <c r="T45" s="219">
        <v>44116</v>
      </c>
      <c r="U45" s="220">
        <v>44148</v>
      </c>
      <c r="V45" s="221">
        <v>44147</v>
      </c>
      <c r="W45" s="211" t="s">
        <v>21</v>
      </c>
      <c r="X45" s="211" t="s">
        <v>16</v>
      </c>
      <c r="Y45" s="220"/>
      <c r="Z45" s="216"/>
      <c r="AA45" s="216"/>
      <c r="AB45" s="227"/>
      <c r="AC45" s="295"/>
    </row>
    <row r="46" spans="1:29" ht="31" x14ac:dyDescent="0.35">
      <c r="A46" s="211">
        <v>1998</v>
      </c>
      <c r="B46" s="214" t="s">
        <v>192</v>
      </c>
      <c r="C46" s="211">
        <v>2099</v>
      </c>
      <c r="D46" s="215" t="s">
        <v>110</v>
      </c>
      <c r="E46" s="215" t="s">
        <v>110</v>
      </c>
      <c r="F46" s="213" t="s">
        <v>3626</v>
      </c>
      <c r="G46" s="211" t="s">
        <v>135</v>
      </c>
      <c r="H46" s="216" t="s">
        <v>144</v>
      </c>
      <c r="I46" s="217"/>
      <c r="J46" s="213" t="s">
        <v>155</v>
      </c>
      <c r="K46" s="211"/>
      <c r="L46" s="211" t="s">
        <v>733</v>
      </c>
      <c r="M46" s="211" t="s">
        <v>124</v>
      </c>
      <c r="N46" s="211" t="s">
        <v>14</v>
      </c>
      <c r="O46" s="211">
        <v>1</v>
      </c>
      <c r="P46" s="213" t="s">
        <v>44</v>
      </c>
      <c r="Q46" s="213" t="s">
        <v>108</v>
      </c>
      <c r="R46" s="218">
        <v>16500000</v>
      </c>
      <c r="S46" s="218">
        <f>Product_Name[[#This Row],[Đơn giá
Unit Price]]*Product_Name[[#This Row],[Số lượng
Quantity]]</f>
        <v>16500000</v>
      </c>
      <c r="T46" s="219">
        <v>44116</v>
      </c>
      <c r="U46" s="220">
        <v>44148</v>
      </c>
      <c r="V46" s="221">
        <v>44147</v>
      </c>
      <c r="W46" s="211" t="s">
        <v>21</v>
      </c>
      <c r="X46" s="211" t="s">
        <v>16</v>
      </c>
      <c r="Y46" s="220"/>
      <c r="Z46" s="216"/>
      <c r="AA46" s="216"/>
      <c r="AB46" s="227"/>
      <c r="AC46" s="295"/>
    </row>
    <row r="47" spans="1:29" ht="31" x14ac:dyDescent="0.35">
      <c r="A47" s="211">
        <v>2005</v>
      </c>
      <c r="B47" s="214" t="s">
        <v>195</v>
      </c>
      <c r="C47" s="211">
        <v>2100</v>
      </c>
      <c r="D47" s="215" t="s">
        <v>110</v>
      </c>
      <c r="E47" s="215" t="s">
        <v>110</v>
      </c>
      <c r="F47" s="213" t="s">
        <v>3626</v>
      </c>
      <c r="G47" s="211" t="s">
        <v>135</v>
      </c>
      <c r="H47" s="216" t="s">
        <v>145</v>
      </c>
      <c r="I47" s="217"/>
      <c r="J47" s="213" t="s">
        <v>156</v>
      </c>
      <c r="K47" s="211" t="s">
        <v>162</v>
      </c>
      <c r="L47" s="211" t="s">
        <v>162</v>
      </c>
      <c r="M47" s="211" t="s">
        <v>124</v>
      </c>
      <c r="N47" s="211" t="s">
        <v>14</v>
      </c>
      <c r="O47" s="211">
        <v>50</v>
      </c>
      <c r="P47" s="213" t="s">
        <v>37</v>
      </c>
      <c r="Q47" s="213" t="s">
        <v>108</v>
      </c>
      <c r="R47" s="218">
        <v>95000</v>
      </c>
      <c r="S47" s="218">
        <f>Product_Name[[#This Row],[Đơn giá
Unit Price]]*Product_Name[[#This Row],[Số lượng
Quantity]]</f>
        <v>4750000</v>
      </c>
      <c r="T47" s="219">
        <v>44116</v>
      </c>
      <c r="U47" s="220">
        <v>44162</v>
      </c>
      <c r="V47" s="221">
        <v>44147</v>
      </c>
      <c r="W47" s="211" t="s">
        <v>2813</v>
      </c>
      <c r="X47" s="211" t="s">
        <v>16</v>
      </c>
      <c r="Y47" s="220"/>
      <c r="Z47" s="216"/>
      <c r="AA47" s="216"/>
      <c r="AB47" s="227"/>
      <c r="AC47" s="295"/>
    </row>
    <row r="48" spans="1:29" ht="31" x14ac:dyDescent="0.35">
      <c r="A48" s="211">
        <v>2001</v>
      </c>
      <c r="B48" s="214" t="s">
        <v>2737</v>
      </c>
      <c r="C48" s="211">
        <v>2101</v>
      </c>
      <c r="D48" s="215" t="s">
        <v>110</v>
      </c>
      <c r="E48" s="215" t="s">
        <v>110</v>
      </c>
      <c r="F48" s="213" t="s">
        <v>3626</v>
      </c>
      <c r="G48" s="211" t="s">
        <v>135</v>
      </c>
      <c r="H48" s="216" t="s">
        <v>146</v>
      </c>
      <c r="I48" s="217"/>
      <c r="J48" s="213" t="s">
        <v>157</v>
      </c>
      <c r="K48" s="211" t="s">
        <v>162</v>
      </c>
      <c r="L48" s="211" t="s">
        <v>162</v>
      </c>
      <c r="M48" s="211" t="s">
        <v>124</v>
      </c>
      <c r="N48" s="211" t="s">
        <v>14</v>
      </c>
      <c r="O48" s="211">
        <v>1</v>
      </c>
      <c r="P48" s="213" t="s">
        <v>37</v>
      </c>
      <c r="Q48" s="213" t="s">
        <v>108</v>
      </c>
      <c r="R48" s="218">
        <v>119000</v>
      </c>
      <c r="S48" s="218">
        <f>Product_Name[[#This Row],[Đơn giá
Unit Price]]*Product_Name[[#This Row],[Số lượng
Quantity]]</f>
        <v>119000</v>
      </c>
      <c r="T48" s="219">
        <v>44116</v>
      </c>
      <c r="U48" s="220">
        <v>44148</v>
      </c>
      <c r="V48" s="221">
        <v>44151</v>
      </c>
      <c r="W48" s="211" t="s">
        <v>21</v>
      </c>
      <c r="X48" s="211" t="s">
        <v>16</v>
      </c>
      <c r="Y48" s="220"/>
      <c r="Z48" s="216"/>
      <c r="AA48" s="216"/>
      <c r="AB48" s="227"/>
      <c r="AC48" s="295"/>
    </row>
    <row r="49" spans="1:29" ht="31" x14ac:dyDescent="0.35">
      <c r="A49" s="211">
        <v>2001</v>
      </c>
      <c r="B49" s="214" t="s">
        <v>2737</v>
      </c>
      <c r="C49" s="211">
        <v>2101</v>
      </c>
      <c r="D49" s="215" t="s">
        <v>110</v>
      </c>
      <c r="E49" s="215" t="s">
        <v>110</v>
      </c>
      <c r="F49" s="213" t="s">
        <v>3626</v>
      </c>
      <c r="G49" s="211" t="s">
        <v>135</v>
      </c>
      <c r="H49" s="224" t="s">
        <v>147</v>
      </c>
      <c r="I49" s="225"/>
      <c r="J49" s="213" t="s">
        <v>158</v>
      </c>
      <c r="K49" s="211"/>
      <c r="L49" s="211" t="s">
        <v>102</v>
      </c>
      <c r="M49" s="211" t="s">
        <v>124</v>
      </c>
      <c r="N49" s="211" t="s">
        <v>14</v>
      </c>
      <c r="O49" s="211">
        <v>2</v>
      </c>
      <c r="P49" s="213" t="s">
        <v>37</v>
      </c>
      <c r="Q49" s="213" t="s">
        <v>108</v>
      </c>
      <c r="R49" s="218">
        <v>1105000</v>
      </c>
      <c r="S49" s="218">
        <f>Product_Name[[#This Row],[Đơn giá
Unit Price]]*Product_Name[[#This Row],[Số lượng
Quantity]]</f>
        <v>2210000</v>
      </c>
      <c r="T49" s="219">
        <v>44116</v>
      </c>
      <c r="U49" s="220">
        <v>44148</v>
      </c>
      <c r="V49" s="221">
        <v>44151</v>
      </c>
      <c r="W49" s="211" t="s">
        <v>21</v>
      </c>
      <c r="X49" s="211" t="s">
        <v>16</v>
      </c>
      <c r="Y49" s="220"/>
      <c r="Z49" s="216"/>
      <c r="AA49" s="216"/>
      <c r="AB49" s="227"/>
      <c r="AC49" s="295"/>
    </row>
    <row r="50" spans="1:29" ht="31" x14ac:dyDescent="0.35">
      <c r="A50" s="211">
        <v>2001</v>
      </c>
      <c r="B50" s="214" t="s">
        <v>2737</v>
      </c>
      <c r="C50" s="211">
        <v>2101</v>
      </c>
      <c r="D50" s="215" t="s">
        <v>110</v>
      </c>
      <c r="E50" s="215" t="s">
        <v>110</v>
      </c>
      <c r="F50" s="213" t="s">
        <v>3626</v>
      </c>
      <c r="G50" s="211" t="s">
        <v>135</v>
      </c>
      <c r="H50" s="224" t="s">
        <v>148</v>
      </c>
      <c r="I50" s="225"/>
      <c r="J50" s="213">
        <v>74156</v>
      </c>
      <c r="K50" s="211"/>
      <c r="L50" s="211" t="s">
        <v>102</v>
      </c>
      <c r="M50" s="211" t="s">
        <v>124</v>
      </c>
      <c r="N50" s="211" t="s">
        <v>14</v>
      </c>
      <c r="O50" s="211">
        <v>2</v>
      </c>
      <c r="P50" s="213" t="s">
        <v>37</v>
      </c>
      <c r="Q50" s="213" t="s">
        <v>108</v>
      </c>
      <c r="R50" s="218">
        <v>282000</v>
      </c>
      <c r="S50" s="218">
        <f>Product_Name[[#This Row],[Đơn giá
Unit Price]]*Product_Name[[#This Row],[Số lượng
Quantity]]</f>
        <v>564000</v>
      </c>
      <c r="T50" s="219">
        <v>44116</v>
      </c>
      <c r="U50" s="220">
        <v>44148</v>
      </c>
      <c r="V50" s="221">
        <v>44151</v>
      </c>
      <c r="W50" s="211" t="s">
        <v>21</v>
      </c>
      <c r="X50" s="211" t="s">
        <v>16</v>
      </c>
      <c r="Y50" s="220"/>
      <c r="Z50" s="216"/>
      <c r="AA50" s="216"/>
      <c r="AB50" s="227"/>
      <c r="AC50" s="295"/>
    </row>
    <row r="51" spans="1:29" ht="31" x14ac:dyDescent="0.35">
      <c r="A51" s="211">
        <v>2000</v>
      </c>
      <c r="B51" s="214" t="s">
        <v>2738</v>
      </c>
      <c r="C51" s="211">
        <v>2102</v>
      </c>
      <c r="D51" s="215" t="s">
        <v>110</v>
      </c>
      <c r="E51" s="215" t="s">
        <v>110</v>
      </c>
      <c r="F51" s="213" t="s">
        <v>3626</v>
      </c>
      <c r="G51" s="211" t="s">
        <v>135</v>
      </c>
      <c r="H51" s="224" t="s">
        <v>149</v>
      </c>
      <c r="I51" s="225"/>
      <c r="J51" s="213" t="s">
        <v>159</v>
      </c>
      <c r="K51" s="211"/>
      <c r="L51" s="211" t="s">
        <v>99</v>
      </c>
      <c r="M51" s="211" t="s">
        <v>124</v>
      </c>
      <c r="N51" s="211" t="s">
        <v>14</v>
      </c>
      <c r="O51" s="211">
        <v>2</v>
      </c>
      <c r="P51" s="213" t="s">
        <v>37</v>
      </c>
      <c r="Q51" s="213" t="s">
        <v>108</v>
      </c>
      <c r="R51" s="218">
        <v>4305000</v>
      </c>
      <c r="S51" s="218">
        <f>Product_Name[[#This Row],[Đơn giá
Unit Price]]*Product_Name[[#This Row],[Số lượng
Quantity]]</f>
        <v>8610000</v>
      </c>
      <c r="T51" s="219">
        <v>44116</v>
      </c>
      <c r="U51" s="220">
        <v>44148</v>
      </c>
      <c r="V51" s="221">
        <v>44152</v>
      </c>
      <c r="W51" s="211" t="s">
        <v>21</v>
      </c>
      <c r="X51" s="211" t="s">
        <v>16</v>
      </c>
      <c r="Y51" s="220"/>
      <c r="Z51" s="216"/>
      <c r="AA51" s="216"/>
      <c r="AB51" s="227"/>
      <c r="AC51" s="295"/>
    </row>
    <row r="52" spans="1:29" ht="31" x14ac:dyDescent="0.35">
      <c r="A52" s="211">
        <v>2000</v>
      </c>
      <c r="B52" s="214" t="s">
        <v>2738</v>
      </c>
      <c r="C52" s="211">
        <v>2102</v>
      </c>
      <c r="D52" s="215" t="s">
        <v>110</v>
      </c>
      <c r="E52" s="215" t="s">
        <v>110</v>
      </c>
      <c r="F52" s="213" t="s">
        <v>3626</v>
      </c>
      <c r="G52" s="211" t="s">
        <v>135</v>
      </c>
      <c r="H52" s="224" t="s">
        <v>150</v>
      </c>
      <c r="I52" s="225"/>
      <c r="J52" s="213" t="s">
        <v>160</v>
      </c>
      <c r="K52" s="211"/>
      <c r="L52" s="211" t="s">
        <v>99</v>
      </c>
      <c r="M52" s="211" t="s">
        <v>124</v>
      </c>
      <c r="N52" s="211" t="s">
        <v>14</v>
      </c>
      <c r="O52" s="211">
        <v>4</v>
      </c>
      <c r="P52" s="213" t="s">
        <v>37</v>
      </c>
      <c r="Q52" s="213" t="s">
        <v>108</v>
      </c>
      <c r="R52" s="218">
        <v>38000</v>
      </c>
      <c r="S52" s="218">
        <f>Product_Name[[#This Row],[Đơn giá
Unit Price]]*Product_Name[[#This Row],[Số lượng
Quantity]]</f>
        <v>152000</v>
      </c>
      <c r="T52" s="219">
        <v>44116</v>
      </c>
      <c r="U52" s="220">
        <v>44148</v>
      </c>
      <c r="V52" s="221">
        <v>44152</v>
      </c>
      <c r="W52" s="211" t="s">
        <v>21</v>
      </c>
      <c r="X52" s="211" t="s">
        <v>16</v>
      </c>
      <c r="Y52" s="220"/>
      <c r="Z52" s="216"/>
      <c r="AA52" s="216"/>
      <c r="AB52" s="227"/>
      <c r="AC52" s="295"/>
    </row>
    <row r="53" spans="1:29" ht="31" x14ac:dyDescent="0.35">
      <c r="A53" s="211">
        <v>2000</v>
      </c>
      <c r="B53" s="214" t="s">
        <v>2738</v>
      </c>
      <c r="C53" s="211">
        <v>2102</v>
      </c>
      <c r="D53" s="215" t="s">
        <v>110</v>
      </c>
      <c r="E53" s="215" t="s">
        <v>110</v>
      </c>
      <c r="F53" s="213" t="s">
        <v>3626</v>
      </c>
      <c r="G53" s="211" t="s">
        <v>135</v>
      </c>
      <c r="H53" s="224" t="s">
        <v>151</v>
      </c>
      <c r="I53" s="225"/>
      <c r="J53" s="213">
        <v>200901893</v>
      </c>
      <c r="K53" s="211"/>
      <c r="L53" s="211" t="s">
        <v>99</v>
      </c>
      <c r="M53" s="211" t="s">
        <v>124</v>
      </c>
      <c r="N53" s="211" t="s">
        <v>14</v>
      </c>
      <c r="O53" s="211">
        <v>5</v>
      </c>
      <c r="P53" s="213" t="s">
        <v>37</v>
      </c>
      <c r="Q53" s="213" t="s">
        <v>108</v>
      </c>
      <c r="R53" s="218">
        <v>92000</v>
      </c>
      <c r="S53" s="218">
        <f>Product_Name[[#This Row],[Đơn giá
Unit Price]]*Product_Name[[#This Row],[Số lượng
Quantity]]</f>
        <v>460000</v>
      </c>
      <c r="T53" s="219">
        <v>44116</v>
      </c>
      <c r="U53" s="220">
        <v>44148</v>
      </c>
      <c r="V53" s="221">
        <v>44152</v>
      </c>
      <c r="W53" s="211" t="s">
        <v>21</v>
      </c>
      <c r="X53" s="211" t="s">
        <v>16</v>
      </c>
      <c r="Y53" s="220"/>
      <c r="Z53" s="216"/>
      <c r="AA53" s="216"/>
      <c r="AB53" s="227"/>
      <c r="AC53" s="295"/>
    </row>
    <row r="54" spans="1:29" ht="31" x14ac:dyDescent="0.35">
      <c r="A54" s="211">
        <v>2000</v>
      </c>
      <c r="B54" s="214" t="s">
        <v>2738</v>
      </c>
      <c r="C54" s="211">
        <v>2102</v>
      </c>
      <c r="D54" s="215" t="s">
        <v>110</v>
      </c>
      <c r="E54" s="215" t="s">
        <v>110</v>
      </c>
      <c r="F54" s="213" t="s">
        <v>3626</v>
      </c>
      <c r="G54" s="211" t="s">
        <v>135</v>
      </c>
      <c r="H54" s="216" t="s">
        <v>152</v>
      </c>
      <c r="I54" s="217"/>
      <c r="J54" s="211" t="s">
        <v>161</v>
      </c>
      <c r="K54" s="211"/>
      <c r="L54" s="211" t="s">
        <v>99</v>
      </c>
      <c r="M54" s="211" t="s">
        <v>124</v>
      </c>
      <c r="N54" s="211" t="s">
        <v>14</v>
      </c>
      <c r="O54" s="211">
        <v>2</v>
      </c>
      <c r="P54" s="213" t="s">
        <v>37</v>
      </c>
      <c r="Q54" s="213" t="s">
        <v>108</v>
      </c>
      <c r="R54" s="218">
        <v>20924000</v>
      </c>
      <c r="S54" s="218">
        <f>Product_Name[[#This Row],[Đơn giá
Unit Price]]*Product_Name[[#This Row],[Số lượng
Quantity]]</f>
        <v>41848000</v>
      </c>
      <c r="T54" s="219">
        <v>44116</v>
      </c>
      <c r="U54" s="220">
        <v>44148</v>
      </c>
      <c r="V54" s="221">
        <v>44152</v>
      </c>
      <c r="W54" s="211" t="s">
        <v>21</v>
      </c>
      <c r="X54" s="211" t="s">
        <v>16</v>
      </c>
      <c r="Y54" s="220"/>
      <c r="Z54" s="216"/>
      <c r="AA54" s="216"/>
      <c r="AB54" s="227"/>
      <c r="AC54" s="295"/>
    </row>
    <row r="55" spans="1:29" ht="31" x14ac:dyDescent="0.35">
      <c r="A55" s="211">
        <v>2022</v>
      </c>
      <c r="B55" s="214" t="s">
        <v>194</v>
      </c>
      <c r="C55" s="211">
        <v>2124</v>
      </c>
      <c r="D55" s="215" t="s">
        <v>110</v>
      </c>
      <c r="E55" s="215" t="s">
        <v>110</v>
      </c>
      <c r="F55" s="213" t="s">
        <v>3627</v>
      </c>
      <c r="G55" s="211" t="s">
        <v>168</v>
      </c>
      <c r="H55" s="216" t="s">
        <v>166</v>
      </c>
      <c r="I55" s="217"/>
      <c r="J55" s="211" t="s">
        <v>167</v>
      </c>
      <c r="K55" s="211"/>
      <c r="L55" s="211" t="s">
        <v>99</v>
      </c>
      <c r="M55" s="211" t="s">
        <v>124</v>
      </c>
      <c r="N55" s="211" t="s">
        <v>14</v>
      </c>
      <c r="O55" s="211">
        <v>1</v>
      </c>
      <c r="P55" s="213" t="s">
        <v>37</v>
      </c>
      <c r="Q55" s="213" t="s">
        <v>108</v>
      </c>
      <c r="R55" s="218">
        <v>7054000</v>
      </c>
      <c r="S55" s="218">
        <f>Product_Name[[#This Row],[Đơn giá
Unit Price]]*Product_Name[[#This Row],[Số lượng
Quantity]]</f>
        <v>7054000</v>
      </c>
      <c r="T55" s="219">
        <v>44126</v>
      </c>
      <c r="U55" s="220">
        <v>43962</v>
      </c>
      <c r="V55" s="221">
        <v>44146</v>
      </c>
      <c r="W55" s="211" t="s">
        <v>2813</v>
      </c>
      <c r="X55" s="211" t="s">
        <v>16</v>
      </c>
      <c r="Y55" s="220"/>
      <c r="Z55" s="216"/>
      <c r="AA55" s="216"/>
      <c r="AB55" s="227"/>
      <c r="AC55" s="295"/>
    </row>
    <row r="56" spans="1:29" ht="15.5" x14ac:dyDescent="0.35">
      <c r="A56" s="215"/>
      <c r="B56" s="214" t="s">
        <v>250</v>
      </c>
      <c r="C56" s="215"/>
      <c r="D56" s="215" t="s">
        <v>177</v>
      </c>
      <c r="E56" s="215">
        <v>2021</v>
      </c>
      <c r="F56" s="214" t="s">
        <v>170</v>
      </c>
      <c r="G56" s="211" t="s">
        <v>169</v>
      </c>
      <c r="H56" s="216" t="s">
        <v>171</v>
      </c>
      <c r="I56" s="217"/>
      <c r="J56" s="211"/>
      <c r="K56" s="214" t="s">
        <v>1452</v>
      </c>
      <c r="L56" s="214" t="s">
        <v>1452</v>
      </c>
      <c r="M56" s="211" t="s">
        <v>63</v>
      </c>
      <c r="N56" s="211" t="s">
        <v>642</v>
      </c>
      <c r="O56" s="211">
        <v>1</v>
      </c>
      <c r="P56" s="213" t="s">
        <v>37</v>
      </c>
      <c r="Q56" s="213" t="s">
        <v>108</v>
      </c>
      <c r="R56" s="218">
        <v>36900000</v>
      </c>
      <c r="S56" s="218">
        <f>Product_Name[[#This Row],[Đơn giá
Unit Price]]*Product_Name[[#This Row],[Số lượng
Quantity]]</f>
        <v>36900000</v>
      </c>
      <c r="T56" s="219">
        <v>44126</v>
      </c>
      <c r="U56" s="220">
        <v>43962</v>
      </c>
      <c r="V56" s="221">
        <v>44146</v>
      </c>
      <c r="W56" s="211" t="s">
        <v>2813</v>
      </c>
      <c r="X56" s="211" t="s">
        <v>16</v>
      </c>
      <c r="Y56" s="220"/>
      <c r="Z56" s="227" t="s">
        <v>63</v>
      </c>
      <c r="AA56" s="216"/>
      <c r="AB56" s="227"/>
      <c r="AC56" s="295"/>
    </row>
    <row r="57" spans="1:29" ht="15.5" x14ac:dyDescent="0.35">
      <c r="A57" s="211"/>
      <c r="B57" s="214" t="s">
        <v>336</v>
      </c>
      <c r="C57" s="211"/>
      <c r="D57" s="215" t="s">
        <v>302</v>
      </c>
      <c r="E57" s="215">
        <v>2045</v>
      </c>
      <c r="F57" s="214" t="s">
        <v>110</v>
      </c>
      <c r="G57" s="211" t="s">
        <v>110</v>
      </c>
      <c r="H57" s="216" t="s">
        <v>172</v>
      </c>
      <c r="I57" s="217"/>
      <c r="J57" s="211" t="s">
        <v>174</v>
      </c>
      <c r="K57" s="211" t="s">
        <v>176</v>
      </c>
      <c r="L57" s="211" t="s">
        <v>176</v>
      </c>
      <c r="M57" s="211" t="s">
        <v>63</v>
      </c>
      <c r="N57" s="211" t="s">
        <v>642</v>
      </c>
      <c r="O57" s="211">
        <v>1</v>
      </c>
      <c r="P57" s="213" t="s">
        <v>37</v>
      </c>
      <c r="Q57" s="213" t="s">
        <v>108</v>
      </c>
      <c r="R57" s="218">
        <v>586000</v>
      </c>
      <c r="S57" s="218">
        <f>Product_Name[[#This Row],[Đơn giá
Unit Price]]*Product_Name[[#This Row],[Số lượng
Quantity]]</f>
        <v>586000</v>
      </c>
      <c r="T57" s="219">
        <v>44133</v>
      </c>
      <c r="U57" s="220">
        <v>44148</v>
      </c>
      <c r="V57" s="221">
        <v>44180</v>
      </c>
      <c r="W57" s="211" t="s">
        <v>51</v>
      </c>
      <c r="X57" s="211" t="s">
        <v>16</v>
      </c>
      <c r="Y57" s="220"/>
      <c r="Z57" s="227" t="s">
        <v>63</v>
      </c>
      <c r="AA57" s="216"/>
      <c r="AB57" s="227"/>
      <c r="AC57" s="295"/>
    </row>
    <row r="58" spans="1:29" ht="15.5" x14ac:dyDescent="0.35">
      <c r="A58" s="211"/>
      <c r="B58" s="214" t="s">
        <v>336</v>
      </c>
      <c r="C58" s="211"/>
      <c r="D58" s="215" t="s">
        <v>302</v>
      </c>
      <c r="E58" s="215">
        <v>2045</v>
      </c>
      <c r="F58" s="214" t="s">
        <v>110</v>
      </c>
      <c r="G58" s="211" t="s">
        <v>110</v>
      </c>
      <c r="H58" s="216" t="s">
        <v>173</v>
      </c>
      <c r="I58" s="217"/>
      <c r="J58" s="211" t="s">
        <v>175</v>
      </c>
      <c r="K58" s="211" t="s">
        <v>176</v>
      </c>
      <c r="L58" s="211" t="s">
        <v>176</v>
      </c>
      <c r="M58" s="211" t="s">
        <v>63</v>
      </c>
      <c r="N58" s="211" t="s">
        <v>642</v>
      </c>
      <c r="O58" s="211">
        <v>1</v>
      </c>
      <c r="P58" s="213" t="s">
        <v>37</v>
      </c>
      <c r="Q58" s="213" t="s">
        <v>108</v>
      </c>
      <c r="R58" s="218">
        <v>619000</v>
      </c>
      <c r="S58" s="218">
        <f>Product_Name[[#This Row],[Đơn giá
Unit Price]]*Product_Name[[#This Row],[Số lượng
Quantity]]</f>
        <v>619000</v>
      </c>
      <c r="T58" s="219">
        <v>44133</v>
      </c>
      <c r="U58" s="220">
        <v>44148</v>
      </c>
      <c r="V58" s="221">
        <v>44180</v>
      </c>
      <c r="W58" s="211" t="s">
        <v>51</v>
      </c>
      <c r="X58" s="211" t="s">
        <v>16</v>
      </c>
      <c r="Y58" s="220"/>
      <c r="Z58" s="227" t="s">
        <v>63</v>
      </c>
      <c r="AA58" s="216"/>
      <c r="AB58" s="227"/>
      <c r="AC58" s="295"/>
    </row>
    <row r="59" spans="1:29" ht="15.5" x14ac:dyDescent="0.35">
      <c r="A59" s="215"/>
      <c r="B59" s="214" t="s">
        <v>334</v>
      </c>
      <c r="C59" s="215"/>
      <c r="D59" s="215" t="s">
        <v>211</v>
      </c>
      <c r="E59" s="215">
        <v>2095</v>
      </c>
      <c r="F59" s="214" t="s">
        <v>212</v>
      </c>
      <c r="G59" s="211" t="s">
        <v>213</v>
      </c>
      <c r="H59" s="224" t="s">
        <v>208</v>
      </c>
      <c r="I59" s="225"/>
      <c r="J59" s="213" t="s">
        <v>209</v>
      </c>
      <c r="K59" s="211"/>
      <c r="L59" s="211" t="s">
        <v>210</v>
      </c>
      <c r="M59" s="211" t="s">
        <v>63</v>
      </c>
      <c r="N59" s="211" t="s">
        <v>642</v>
      </c>
      <c r="O59" s="211">
        <v>1</v>
      </c>
      <c r="P59" s="213" t="s">
        <v>37</v>
      </c>
      <c r="Q59" s="213" t="s">
        <v>108</v>
      </c>
      <c r="R59" s="218">
        <v>5660000</v>
      </c>
      <c r="S59" s="218">
        <f>Product_Name[[#This Row],[Đơn giá
Unit Price]]*Product_Name[[#This Row],[Số lượng
Quantity]]</f>
        <v>5660000</v>
      </c>
      <c r="T59" s="219">
        <v>44154</v>
      </c>
      <c r="U59" s="220">
        <v>44162</v>
      </c>
      <c r="V59" s="221">
        <v>44200</v>
      </c>
      <c r="W59" s="211" t="s">
        <v>21</v>
      </c>
      <c r="X59" s="211" t="s">
        <v>16</v>
      </c>
      <c r="Y59" s="220"/>
      <c r="Z59" s="227" t="s">
        <v>63</v>
      </c>
      <c r="AA59" s="216"/>
      <c r="AB59" s="227"/>
      <c r="AC59" s="295"/>
    </row>
    <row r="60" spans="1:29" ht="15.5" x14ac:dyDescent="0.35">
      <c r="A60" s="215"/>
      <c r="B60" s="214" t="s">
        <v>248</v>
      </c>
      <c r="C60" s="215"/>
      <c r="D60" s="215" t="s">
        <v>224</v>
      </c>
      <c r="E60" s="215">
        <v>2129</v>
      </c>
      <c r="F60" s="214" t="s">
        <v>110</v>
      </c>
      <c r="G60" s="211" t="s">
        <v>110</v>
      </c>
      <c r="H60" s="224" t="s">
        <v>214</v>
      </c>
      <c r="I60" s="225"/>
      <c r="J60" s="213" t="s">
        <v>216</v>
      </c>
      <c r="K60" s="211"/>
      <c r="L60" s="211" t="s">
        <v>218</v>
      </c>
      <c r="M60" s="211" t="s">
        <v>63</v>
      </c>
      <c r="N60" s="211" t="s">
        <v>642</v>
      </c>
      <c r="O60" s="211">
        <v>1</v>
      </c>
      <c r="P60" s="213" t="s">
        <v>37</v>
      </c>
      <c r="Q60" s="213" t="s">
        <v>108</v>
      </c>
      <c r="R60" s="218">
        <v>921100</v>
      </c>
      <c r="S60" s="218">
        <f>Product_Name[[#This Row],[Đơn giá
Unit Price]]*Product_Name[[#This Row],[Số lượng
Quantity]]</f>
        <v>921100</v>
      </c>
      <c r="T60" s="219">
        <v>44162</v>
      </c>
      <c r="U60" s="220">
        <v>44172</v>
      </c>
      <c r="V60" s="221">
        <v>43842</v>
      </c>
      <c r="W60" s="211" t="s">
        <v>21</v>
      </c>
      <c r="X60" s="211" t="s">
        <v>16</v>
      </c>
      <c r="Y60" s="220"/>
      <c r="Z60" s="227" t="s">
        <v>63</v>
      </c>
      <c r="AA60" s="216"/>
      <c r="AB60" s="227"/>
      <c r="AC60" s="295"/>
    </row>
    <row r="61" spans="1:29" ht="15.5" x14ac:dyDescent="0.35">
      <c r="A61" s="215"/>
      <c r="B61" s="214" t="s">
        <v>249</v>
      </c>
      <c r="C61" s="215"/>
      <c r="D61" s="215" t="s">
        <v>225</v>
      </c>
      <c r="E61" s="215">
        <v>2130</v>
      </c>
      <c r="F61" s="214" t="s">
        <v>110</v>
      </c>
      <c r="G61" s="211" t="s">
        <v>110</v>
      </c>
      <c r="H61" s="224" t="s">
        <v>215</v>
      </c>
      <c r="I61" s="225"/>
      <c r="J61" s="213" t="s">
        <v>217</v>
      </c>
      <c r="K61" s="211"/>
      <c r="L61" s="211" t="s">
        <v>218</v>
      </c>
      <c r="M61" s="211" t="s">
        <v>63</v>
      </c>
      <c r="N61" s="211" t="s">
        <v>642</v>
      </c>
      <c r="O61" s="211">
        <v>1</v>
      </c>
      <c r="P61" s="213" t="s">
        <v>37</v>
      </c>
      <c r="Q61" s="213" t="s">
        <v>108</v>
      </c>
      <c r="R61" s="218">
        <v>1104100</v>
      </c>
      <c r="S61" s="218">
        <f>Product_Name[[#This Row],[Đơn giá
Unit Price]]*Product_Name[[#This Row],[Số lượng
Quantity]]</f>
        <v>1104100</v>
      </c>
      <c r="T61" s="219">
        <v>44162</v>
      </c>
      <c r="U61" s="220">
        <v>44172</v>
      </c>
      <c r="V61" s="221">
        <v>43842</v>
      </c>
      <c r="W61" s="211" t="s">
        <v>21</v>
      </c>
      <c r="X61" s="211" t="s">
        <v>16</v>
      </c>
      <c r="Y61" s="220"/>
      <c r="Z61" s="227" t="s">
        <v>63</v>
      </c>
      <c r="AA61" s="216"/>
      <c r="AB61" s="227"/>
      <c r="AC61" s="295"/>
    </row>
    <row r="62" spans="1:29" ht="15.5" x14ac:dyDescent="0.35">
      <c r="A62" s="211">
        <v>2113</v>
      </c>
      <c r="B62" s="214" t="s">
        <v>2743</v>
      </c>
      <c r="C62" s="211">
        <v>2222</v>
      </c>
      <c r="D62" s="215" t="s">
        <v>110</v>
      </c>
      <c r="E62" s="215" t="s">
        <v>110</v>
      </c>
      <c r="F62" s="214" t="s">
        <v>110</v>
      </c>
      <c r="G62" s="211" t="s">
        <v>110</v>
      </c>
      <c r="H62" s="224" t="s">
        <v>219</v>
      </c>
      <c r="I62" s="225" t="s">
        <v>2330</v>
      </c>
      <c r="J62" s="213" t="s">
        <v>933</v>
      </c>
      <c r="K62" s="211" t="s">
        <v>210</v>
      </c>
      <c r="L62" s="211" t="s">
        <v>210</v>
      </c>
      <c r="M62" s="211" t="s">
        <v>327</v>
      </c>
      <c r="N62" s="211" t="s">
        <v>14</v>
      </c>
      <c r="O62" s="211">
        <v>2</v>
      </c>
      <c r="P62" s="213" t="s">
        <v>105</v>
      </c>
      <c r="Q62" s="213" t="s">
        <v>108</v>
      </c>
      <c r="R62" s="218">
        <v>435000</v>
      </c>
      <c r="S62" s="218">
        <f>Product_Name[[#This Row],[Đơn giá
Unit Price]]*Product_Name[[#This Row],[Số lượng
Quantity]]</f>
        <v>870000</v>
      </c>
      <c r="T62" s="219">
        <v>44159</v>
      </c>
      <c r="U62" s="220">
        <v>44167</v>
      </c>
      <c r="V62" s="221">
        <v>44168</v>
      </c>
      <c r="W62" s="211" t="s">
        <v>21</v>
      </c>
      <c r="X62" s="211" t="s">
        <v>16</v>
      </c>
      <c r="Y62" s="220"/>
      <c r="Z62" s="216"/>
      <c r="AA62" s="216"/>
      <c r="AB62" s="227"/>
      <c r="AC62" s="295"/>
    </row>
    <row r="63" spans="1:29" ht="15.5" x14ac:dyDescent="0.35">
      <c r="A63" s="211">
        <v>2112</v>
      </c>
      <c r="B63" s="214" t="s">
        <v>2744</v>
      </c>
      <c r="C63" s="211">
        <v>2225</v>
      </c>
      <c r="D63" s="215" t="s">
        <v>110</v>
      </c>
      <c r="E63" s="215" t="s">
        <v>110</v>
      </c>
      <c r="F63" s="211" t="s">
        <v>110</v>
      </c>
      <c r="G63" s="211" t="s">
        <v>110</v>
      </c>
      <c r="H63" s="224" t="s">
        <v>222</v>
      </c>
      <c r="I63" s="217" t="s">
        <v>1377</v>
      </c>
      <c r="J63" s="213" t="s">
        <v>220</v>
      </c>
      <c r="K63" s="211"/>
      <c r="L63" s="211" t="s">
        <v>210</v>
      </c>
      <c r="M63" s="211" t="s">
        <v>327</v>
      </c>
      <c r="N63" s="211" t="s">
        <v>14</v>
      </c>
      <c r="O63" s="211">
        <v>2</v>
      </c>
      <c r="P63" s="213" t="s">
        <v>105</v>
      </c>
      <c r="Q63" s="213" t="s">
        <v>108</v>
      </c>
      <c r="R63" s="218">
        <v>353400</v>
      </c>
      <c r="S63" s="218">
        <f>Product_Name[[#This Row],[Đơn giá
Unit Price]]*Product_Name[[#This Row],[Số lượng
Quantity]]</f>
        <v>706800</v>
      </c>
      <c r="T63" s="219">
        <v>44159</v>
      </c>
      <c r="U63" s="220">
        <v>44167</v>
      </c>
      <c r="V63" s="221">
        <v>44168</v>
      </c>
      <c r="W63" s="211" t="s">
        <v>21</v>
      </c>
      <c r="X63" s="211" t="s">
        <v>16</v>
      </c>
      <c r="Y63" s="220"/>
      <c r="Z63" s="216" t="s">
        <v>328</v>
      </c>
      <c r="AA63" s="216"/>
      <c r="AB63" s="227"/>
      <c r="AC63" s="295"/>
    </row>
    <row r="64" spans="1:29" ht="15.5" x14ac:dyDescent="0.35">
      <c r="A64" s="211">
        <v>2112</v>
      </c>
      <c r="B64" s="214" t="s">
        <v>2744</v>
      </c>
      <c r="C64" s="211">
        <v>2225</v>
      </c>
      <c r="D64" s="215" t="s">
        <v>110</v>
      </c>
      <c r="E64" s="215" t="s">
        <v>110</v>
      </c>
      <c r="F64" s="211" t="s">
        <v>110</v>
      </c>
      <c r="G64" s="211" t="s">
        <v>110</v>
      </c>
      <c r="H64" s="224" t="s">
        <v>223</v>
      </c>
      <c r="I64" s="225"/>
      <c r="J64" s="213" t="s">
        <v>221</v>
      </c>
      <c r="K64" s="211"/>
      <c r="L64" s="211" t="s">
        <v>210</v>
      </c>
      <c r="M64" s="211" t="s">
        <v>327</v>
      </c>
      <c r="N64" s="211" t="s">
        <v>14</v>
      </c>
      <c r="O64" s="211">
        <v>2</v>
      </c>
      <c r="P64" s="213" t="s">
        <v>105</v>
      </c>
      <c r="Q64" s="213" t="s">
        <v>108</v>
      </c>
      <c r="R64" s="218">
        <v>912000</v>
      </c>
      <c r="S64" s="218">
        <f>Product_Name[[#This Row],[Đơn giá
Unit Price]]*Product_Name[[#This Row],[Số lượng
Quantity]]</f>
        <v>1824000</v>
      </c>
      <c r="T64" s="219">
        <v>44159</v>
      </c>
      <c r="U64" s="220">
        <v>44167</v>
      </c>
      <c r="V64" s="221">
        <v>44168</v>
      </c>
      <c r="W64" s="211" t="s">
        <v>21</v>
      </c>
      <c r="X64" s="211" t="s">
        <v>16</v>
      </c>
      <c r="Y64" s="220"/>
      <c r="Z64" s="216" t="s">
        <v>328</v>
      </c>
      <c r="AA64" s="216"/>
      <c r="AB64" s="227"/>
      <c r="AC64" s="295"/>
    </row>
    <row r="65" spans="1:29" s="71" customFormat="1" ht="15.5" x14ac:dyDescent="0.35">
      <c r="A65" s="211">
        <v>2709</v>
      </c>
      <c r="B65" s="214" t="s">
        <v>2745</v>
      </c>
      <c r="C65" s="211">
        <v>2899</v>
      </c>
      <c r="D65" s="215" t="s">
        <v>110</v>
      </c>
      <c r="E65" s="215" t="s">
        <v>110</v>
      </c>
      <c r="F65" s="211" t="s">
        <v>110</v>
      </c>
      <c r="G65" s="211" t="s">
        <v>110</v>
      </c>
      <c r="H65" s="217" t="s">
        <v>222</v>
      </c>
      <c r="I65" s="217" t="s">
        <v>1377</v>
      </c>
      <c r="J65" s="214" t="s">
        <v>220</v>
      </c>
      <c r="K65" s="214"/>
      <c r="L65" s="214" t="s">
        <v>321</v>
      </c>
      <c r="M65" s="214" t="s">
        <v>327</v>
      </c>
      <c r="N65" s="214" t="s">
        <v>14</v>
      </c>
      <c r="O65" s="214">
        <v>10</v>
      </c>
      <c r="P65" s="223" t="s">
        <v>105</v>
      </c>
      <c r="Q65" s="223" t="s">
        <v>108</v>
      </c>
      <c r="R65" s="229">
        <v>120000</v>
      </c>
      <c r="S65" s="229">
        <f>Product_Name[[#This Row],[Đơn giá
Unit Price]]*Product_Name[[#This Row],[Số lượng
Quantity]]</f>
        <v>1200000</v>
      </c>
      <c r="T65" s="230">
        <v>44335</v>
      </c>
      <c r="U65" s="227">
        <v>44337</v>
      </c>
      <c r="V65" s="231">
        <v>44336</v>
      </c>
      <c r="W65" s="214" t="s">
        <v>2813</v>
      </c>
      <c r="X65" s="214" t="s">
        <v>16</v>
      </c>
      <c r="Y65" s="220"/>
      <c r="Z65" s="216" t="s">
        <v>328</v>
      </c>
      <c r="AA65" s="216"/>
      <c r="AB65" s="227"/>
      <c r="AC65" s="295"/>
    </row>
    <row r="66" spans="1:29" s="71" customFormat="1" ht="15.5" x14ac:dyDescent="0.35">
      <c r="A66" s="211">
        <v>2709</v>
      </c>
      <c r="B66" s="214" t="s">
        <v>2745</v>
      </c>
      <c r="C66" s="211">
        <v>2899</v>
      </c>
      <c r="D66" s="215" t="s">
        <v>110</v>
      </c>
      <c r="E66" s="215" t="s">
        <v>110</v>
      </c>
      <c r="F66" s="211" t="s">
        <v>110</v>
      </c>
      <c r="G66" s="211" t="s">
        <v>110</v>
      </c>
      <c r="H66" s="217" t="s">
        <v>223</v>
      </c>
      <c r="I66" s="217"/>
      <c r="J66" s="223" t="s">
        <v>221</v>
      </c>
      <c r="K66" s="214"/>
      <c r="L66" s="214" t="s">
        <v>321</v>
      </c>
      <c r="M66" s="214" t="s">
        <v>327</v>
      </c>
      <c r="N66" s="214" t="s">
        <v>14</v>
      </c>
      <c r="O66" s="214">
        <v>5</v>
      </c>
      <c r="P66" s="223" t="s">
        <v>105</v>
      </c>
      <c r="Q66" s="223" t="s">
        <v>108</v>
      </c>
      <c r="R66" s="229">
        <v>680000</v>
      </c>
      <c r="S66" s="229">
        <f>Product_Name[[#This Row],[Đơn giá
Unit Price]]*Product_Name[[#This Row],[Số lượng
Quantity]]</f>
        <v>3400000</v>
      </c>
      <c r="T66" s="230">
        <v>44335</v>
      </c>
      <c r="U66" s="227">
        <v>44337</v>
      </c>
      <c r="V66" s="231">
        <v>44336</v>
      </c>
      <c r="W66" s="214" t="s">
        <v>2813</v>
      </c>
      <c r="X66" s="214" t="s">
        <v>16</v>
      </c>
      <c r="Y66" s="220"/>
      <c r="Z66" s="216" t="s">
        <v>328</v>
      </c>
      <c r="AA66" s="216"/>
      <c r="AB66" s="227"/>
      <c r="AC66" s="295"/>
    </row>
    <row r="67" spans="1:29" ht="15.5" x14ac:dyDescent="0.35">
      <c r="A67" s="215" t="s">
        <v>110</v>
      </c>
      <c r="B67" s="214" t="s">
        <v>306</v>
      </c>
      <c r="C67" s="215" t="s">
        <v>110</v>
      </c>
      <c r="D67" s="215" t="s">
        <v>228</v>
      </c>
      <c r="E67" s="215">
        <v>2135</v>
      </c>
      <c r="F67" s="211" t="s">
        <v>110</v>
      </c>
      <c r="G67" s="211" t="s">
        <v>110</v>
      </c>
      <c r="H67" s="224" t="s">
        <v>227</v>
      </c>
      <c r="I67" s="225" t="s">
        <v>2312</v>
      </c>
      <c r="J67" s="213" t="s">
        <v>226</v>
      </c>
      <c r="K67" s="211" t="s">
        <v>2313</v>
      </c>
      <c r="L67" s="211" t="s">
        <v>2515</v>
      </c>
      <c r="M67" s="214" t="s">
        <v>796</v>
      </c>
      <c r="N67" s="211" t="s">
        <v>642</v>
      </c>
      <c r="O67" s="211">
        <v>5</v>
      </c>
      <c r="P67" s="213" t="s">
        <v>37</v>
      </c>
      <c r="Q67" s="213" t="s">
        <v>108</v>
      </c>
      <c r="R67" s="218">
        <v>380000</v>
      </c>
      <c r="S67" s="218">
        <f>Product_Name[[#This Row],[Đơn giá
Unit Price]]*Product_Name[[#This Row],[Số lượng
Quantity]]</f>
        <v>1900000</v>
      </c>
      <c r="T67" s="219">
        <v>44163</v>
      </c>
      <c r="U67" s="220">
        <v>44172</v>
      </c>
      <c r="V67" s="221">
        <v>44188</v>
      </c>
      <c r="W67" s="211" t="s">
        <v>2813</v>
      </c>
      <c r="X67" s="211" t="s">
        <v>16</v>
      </c>
      <c r="Y67" s="220"/>
      <c r="Z67" s="216"/>
      <c r="AA67" s="216" t="s">
        <v>2181</v>
      </c>
      <c r="AB67" s="227"/>
      <c r="AC67" s="295"/>
    </row>
    <row r="68" spans="1:29" ht="15.5" x14ac:dyDescent="0.35">
      <c r="A68" s="211">
        <v>2159</v>
      </c>
      <c r="B68" s="214" t="s">
        <v>2746</v>
      </c>
      <c r="C68" s="211">
        <v>2275</v>
      </c>
      <c r="D68" s="215" t="s">
        <v>110</v>
      </c>
      <c r="E68" s="215" t="s">
        <v>110</v>
      </c>
      <c r="F68" s="211" t="s">
        <v>110</v>
      </c>
      <c r="G68" s="211" t="s">
        <v>110</v>
      </c>
      <c r="H68" s="224" t="s">
        <v>229</v>
      </c>
      <c r="I68" s="225"/>
      <c r="J68" s="232" t="s">
        <v>230</v>
      </c>
      <c r="K68" s="211"/>
      <c r="L68" s="211" t="s">
        <v>231</v>
      </c>
      <c r="M68" s="211" t="s">
        <v>123</v>
      </c>
      <c r="N68" s="211" t="s">
        <v>14</v>
      </c>
      <c r="O68" s="211">
        <v>10</v>
      </c>
      <c r="P68" s="213" t="s">
        <v>232</v>
      </c>
      <c r="Q68" s="213" t="s">
        <v>108</v>
      </c>
      <c r="R68" s="218">
        <v>300000</v>
      </c>
      <c r="S68" s="218">
        <f>Product_Name[[#This Row],[Đơn giá
Unit Price]]*Product_Name[[#This Row],[Số lượng
Quantity]]</f>
        <v>3000000</v>
      </c>
      <c r="T68" s="219">
        <v>44166</v>
      </c>
      <c r="U68" s="220">
        <v>44173</v>
      </c>
      <c r="V68" s="221">
        <v>44179</v>
      </c>
      <c r="W68" s="211" t="s">
        <v>21</v>
      </c>
      <c r="X68" s="211" t="s">
        <v>16</v>
      </c>
      <c r="Y68" s="220"/>
      <c r="Z68" s="216" t="s">
        <v>328</v>
      </c>
      <c r="AA68" s="216"/>
      <c r="AB68" s="227"/>
      <c r="AC68" s="295"/>
    </row>
    <row r="69" spans="1:29" ht="15.5" x14ac:dyDescent="0.35">
      <c r="A69" s="211">
        <v>2158</v>
      </c>
      <c r="B69" s="214" t="s">
        <v>2747</v>
      </c>
      <c r="C69" s="211">
        <v>2281</v>
      </c>
      <c r="D69" s="215" t="s">
        <v>110</v>
      </c>
      <c r="E69" s="215" t="s">
        <v>110</v>
      </c>
      <c r="F69" s="211" t="s">
        <v>110</v>
      </c>
      <c r="G69" s="211" t="s">
        <v>110</v>
      </c>
      <c r="H69" s="224" t="s">
        <v>233</v>
      </c>
      <c r="I69" s="225"/>
      <c r="J69" s="213" t="s">
        <v>240</v>
      </c>
      <c r="K69" s="211"/>
      <c r="L69" s="211" t="s">
        <v>218</v>
      </c>
      <c r="M69" s="211" t="s">
        <v>124</v>
      </c>
      <c r="N69" s="211" t="s">
        <v>14</v>
      </c>
      <c r="O69" s="211">
        <v>5</v>
      </c>
      <c r="P69" s="213" t="s">
        <v>247</v>
      </c>
      <c r="Q69" s="213" t="s">
        <v>108</v>
      </c>
      <c r="R69" s="218">
        <v>54900</v>
      </c>
      <c r="S69" s="218">
        <f>Product_Name[[#This Row],[Đơn giá
Unit Price]]*Product_Name[[#This Row],[Số lượng
Quantity]]</f>
        <v>274500</v>
      </c>
      <c r="T69" s="219">
        <v>44168</v>
      </c>
      <c r="U69" s="220">
        <v>44175</v>
      </c>
      <c r="V69" s="221">
        <v>44180</v>
      </c>
      <c r="W69" s="211" t="s">
        <v>21</v>
      </c>
      <c r="X69" s="211" t="s">
        <v>16</v>
      </c>
      <c r="Y69" s="220"/>
      <c r="Z69" s="216"/>
      <c r="AA69" s="216"/>
      <c r="AB69" s="227"/>
      <c r="AC69" s="295"/>
    </row>
    <row r="70" spans="1:29" ht="15.5" x14ac:dyDescent="0.35">
      <c r="A70" s="211">
        <v>2158</v>
      </c>
      <c r="B70" s="214" t="s">
        <v>2747</v>
      </c>
      <c r="C70" s="211">
        <v>2281</v>
      </c>
      <c r="D70" s="215" t="s">
        <v>110</v>
      </c>
      <c r="E70" s="215" t="s">
        <v>110</v>
      </c>
      <c r="F70" s="211" t="s">
        <v>110</v>
      </c>
      <c r="G70" s="211" t="s">
        <v>110</v>
      </c>
      <c r="H70" s="224" t="s">
        <v>234</v>
      </c>
      <c r="I70" s="225"/>
      <c r="J70" s="213" t="s">
        <v>241</v>
      </c>
      <c r="K70" s="211"/>
      <c r="L70" s="211" t="s">
        <v>218</v>
      </c>
      <c r="M70" s="211" t="s">
        <v>124</v>
      </c>
      <c r="N70" s="211" t="s">
        <v>14</v>
      </c>
      <c r="O70" s="211">
        <v>5</v>
      </c>
      <c r="P70" s="213" t="s">
        <v>247</v>
      </c>
      <c r="Q70" s="213" t="s">
        <v>108</v>
      </c>
      <c r="R70" s="218">
        <v>36600</v>
      </c>
      <c r="S70" s="218">
        <f>Product_Name[[#This Row],[Đơn giá
Unit Price]]*Product_Name[[#This Row],[Số lượng
Quantity]]</f>
        <v>183000</v>
      </c>
      <c r="T70" s="219">
        <v>44168</v>
      </c>
      <c r="U70" s="220">
        <v>44175</v>
      </c>
      <c r="V70" s="221">
        <v>44180</v>
      </c>
      <c r="W70" s="211" t="s">
        <v>21</v>
      </c>
      <c r="X70" s="211" t="s">
        <v>16</v>
      </c>
      <c r="Y70" s="220"/>
      <c r="Z70" s="216"/>
      <c r="AA70" s="216"/>
      <c r="AB70" s="227"/>
      <c r="AC70" s="295"/>
    </row>
    <row r="71" spans="1:29" ht="15.5" x14ac:dyDescent="0.35">
      <c r="A71" s="211">
        <v>2158</v>
      </c>
      <c r="B71" s="214" t="s">
        <v>2747</v>
      </c>
      <c r="C71" s="211">
        <v>2281</v>
      </c>
      <c r="D71" s="215" t="s">
        <v>110</v>
      </c>
      <c r="E71" s="215" t="s">
        <v>110</v>
      </c>
      <c r="F71" s="211" t="s">
        <v>110</v>
      </c>
      <c r="G71" s="211" t="s">
        <v>110</v>
      </c>
      <c r="H71" s="224" t="s">
        <v>235</v>
      </c>
      <c r="I71" s="225"/>
      <c r="J71" s="213" t="s">
        <v>242</v>
      </c>
      <c r="K71" s="211"/>
      <c r="L71" s="211" t="s">
        <v>218</v>
      </c>
      <c r="M71" s="211" t="s">
        <v>124</v>
      </c>
      <c r="N71" s="211" t="s">
        <v>14</v>
      </c>
      <c r="O71" s="211">
        <v>5</v>
      </c>
      <c r="P71" s="213" t="s">
        <v>247</v>
      </c>
      <c r="Q71" s="213" t="s">
        <v>108</v>
      </c>
      <c r="R71" s="218">
        <v>26800</v>
      </c>
      <c r="S71" s="218">
        <f>Product_Name[[#This Row],[Đơn giá
Unit Price]]*Product_Name[[#This Row],[Số lượng
Quantity]]</f>
        <v>134000</v>
      </c>
      <c r="T71" s="219">
        <v>44168</v>
      </c>
      <c r="U71" s="220">
        <v>44175</v>
      </c>
      <c r="V71" s="221">
        <v>44180</v>
      </c>
      <c r="W71" s="211" t="s">
        <v>21</v>
      </c>
      <c r="X71" s="211" t="s">
        <v>16</v>
      </c>
      <c r="Y71" s="220"/>
      <c r="Z71" s="216"/>
      <c r="AA71" s="216"/>
      <c r="AB71" s="227"/>
      <c r="AC71" s="295"/>
    </row>
    <row r="72" spans="1:29" ht="15.5" x14ac:dyDescent="0.35">
      <c r="A72" s="211">
        <v>2158</v>
      </c>
      <c r="B72" s="214" t="s">
        <v>2747</v>
      </c>
      <c r="C72" s="211">
        <v>2281</v>
      </c>
      <c r="D72" s="215" t="s">
        <v>110</v>
      </c>
      <c r="E72" s="215" t="s">
        <v>110</v>
      </c>
      <c r="F72" s="211" t="s">
        <v>110</v>
      </c>
      <c r="G72" s="211" t="s">
        <v>110</v>
      </c>
      <c r="H72" s="224" t="s">
        <v>236</v>
      </c>
      <c r="I72" s="225"/>
      <c r="J72" s="213" t="s">
        <v>243</v>
      </c>
      <c r="K72" s="211"/>
      <c r="L72" s="211" t="s">
        <v>218</v>
      </c>
      <c r="M72" s="211" t="s">
        <v>124</v>
      </c>
      <c r="N72" s="211" t="s">
        <v>14</v>
      </c>
      <c r="O72" s="211">
        <v>5</v>
      </c>
      <c r="P72" s="213" t="s">
        <v>247</v>
      </c>
      <c r="Q72" s="213" t="s">
        <v>108</v>
      </c>
      <c r="R72" s="218">
        <v>54900</v>
      </c>
      <c r="S72" s="218">
        <f>Product_Name[[#This Row],[Đơn giá
Unit Price]]*Product_Name[[#This Row],[Số lượng
Quantity]]</f>
        <v>274500</v>
      </c>
      <c r="T72" s="219">
        <v>44168</v>
      </c>
      <c r="U72" s="220">
        <v>44175</v>
      </c>
      <c r="V72" s="221">
        <v>44180</v>
      </c>
      <c r="W72" s="211" t="s">
        <v>21</v>
      </c>
      <c r="X72" s="211" t="s">
        <v>16</v>
      </c>
      <c r="Y72" s="220"/>
      <c r="Z72" s="216"/>
      <c r="AA72" s="216"/>
      <c r="AB72" s="227"/>
      <c r="AC72" s="295"/>
    </row>
    <row r="73" spans="1:29" ht="15.5" x14ac:dyDescent="0.35">
      <c r="A73" s="211">
        <v>2158</v>
      </c>
      <c r="B73" s="214" t="s">
        <v>2747</v>
      </c>
      <c r="C73" s="211">
        <v>2281</v>
      </c>
      <c r="D73" s="215" t="s">
        <v>110</v>
      </c>
      <c r="E73" s="215" t="s">
        <v>110</v>
      </c>
      <c r="F73" s="211" t="s">
        <v>110</v>
      </c>
      <c r="G73" s="211" t="s">
        <v>110</v>
      </c>
      <c r="H73" s="224" t="s">
        <v>237</v>
      </c>
      <c r="I73" s="225"/>
      <c r="J73" s="213" t="s">
        <v>244</v>
      </c>
      <c r="K73" s="211"/>
      <c r="L73" s="211" t="s">
        <v>218</v>
      </c>
      <c r="M73" s="211" t="s">
        <v>124</v>
      </c>
      <c r="N73" s="211" t="s">
        <v>14</v>
      </c>
      <c r="O73" s="211">
        <v>5</v>
      </c>
      <c r="P73" s="213" t="s">
        <v>247</v>
      </c>
      <c r="Q73" s="213" t="s">
        <v>108</v>
      </c>
      <c r="R73" s="218">
        <v>19500</v>
      </c>
      <c r="S73" s="218">
        <f>Product_Name[[#This Row],[Đơn giá
Unit Price]]*Product_Name[[#This Row],[Số lượng
Quantity]]</f>
        <v>97500</v>
      </c>
      <c r="T73" s="219">
        <v>44168</v>
      </c>
      <c r="U73" s="220">
        <v>44175</v>
      </c>
      <c r="V73" s="221">
        <v>44180</v>
      </c>
      <c r="W73" s="211" t="s">
        <v>21</v>
      </c>
      <c r="X73" s="211" t="s">
        <v>16</v>
      </c>
      <c r="Y73" s="220"/>
      <c r="Z73" s="216"/>
      <c r="AA73" s="216"/>
      <c r="AB73" s="227"/>
      <c r="AC73" s="295"/>
    </row>
    <row r="74" spans="1:29" ht="15.5" x14ac:dyDescent="0.35">
      <c r="A74" s="211">
        <v>2158</v>
      </c>
      <c r="B74" s="214" t="s">
        <v>2747</v>
      </c>
      <c r="C74" s="211">
        <v>2281</v>
      </c>
      <c r="D74" s="215" t="s">
        <v>110</v>
      </c>
      <c r="E74" s="215" t="s">
        <v>110</v>
      </c>
      <c r="F74" s="211" t="s">
        <v>110</v>
      </c>
      <c r="G74" s="211" t="s">
        <v>110</v>
      </c>
      <c r="H74" s="224" t="s">
        <v>238</v>
      </c>
      <c r="I74" s="225"/>
      <c r="J74" s="213" t="s">
        <v>245</v>
      </c>
      <c r="K74" s="211"/>
      <c r="L74" s="211" t="s">
        <v>218</v>
      </c>
      <c r="M74" s="211" t="s">
        <v>124</v>
      </c>
      <c r="N74" s="211" t="s">
        <v>14</v>
      </c>
      <c r="O74" s="211">
        <v>5</v>
      </c>
      <c r="P74" s="213" t="s">
        <v>247</v>
      </c>
      <c r="Q74" s="213" t="s">
        <v>108</v>
      </c>
      <c r="R74" s="218">
        <v>19500</v>
      </c>
      <c r="S74" s="218">
        <f>Product_Name[[#This Row],[Đơn giá
Unit Price]]*Product_Name[[#This Row],[Số lượng
Quantity]]</f>
        <v>97500</v>
      </c>
      <c r="T74" s="219">
        <v>44168</v>
      </c>
      <c r="U74" s="220">
        <v>44175</v>
      </c>
      <c r="V74" s="221">
        <v>44180</v>
      </c>
      <c r="W74" s="211" t="s">
        <v>21</v>
      </c>
      <c r="X74" s="211" t="s">
        <v>16</v>
      </c>
      <c r="Y74" s="220"/>
      <c r="Z74" s="216"/>
      <c r="AA74" s="216"/>
      <c r="AB74" s="227"/>
      <c r="AC74" s="295"/>
    </row>
    <row r="75" spans="1:29" ht="15.5" x14ac:dyDescent="0.35">
      <c r="A75" s="211">
        <v>2158</v>
      </c>
      <c r="B75" s="214" t="s">
        <v>2747</v>
      </c>
      <c r="C75" s="211">
        <v>2281</v>
      </c>
      <c r="D75" s="215" t="s">
        <v>110</v>
      </c>
      <c r="E75" s="215" t="s">
        <v>110</v>
      </c>
      <c r="F75" s="211" t="s">
        <v>110</v>
      </c>
      <c r="G75" s="211" t="s">
        <v>110</v>
      </c>
      <c r="H75" s="224" t="s">
        <v>239</v>
      </c>
      <c r="I75" s="225"/>
      <c r="J75" s="213" t="s">
        <v>246</v>
      </c>
      <c r="K75" s="211"/>
      <c r="L75" s="211" t="s">
        <v>218</v>
      </c>
      <c r="M75" s="211" t="s">
        <v>124</v>
      </c>
      <c r="N75" s="211" t="s">
        <v>14</v>
      </c>
      <c r="O75" s="211">
        <v>5</v>
      </c>
      <c r="P75" s="213" t="s">
        <v>247</v>
      </c>
      <c r="Q75" s="213" t="s">
        <v>108</v>
      </c>
      <c r="R75" s="218">
        <v>73200</v>
      </c>
      <c r="S75" s="218">
        <f>Product_Name[[#This Row],[Đơn giá
Unit Price]]*Product_Name[[#This Row],[Số lượng
Quantity]]</f>
        <v>366000</v>
      </c>
      <c r="T75" s="219">
        <v>44168</v>
      </c>
      <c r="U75" s="220">
        <v>44175</v>
      </c>
      <c r="V75" s="221">
        <v>44180</v>
      </c>
      <c r="W75" s="211" t="s">
        <v>21</v>
      </c>
      <c r="X75" s="211" t="s">
        <v>16</v>
      </c>
      <c r="Y75" s="220"/>
      <c r="Z75" s="216"/>
      <c r="AA75" s="216"/>
      <c r="AB75" s="227"/>
      <c r="AC75" s="295"/>
    </row>
    <row r="76" spans="1:29" ht="15.5" x14ac:dyDescent="0.35">
      <c r="A76" s="211">
        <v>2177</v>
      </c>
      <c r="B76" s="214" t="s">
        <v>2748</v>
      </c>
      <c r="C76" s="211">
        <v>2288</v>
      </c>
      <c r="D76" s="215" t="s">
        <v>110</v>
      </c>
      <c r="E76" s="215" t="s">
        <v>110</v>
      </c>
      <c r="F76" s="211" t="s">
        <v>110</v>
      </c>
      <c r="G76" s="211" t="s">
        <v>110</v>
      </c>
      <c r="H76" s="224" t="s">
        <v>253</v>
      </c>
      <c r="I76" s="225"/>
      <c r="J76" s="213" t="s">
        <v>254</v>
      </c>
      <c r="K76" s="211"/>
      <c r="L76" s="211" t="s">
        <v>255</v>
      </c>
      <c r="M76" s="211" t="s">
        <v>123</v>
      </c>
      <c r="N76" s="211" t="s">
        <v>14</v>
      </c>
      <c r="O76" s="211">
        <v>500</v>
      </c>
      <c r="P76" s="213" t="s">
        <v>44</v>
      </c>
      <c r="Q76" s="213" t="s">
        <v>108</v>
      </c>
      <c r="R76" s="218">
        <v>2900</v>
      </c>
      <c r="S76" s="218">
        <f>Product_Name[[#This Row],[Đơn giá
Unit Price]]*Product_Name[[#This Row],[Số lượng
Quantity]]</f>
        <v>1450000</v>
      </c>
      <c r="T76" s="219">
        <v>44169</v>
      </c>
      <c r="U76" s="220">
        <v>44176</v>
      </c>
      <c r="V76" s="221">
        <v>44179</v>
      </c>
      <c r="W76" s="211" t="s">
        <v>21</v>
      </c>
      <c r="X76" s="211" t="s">
        <v>16</v>
      </c>
      <c r="Y76" s="220"/>
      <c r="Z76" s="216" t="s">
        <v>328</v>
      </c>
      <c r="AA76" s="216"/>
      <c r="AB76" s="227"/>
      <c r="AC76" s="295"/>
    </row>
    <row r="77" spans="1:29" ht="15.5" x14ac:dyDescent="0.35">
      <c r="A77" s="211">
        <v>2093</v>
      </c>
      <c r="B77" s="214" t="s">
        <v>2749</v>
      </c>
      <c r="C77" s="211">
        <v>2208</v>
      </c>
      <c r="D77" s="215" t="s">
        <v>110</v>
      </c>
      <c r="E77" s="215" t="s">
        <v>110</v>
      </c>
      <c r="F77" s="211" t="s">
        <v>110</v>
      </c>
      <c r="G77" s="211" t="s">
        <v>281</v>
      </c>
      <c r="H77" s="224" t="s">
        <v>256</v>
      </c>
      <c r="I77" s="225"/>
      <c r="J77" s="213" t="s">
        <v>266</v>
      </c>
      <c r="K77" s="211"/>
      <c r="L77" s="211" t="s">
        <v>99</v>
      </c>
      <c r="M77" s="211" t="s">
        <v>124</v>
      </c>
      <c r="N77" s="211" t="s">
        <v>14</v>
      </c>
      <c r="O77" s="211">
        <v>1</v>
      </c>
      <c r="P77" s="213" t="s">
        <v>276</v>
      </c>
      <c r="Q77" s="213" t="s">
        <v>108</v>
      </c>
      <c r="R77" s="218">
        <v>2875000</v>
      </c>
      <c r="S77" s="218">
        <f>Product_Name[[#This Row],[Đơn giá
Unit Price]]*Product_Name[[#This Row],[Số lượng
Quantity]]</f>
        <v>2875000</v>
      </c>
      <c r="T77" s="219">
        <v>44154</v>
      </c>
      <c r="U77" s="220">
        <v>44169</v>
      </c>
      <c r="V77" s="221">
        <v>44179</v>
      </c>
      <c r="W77" s="211" t="s">
        <v>21</v>
      </c>
      <c r="X77" s="211" t="s">
        <v>16</v>
      </c>
      <c r="Y77" s="220"/>
      <c r="Z77" s="216"/>
      <c r="AA77" s="216"/>
      <c r="AB77" s="227"/>
      <c r="AC77" s="295"/>
    </row>
    <row r="78" spans="1:29" ht="15.5" x14ac:dyDescent="0.35">
      <c r="A78" s="211">
        <v>2098</v>
      </c>
      <c r="B78" s="214" t="s">
        <v>2750</v>
      </c>
      <c r="C78" s="211">
        <v>2209</v>
      </c>
      <c r="D78" s="215" t="s">
        <v>110</v>
      </c>
      <c r="E78" s="215" t="s">
        <v>110</v>
      </c>
      <c r="F78" s="211" t="s">
        <v>110</v>
      </c>
      <c r="G78" s="211" t="s">
        <v>281</v>
      </c>
      <c r="H78" s="224" t="s">
        <v>257</v>
      </c>
      <c r="I78" s="225"/>
      <c r="J78" s="213" t="s">
        <v>304</v>
      </c>
      <c r="K78" s="211"/>
      <c r="L78" s="211" t="s">
        <v>99</v>
      </c>
      <c r="M78" s="211" t="s">
        <v>124</v>
      </c>
      <c r="N78" s="211" t="s">
        <v>14</v>
      </c>
      <c r="O78" s="211">
        <v>1</v>
      </c>
      <c r="P78" s="213" t="s">
        <v>276</v>
      </c>
      <c r="Q78" s="213" t="s">
        <v>108</v>
      </c>
      <c r="R78" s="218">
        <v>3665000</v>
      </c>
      <c r="S78" s="218">
        <f>Product_Name[[#This Row],[Đơn giá
Unit Price]]*Product_Name[[#This Row],[Số lượng
Quantity]]</f>
        <v>3665000</v>
      </c>
      <c r="T78" s="219">
        <v>44154</v>
      </c>
      <c r="U78" s="220">
        <v>44186</v>
      </c>
      <c r="V78" s="221">
        <v>44179</v>
      </c>
      <c r="W78" s="211" t="s">
        <v>2813</v>
      </c>
      <c r="X78" s="211" t="s">
        <v>16</v>
      </c>
      <c r="Y78" s="220"/>
      <c r="Z78" s="216"/>
      <c r="AA78" s="216"/>
      <c r="AB78" s="227"/>
      <c r="AC78" s="295"/>
    </row>
    <row r="79" spans="1:29" ht="15.5" x14ac:dyDescent="0.35">
      <c r="A79" s="211">
        <v>2098</v>
      </c>
      <c r="B79" s="214" t="s">
        <v>2750</v>
      </c>
      <c r="C79" s="211">
        <v>2209</v>
      </c>
      <c r="D79" s="215" t="s">
        <v>110</v>
      </c>
      <c r="E79" s="215" t="s">
        <v>110</v>
      </c>
      <c r="F79" s="211" t="s">
        <v>110</v>
      </c>
      <c r="G79" s="211" t="s">
        <v>281</v>
      </c>
      <c r="H79" s="224" t="s">
        <v>178</v>
      </c>
      <c r="I79" s="225"/>
      <c r="J79" s="213" t="s">
        <v>305</v>
      </c>
      <c r="K79" s="211"/>
      <c r="L79" s="211" t="s">
        <v>99</v>
      </c>
      <c r="M79" s="211" t="s">
        <v>124</v>
      </c>
      <c r="N79" s="211" t="s">
        <v>14</v>
      </c>
      <c r="O79" s="211">
        <v>1</v>
      </c>
      <c r="P79" s="213" t="s">
        <v>276</v>
      </c>
      <c r="Q79" s="213" t="s">
        <v>108</v>
      </c>
      <c r="R79" s="218">
        <v>3665000</v>
      </c>
      <c r="S79" s="218">
        <f>Product_Name[[#This Row],[Đơn giá
Unit Price]]*Product_Name[[#This Row],[Số lượng
Quantity]]</f>
        <v>3665000</v>
      </c>
      <c r="T79" s="219">
        <v>44154</v>
      </c>
      <c r="U79" s="220">
        <v>44186</v>
      </c>
      <c r="V79" s="221">
        <v>44179</v>
      </c>
      <c r="W79" s="211" t="s">
        <v>2813</v>
      </c>
      <c r="X79" s="211" t="s">
        <v>16</v>
      </c>
      <c r="Y79" s="220"/>
      <c r="Z79" s="216"/>
      <c r="AA79" s="216"/>
      <c r="AB79" s="227"/>
      <c r="AC79" s="295"/>
    </row>
    <row r="80" spans="1:29" ht="15.5" x14ac:dyDescent="0.35">
      <c r="A80" s="211">
        <v>2099</v>
      </c>
      <c r="B80" s="214" t="s">
        <v>2751</v>
      </c>
      <c r="C80" s="211">
        <v>2210</v>
      </c>
      <c r="D80" s="215" t="s">
        <v>110</v>
      </c>
      <c r="E80" s="215" t="s">
        <v>110</v>
      </c>
      <c r="F80" s="214" t="s">
        <v>110</v>
      </c>
      <c r="G80" s="211" t="s">
        <v>281</v>
      </c>
      <c r="H80" s="224" t="s">
        <v>258</v>
      </c>
      <c r="I80" s="225"/>
      <c r="J80" s="213" t="s">
        <v>267</v>
      </c>
      <c r="K80" s="211" t="s">
        <v>176</v>
      </c>
      <c r="L80" s="211" t="s">
        <v>176</v>
      </c>
      <c r="M80" s="211" t="s">
        <v>124</v>
      </c>
      <c r="N80" s="211" t="s">
        <v>14</v>
      </c>
      <c r="O80" s="211">
        <v>1</v>
      </c>
      <c r="P80" s="213" t="s">
        <v>276</v>
      </c>
      <c r="Q80" s="213" t="s">
        <v>108</v>
      </c>
      <c r="R80" s="218">
        <v>38500</v>
      </c>
      <c r="S80" s="218">
        <f>Product_Name[[#This Row],[Đơn giá
Unit Price]]*Product_Name[[#This Row],[Số lượng
Quantity]]</f>
        <v>38500</v>
      </c>
      <c r="T80" s="219">
        <v>44154</v>
      </c>
      <c r="U80" s="220">
        <v>44169</v>
      </c>
      <c r="V80" s="221">
        <v>44180</v>
      </c>
      <c r="W80" s="211" t="s">
        <v>2813</v>
      </c>
      <c r="X80" s="211" t="s">
        <v>16</v>
      </c>
      <c r="Y80" s="220"/>
      <c r="Z80" s="216"/>
      <c r="AA80" s="216"/>
      <c r="AB80" s="227"/>
      <c r="AC80" s="295"/>
    </row>
    <row r="81" spans="1:29" ht="15.5" x14ac:dyDescent="0.35">
      <c r="A81" s="211">
        <v>2099</v>
      </c>
      <c r="B81" s="214" t="s">
        <v>2751</v>
      </c>
      <c r="C81" s="211">
        <v>2210</v>
      </c>
      <c r="D81" s="215" t="s">
        <v>110</v>
      </c>
      <c r="E81" s="215" t="s">
        <v>110</v>
      </c>
      <c r="F81" s="214" t="s">
        <v>110</v>
      </c>
      <c r="G81" s="211" t="s">
        <v>281</v>
      </c>
      <c r="H81" s="224" t="s">
        <v>179</v>
      </c>
      <c r="I81" s="225"/>
      <c r="J81" s="213" t="s">
        <v>180</v>
      </c>
      <c r="K81" s="211" t="s">
        <v>176</v>
      </c>
      <c r="L81" s="211" t="s">
        <v>176</v>
      </c>
      <c r="M81" s="211" t="s">
        <v>124</v>
      </c>
      <c r="N81" s="211" t="s">
        <v>14</v>
      </c>
      <c r="O81" s="211">
        <v>1</v>
      </c>
      <c r="P81" s="213" t="s">
        <v>276</v>
      </c>
      <c r="Q81" s="213" t="s">
        <v>108</v>
      </c>
      <c r="R81" s="218">
        <v>32000</v>
      </c>
      <c r="S81" s="218">
        <f>Product_Name[[#This Row],[Đơn giá
Unit Price]]*Product_Name[[#This Row],[Số lượng
Quantity]]</f>
        <v>32000</v>
      </c>
      <c r="T81" s="219">
        <v>44154</v>
      </c>
      <c r="U81" s="220">
        <v>44169</v>
      </c>
      <c r="V81" s="221">
        <v>44180</v>
      </c>
      <c r="W81" s="211" t="s">
        <v>2813</v>
      </c>
      <c r="X81" s="211" t="s">
        <v>16</v>
      </c>
      <c r="Y81" s="220"/>
      <c r="Z81" s="216"/>
      <c r="AA81" s="216"/>
      <c r="AB81" s="227"/>
      <c r="AC81" s="295"/>
    </row>
    <row r="82" spans="1:29" ht="15.5" x14ac:dyDescent="0.35">
      <c r="A82" s="215" t="s">
        <v>110</v>
      </c>
      <c r="B82" s="214" t="s">
        <v>348</v>
      </c>
      <c r="C82" s="215" t="s">
        <v>110</v>
      </c>
      <c r="D82" s="215" t="s">
        <v>277</v>
      </c>
      <c r="E82" s="215">
        <v>2104</v>
      </c>
      <c r="F82" s="214" t="s">
        <v>275</v>
      </c>
      <c r="G82" s="211" t="s">
        <v>280</v>
      </c>
      <c r="H82" s="224" t="s">
        <v>259</v>
      </c>
      <c r="I82" s="225"/>
      <c r="J82" s="213" t="s">
        <v>268</v>
      </c>
      <c r="K82" s="211"/>
      <c r="L82" s="211" t="s">
        <v>278</v>
      </c>
      <c r="M82" s="211" t="s">
        <v>63</v>
      </c>
      <c r="N82" s="211" t="s">
        <v>642</v>
      </c>
      <c r="O82" s="211">
        <v>1</v>
      </c>
      <c r="P82" s="213" t="s">
        <v>276</v>
      </c>
      <c r="Q82" s="213" t="s">
        <v>108</v>
      </c>
      <c r="R82" s="218">
        <v>518364</v>
      </c>
      <c r="S82" s="218">
        <f>Product_Name[[#This Row],[Đơn giá
Unit Price]]*Product_Name[[#This Row],[Số lượng
Quantity]]</f>
        <v>518364</v>
      </c>
      <c r="T82" s="219">
        <v>44154</v>
      </c>
      <c r="U82" s="220">
        <v>44186</v>
      </c>
      <c r="V82" s="221">
        <v>44211</v>
      </c>
      <c r="W82" s="211" t="s">
        <v>2813</v>
      </c>
      <c r="X82" s="211" t="s">
        <v>16</v>
      </c>
      <c r="Y82" s="220"/>
      <c r="Z82" s="227" t="s">
        <v>63</v>
      </c>
      <c r="AA82" s="216"/>
      <c r="AB82" s="227"/>
      <c r="AC82" s="295"/>
    </row>
    <row r="83" spans="1:29" ht="15.5" x14ac:dyDescent="0.35">
      <c r="A83" s="215" t="s">
        <v>110</v>
      </c>
      <c r="B83" s="214" t="s">
        <v>348</v>
      </c>
      <c r="C83" s="215" t="s">
        <v>110</v>
      </c>
      <c r="D83" s="215" t="s">
        <v>277</v>
      </c>
      <c r="E83" s="215">
        <v>2104</v>
      </c>
      <c r="F83" s="214" t="s">
        <v>275</v>
      </c>
      <c r="G83" s="211" t="s">
        <v>280</v>
      </c>
      <c r="H83" s="224" t="s">
        <v>260</v>
      </c>
      <c r="I83" s="225"/>
      <c r="J83" s="213" t="s">
        <v>269</v>
      </c>
      <c r="K83" s="211"/>
      <c r="L83" s="211" t="s">
        <v>278</v>
      </c>
      <c r="M83" s="211" t="s">
        <v>63</v>
      </c>
      <c r="N83" s="211" t="s">
        <v>642</v>
      </c>
      <c r="O83" s="211">
        <v>1</v>
      </c>
      <c r="P83" s="213" t="s">
        <v>276</v>
      </c>
      <c r="Q83" s="213" t="s">
        <v>108</v>
      </c>
      <c r="R83" s="218">
        <v>587540</v>
      </c>
      <c r="S83" s="218">
        <f>Product_Name[[#This Row],[Đơn giá
Unit Price]]*Product_Name[[#This Row],[Số lượng
Quantity]]</f>
        <v>587540</v>
      </c>
      <c r="T83" s="219">
        <v>44154</v>
      </c>
      <c r="U83" s="220">
        <v>44186</v>
      </c>
      <c r="V83" s="221">
        <v>44211</v>
      </c>
      <c r="W83" s="211" t="s">
        <v>2813</v>
      </c>
      <c r="X83" s="211" t="s">
        <v>16</v>
      </c>
      <c r="Y83" s="220"/>
      <c r="Z83" s="227" t="s">
        <v>63</v>
      </c>
      <c r="AA83" s="216"/>
      <c r="AB83" s="227"/>
      <c r="AC83" s="295"/>
    </row>
    <row r="84" spans="1:29" ht="15.5" x14ac:dyDescent="0.35">
      <c r="A84" s="215" t="s">
        <v>110</v>
      </c>
      <c r="B84" s="214" t="s">
        <v>348</v>
      </c>
      <c r="C84" s="215" t="s">
        <v>110</v>
      </c>
      <c r="D84" s="215" t="s">
        <v>277</v>
      </c>
      <c r="E84" s="215">
        <v>2104</v>
      </c>
      <c r="F84" s="214" t="s">
        <v>275</v>
      </c>
      <c r="G84" s="211" t="s">
        <v>280</v>
      </c>
      <c r="H84" s="224" t="s">
        <v>262</v>
      </c>
      <c r="I84" s="225"/>
      <c r="J84" s="213" t="s">
        <v>271</v>
      </c>
      <c r="K84" s="211"/>
      <c r="L84" s="211" t="s">
        <v>278</v>
      </c>
      <c r="M84" s="211" t="s">
        <v>63</v>
      </c>
      <c r="N84" s="211" t="s">
        <v>642</v>
      </c>
      <c r="O84" s="211">
        <v>1</v>
      </c>
      <c r="P84" s="213" t="s">
        <v>276</v>
      </c>
      <c r="Q84" s="213" t="s">
        <v>108</v>
      </c>
      <c r="R84" s="218">
        <v>672720</v>
      </c>
      <c r="S84" s="218">
        <f>Product_Name[[#This Row],[Đơn giá
Unit Price]]*Product_Name[[#This Row],[Số lượng
Quantity]]</f>
        <v>672720</v>
      </c>
      <c r="T84" s="219">
        <v>44154</v>
      </c>
      <c r="U84" s="220">
        <v>44186</v>
      </c>
      <c r="V84" s="221">
        <v>44211</v>
      </c>
      <c r="W84" s="211" t="s">
        <v>2813</v>
      </c>
      <c r="X84" s="211" t="s">
        <v>16</v>
      </c>
      <c r="Y84" s="220"/>
      <c r="Z84" s="227" t="s">
        <v>63</v>
      </c>
      <c r="AA84" s="216"/>
      <c r="AB84" s="227"/>
      <c r="AC84" s="295"/>
    </row>
    <row r="85" spans="1:29" ht="15.5" x14ac:dyDescent="0.35">
      <c r="A85" s="215" t="s">
        <v>110</v>
      </c>
      <c r="B85" s="214" t="s">
        <v>303</v>
      </c>
      <c r="C85" s="215" t="s">
        <v>110</v>
      </c>
      <c r="D85" s="215" t="s">
        <v>279</v>
      </c>
      <c r="E85" s="215">
        <v>2105</v>
      </c>
      <c r="F85" s="214" t="s">
        <v>275</v>
      </c>
      <c r="G85" s="211" t="s">
        <v>280</v>
      </c>
      <c r="H85" s="224" t="s">
        <v>261</v>
      </c>
      <c r="I85" s="225"/>
      <c r="J85" s="213" t="s">
        <v>270</v>
      </c>
      <c r="K85" s="211"/>
      <c r="L85" s="211" t="s">
        <v>99</v>
      </c>
      <c r="M85" s="211" t="s">
        <v>63</v>
      </c>
      <c r="N85" s="211" t="s">
        <v>642</v>
      </c>
      <c r="O85" s="211">
        <v>1</v>
      </c>
      <c r="P85" s="213" t="s">
        <v>276</v>
      </c>
      <c r="Q85" s="213" t="s">
        <v>108</v>
      </c>
      <c r="R85" s="218">
        <v>1503000</v>
      </c>
      <c r="S85" s="218">
        <f>Product_Name[[#This Row],[Đơn giá
Unit Price]]*Product_Name[[#This Row],[Số lượng
Quantity]]</f>
        <v>1503000</v>
      </c>
      <c r="T85" s="219">
        <v>44154</v>
      </c>
      <c r="U85" s="220">
        <v>44186</v>
      </c>
      <c r="V85" s="221">
        <v>44181</v>
      </c>
      <c r="W85" s="211" t="s">
        <v>2813</v>
      </c>
      <c r="X85" s="211" t="s">
        <v>16</v>
      </c>
      <c r="Y85" s="220"/>
      <c r="Z85" s="227" t="s">
        <v>63</v>
      </c>
      <c r="AA85" s="216"/>
      <c r="AB85" s="227"/>
      <c r="AC85" s="295"/>
    </row>
    <row r="86" spans="1:29" ht="15.5" x14ac:dyDescent="0.35">
      <c r="A86" s="215" t="s">
        <v>110</v>
      </c>
      <c r="B86" s="214" t="s">
        <v>303</v>
      </c>
      <c r="C86" s="215" t="s">
        <v>110</v>
      </c>
      <c r="D86" s="215" t="s">
        <v>279</v>
      </c>
      <c r="E86" s="215">
        <v>2105</v>
      </c>
      <c r="F86" s="214" t="s">
        <v>275</v>
      </c>
      <c r="G86" s="211" t="s">
        <v>280</v>
      </c>
      <c r="H86" s="224" t="s">
        <v>263</v>
      </c>
      <c r="I86" s="225"/>
      <c r="J86" s="213" t="s">
        <v>272</v>
      </c>
      <c r="K86" s="211"/>
      <c r="L86" s="211" t="s">
        <v>99</v>
      </c>
      <c r="M86" s="211" t="s">
        <v>63</v>
      </c>
      <c r="N86" s="211" t="s">
        <v>642</v>
      </c>
      <c r="O86" s="211">
        <v>1</v>
      </c>
      <c r="P86" s="213" t="s">
        <v>276</v>
      </c>
      <c r="Q86" s="213" t="s">
        <v>108</v>
      </c>
      <c r="R86" s="218">
        <v>57000</v>
      </c>
      <c r="S86" s="218">
        <f>Product_Name[[#This Row],[Đơn giá
Unit Price]]*Product_Name[[#This Row],[Số lượng
Quantity]]</f>
        <v>57000</v>
      </c>
      <c r="T86" s="219">
        <v>44154</v>
      </c>
      <c r="U86" s="220">
        <v>44186</v>
      </c>
      <c r="V86" s="221">
        <v>44181</v>
      </c>
      <c r="W86" s="211" t="s">
        <v>2813</v>
      </c>
      <c r="X86" s="211" t="s">
        <v>16</v>
      </c>
      <c r="Y86" s="220"/>
      <c r="Z86" s="227" t="s">
        <v>63</v>
      </c>
      <c r="AA86" s="216"/>
      <c r="AB86" s="227"/>
      <c r="AC86" s="295"/>
    </row>
    <row r="87" spans="1:29" ht="15.5" x14ac:dyDescent="0.35">
      <c r="A87" s="215" t="s">
        <v>110</v>
      </c>
      <c r="B87" s="214" t="s">
        <v>356</v>
      </c>
      <c r="C87" s="215" t="s">
        <v>110</v>
      </c>
      <c r="D87" s="215" t="s">
        <v>279</v>
      </c>
      <c r="E87" s="215">
        <v>2105</v>
      </c>
      <c r="F87" s="214" t="s">
        <v>275</v>
      </c>
      <c r="G87" s="211" t="s">
        <v>280</v>
      </c>
      <c r="H87" s="224" t="s">
        <v>264</v>
      </c>
      <c r="I87" s="225"/>
      <c r="J87" s="213" t="s">
        <v>273</v>
      </c>
      <c r="K87" s="211"/>
      <c r="L87" s="211" t="s">
        <v>99</v>
      </c>
      <c r="M87" s="211" t="s">
        <v>63</v>
      </c>
      <c r="N87" s="211" t="s">
        <v>642</v>
      </c>
      <c r="O87" s="211">
        <v>1</v>
      </c>
      <c r="P87" s="213" t="s">
        <v>276</v>
      </c>
      <c r="Q87" s="213" t="s">
        <v>108</v>
      </c>
      <c r="R87" s="218">
        <v>13688000</v>
      </c>
      <c r="S87" s="218">
        <f>Product_Name[[#This Row],[Đơn giá
Unit Price]]*Product_Name[[#This Row],[Số lượng
Quantity]]</f>
        <v>13688000</v>
      </c>
      <c r="T87" s="219">
        <v>44154</v>
      </c>
      <c r="U87" s="220">
        <v>44186</v>
      </c>
      <c r="V87" s="221">
        <v>44218</v>
      </c>
      <c r="W87" s="211" t="s">
        <v>2813</v>
      </c>
      <c r="X87" s="211" t="s">
        <v>16</v>
      </c>
      <c r="Y87" s="220"/>
      <c r="Z87" s="227" t="s">
        <v>63</v>
      </c>
      <c r="AA87" s="216"/>
      <c r="AB87" s="227"/>
      <c r="AC87" s="295"/>
    </row>
    <row r="88" spans="1:29" ht="15.5" x14ac:dyDescent="0.35">
      <c r="A88" s="215" t="s">
        <v>110</v>
      </c>
      <c r="B88" s="214" t="s">
        <v>303</v>
      </c>
      <c r="C88" s="215" t="s">
        <v>110</v>
      </c>
      <c r="D88" s="215" t="s">
        <v>279</v>
      </c>
      <c r="E88" s="215">
        <v>2105</v>
      </c>
      <c r="F88" s="214" t="s">
        <v>275</v>
      </c>
      <c r="G88" s="211" t="s">
        <v>280</v>
      </c>
      <c r="H88" s="224" t="s">
        <v>265</v>
      </c>
      <c r="I88" s="225"/>
      <c r="J88" s="213" t="s">
        <v>274</v>
      </c>
      <c r="K88" s="211"/>
      <c r="L88" s="211" t="s">
        <v>99</v>
      </c>
      <c r="M88" s="211" t="s">
        <v>63</v>
      </c>
      <c r="N88" s="211" t="s">
        <v>642</v>
      </c>
      <c r="O88" s="211">
        <v>1</v>
      </c>
      <c r="P88" s="213" t="s">
        <v>276</v>
      </c>
      <c r="Q88" s="213" t="s">
        <v>108</v>
      </c>
      <c r="R88" s="218">
        <v>443000</v>
      </c>
      <c r="S88" s="218">
        <f>Product_Name[[#This Row],[Đơn giá
Unit Price]]*Product_Name[[#This Row],[Số lượng
Quantity]]</f>
        <v>443000</v>
      </c>
      <c r="T88" s="219">
        <v>44154</v>
      </c>
      <c r="U88" s="220">
        <v>44186</v>
      </c>
      <c r="V88" s="221">
        <v>44181</v>
      </c>
      <c r="W88" s="211" t="s">
        <v>2813</v>
      </c>
      <c r="X88" s="211" t="s">
        <v>16</v>
      </c>
      <c r="Y88" s="220"/>
      <c r="Z88" s="227" t="s">
        <v>63</v>
      </c>
      <c r="AA88" s="216"/>
      <c r="AB88" s="227"/>
      <c r="AC88" s="295"/>
    </row>
    <row r="89" spans="1:29" ht="15.5" x14ac:dyDescent="0.35">
      <c r="A89" s="211">
        <v>2180</v>
      </c>
      <c r="B89" s="214" t="s">
        <v>2752</v>
      </c>
      <c r="C89" s="211">
        <v>2304</v>
      </c>
      <c r="D89" s="215" t="s">
        <v>110</v>
      </c>
      <c r="E89" s="215" t="s">
        <v>110</v>
      </c>
      <c r="F89" s="214" t="s">
        <v>110</v>
      </c>
      <c r="G89" s="211" t="s">
        <v>110</v>
      </c>
      <c r="H89" s="224" t="s">
        <v>282</v>
      </c>
      <c r="I89" s="225"/>
      <c r="J89" s="213" t="s">
        <v>283</v>
      </c>
      <c r="K89" s="211"/>
      <c r="L89" s="211" t="s">
        <v>284</v>
      </c>
      <c r="M89" s="211" t="s">
        <v>124</v>
      </c>
      <c r="N89" s="211" t="s">
        <v>14</v>
      </c>
      <c r="O89" s="211">
        <v>4</v>
      </c>
      <c r="P89" s="213" t="s">
        <v>105</v>
      </c>
      <c r="Q89" s="213" t="s">
        <v>108</v>
      </c>
      <c r="R89" s="218">
        <v>275000</v>
      </c>
      <c r="S89" s="218">
        <f>Product_Name[[#This Row],[Đơn giá
Unit Price]]*Product_Name[[#This Row],[Số lượng
Quantity]]</f>
        <v>1100000</v>
      </c>
      <c r="T89" s="219">
        <v>44173</v>
      </c>
      <c r="U89" s="220">
        <v>44180</v>
      </c>
      <c r="V89" s="221">
        <v>44181</v>
      </c>
      <c r="W89" s="211" t="s">
        <v>51</v>
      </c>
      <c r="X89" s="211" t="s">
        <v>16</v>
      </c>
      <c r="Y89" s="220"/>
      <c r="Z89" s="216"/>
      <c r="AA89" s="216"/>
      <c r="AB89" s="227"/>
      <c r="AC89" s="295"/>
    </row>
    <row r="90" spans="1:29" ht="15.5" x14ac:dyDescent="0.35">
      <c r="A90" s="211">
        <v>2185</v>
      </c>
      <c r="B90" s="214" t="s">
        <v>2753</v>
      </c>
      <c r="C90" s="211">
        <v>2307</v>
      </c>
      <c r="D90" s="215" t="s">
        <v>110</v>
      </c>
      <c r="E90" s="215" t="s">
        <v>110</v>
      </c>
      <c r="F90" s="214" t="s">
        <v>110</v>
      </c>
      <c r="G90" s="211" t="s">
        <v>110</v>
      </c>
      <c r="H90" s="216" t="s">
        <v>285</v>
      </c>
      <c r="I90" s="217"/>
      <c r="J90" s="211" t="s">
        <v>286</v>
      </c>
      <c r="K90" s="211"/>
      <c r="L90" s="211" t="s">
        <v>99</v>
      </c>
      <c r="M90" s="211" t="s">
        <v>124</v>
      </c>
      <c r="N90" s="211" t="s">
        <v>14</v>
      </c>
      <c r="O90" s="211">
        <v>45</v>
      </c>
      <c r="P90" s="213" t="s">
        <v>37</v>
      </c>
      <c r="Q90" s="213" t="s">
        <v>108</v>
      </c>
      <c r="R90" s="218">
        <v>44000</v>
      </c>
      <c r="S90" s="218">
        <f>Product_Name[[#This Row],[Đơn giá
Unit Price]]*Product_Name[[#This Row],[Số lượng
Quantity]]</f>
        <v>1980000</v>
      </c>
      <c r="T90" s="219">
        <v>44173</v>
      </c>
      <c r="U90" s="220">
        <v>44187</v>
      </c>
      <c r="V90" s="221">
        <v>44190</v>
      </c>
      <c r="W90" s="211" t="s">
        <v>51</v>
      </c>
      <c r="X90" s="211" t="s">
        <v>16</v>
      </c>
      <c r="Y90" s="220"/>
      <c r="Z90" s="216"/>
      <c r="AA90" s="216"/>
      <c r="AB90" s="227"/>
      <c r="AC90" s="295"/>
    </row>
    <row r="91" spans="1:29" ht="15.5" x14ac:dyDescent="0.35">
      <c r="A91" s="211">
        <v>2233</v>
      </c>
      <c r="B91" s="214" t="s">
        <v>2754</v>
      </c>
      <c r="C91" s="211">
        <v>2339</v>
      </c>
      <c r="D91" s="215" t="s">
        <v>110</v>
      </c>
      <c r="E91" s="215" t="s">
        <v>110</v>
      </c>
      <c r="F91" s="214" t="s">
        <v>110</v>
      </c>
      <c r="G91" s="211" t="s">
        <v>110</v>
      </c>
      <c r="H91" s="216" t="s">
        <v>299</v>
      </c>
      <c r="I91" s="217"/>
      <c r="J91" s="211" t="s">
        <v>300</v>
      </c>
      <c r="K91" s="211"/>
      <c r="L91" s="211" t="s">
        <v>301</v>
      </c>
      <c r="M91" s="211" t="s">
        <v>124</v>
      </c>
      <c r="N91" s="211" t="s">
        <v>14</v>
      </c>
      <c r="O91" s="211">
        <v>1</v>
      </c>
      <c r="P91" s="213" t="s">
        <v>37</v>
      </c>
      <c r="Q91" s="213" t="s">
        <v>108</v>
      </c>
      <c r="R91" s="218">
        <v>250000</v>
      </c>
      <c r="S91" s="218">
        <f>Product_Name[[#This Row],[Đơn giá
Unit Price]]*Product_Name[[#This Row],[Số lượng
Quantity]]</f>
        <v>250000</v>
      </c>
      <c r="T91" s="219">
        <v>44182</v>
      </c>
      <c r="U91" s="220">
        <v>44188</v>
      </c>
      <c r="V91" s="221">
        <v>44214</v>
      </c>
      <c r="W91" s="211" t="s">
        <v>51</v>
      </c>
      <c r="X91" s="211" t="s">
        <v>16</v>
      </c>
      <c r="Y91" s="220"/>
      <c r="Z91" s="216"/>
      <c r="AA91" s="216"/>
      <c r="AB91" s="227"/>
      <c r="AC91" s="295"/>
    </row>
    <row r="92" spans="1:29" ht="15.5" x14ac:dyDescent="0.35">
      <c r="A92" s="211">
        <v>2231</v>
      </c>
      <c r="B92" s="214" t="s">
        <v>2755</v>
      </c>
      <c r="C92" s="211">
        <v>2343</v>
      </c>
      <c r="D92" s="215" t="s">
        <v>110</v>
      </c>
      <c r="E92" s="215" t="s">
        <v>110</v>
      </c>
      <c r="F92" s="214" t="s">
        <v>110</v>
      </c>
      <c r="G92" s="211" t="s">
        <v>110</v>
      </c>
      <c r="H92" s="216" t="s">
        <v>307</v>
      </c>
      <c r="I92" s="217" t="s">
        <v>2170</v>
      </c>
      <c r="J92" s="211" t="s">
        <v>308</v>
      </c>
      <c r="K92" s="211" t="s">
        <v>176</v>
      </c>
      <c r="L92" s="211" t="s">
        <v>176</v>
      </c>
      <c r="M92" s="211" t="s">
        <v>123</v>
      </c>
      <c r="N92" s="211" t="s">
        <v>14</v>
      </c>
      <c r="O92" s="211">
        <v>20</v>
      </c>
      <c r="P92" s="213" t="s">
        <v>309</v>
      </c>
      <c r="Q92" s="213" t="s">
        <v>108</v>
      </c>
      <c r="R92" s="218">
        <v>13700</v>
      </c>
      <c r="S92" s="218">
        <f>Product_Name[[#This Row],[Đơn giá
Unit Price]]*Product_Name[[#This Row],[Số lượng
Quantity]]</f>
        <v>274000</v>
      </c>
      <c r="T92" s="219">
        <v>44188</v>
      </c>
      <c r="U92" s="220">
        <v>44200</v>
      </c>
      <c r="V92" s="221">
        <v>44200</v>
      </c>
      <c r="W92" s="211" t="s">
        <v>2813</v>
      </c>
      <c r="X92" s="211" t="s">
        <v>16</v>
      </c>
      <c r="Y92" s="220"/>
      <c r="Z92" s="216" t="s">
        <v>328</v>
      </c>
      <c r="AA92" s="216"/>
      <c r="AB92" s="227"/>
      <c r="AC92" s="295"/>
    </row>
    <row r="93" spans="1:29" ht="15.5" x14ac:dyDescent="0.35">
      <c r="A93" s="211">
        <v>2238</v>
      </c>
      <c r="B93" s="214" t="s">
        <v>2756</v>
      </c>
      <c r="C93" s="211">
        <v>2350</v>
      </c>
      <c r="D93" s="215" t="s">
        <v>110</v>
      </c>
      <c r="E93" s="215" t="s">
        <v>110</v>
      </c>
      <c r="F93" s="214" t="s">
        <v>110</v>
      </c>
      <c r="G93" s="211" t="s">
        <v>110</v>
      </c>
      <c r="H93" s="216" t="s">
        <v>310</v>
      </c>
      <c r="I93" s="217"/>
      <c r="J93" s="211" t="s">
        <v>311</v>
      </c>
      <c r="K93" s="211"/>
      <c r="L93" s="211" t="s">
        <v>99</v>
      </c>
      <c r="M93" s="211" t="s">
        <v>124</v>
      </c>
      <c r="N93" s="211" t="s">
        <v>14</v>
      </c>
      <c r="O93" s="211">
        <v>100</v>
      </c>
      <c r="P93" s="213" t="s">
        <v>312</v>
      </c>
      <c r="Q93" s="213" t="s">
        <v>108</v>
      </c>
      <c r="R93" s="218">
        <v>252000</v>
      </c>
      <c r="S93" s="218">
        <f>Product_Name[[#This Row],[Đơn giá
Unit Price]]*Product_Name[[#This Row],[Số lượng
Quantity]]</f>
        <v>25200000</v>
      </c>
      <c r="T93" s="219">
        <v>44188</v>
      </c>
      <c r="U93" s="220">
        <v>44218</v>
      </c>
      <c r="V93" s="221">
        <v>44201</v>
      </c>
      <c r="W93" s="211" t="s">
        <v>51</v>
      </c>
      <c r="X93" s="211" t="s">
        <v>16</v>
      </c>
      <c r="Y93" s="220"/>
      <c r="Z93" s="216"/>
      <c r="AA93" s="216"/>
      <c r="AB93" s="227"/>
      <c r="AC93" s="295"/>
    </row>
    <row r="94" spans="1:29" ht="15.5" x14ac:dyDescent="0.35">
      <c r="A94" s="215" t="s">
        <v>110</v>
      </c>
      <c r="B94" s="214" t="s">
        <v>335</v>
      </c>
      <c r="C94" s="215" t="s">
        <v>110</v>
      </c>
      <c r="D94" s="215" t="s">
        <v>318</v>
      </c>
      <c r="E94" s="215">
        <v>2267</v>
      </c>
      <c r="F94" s="214" t="s">
        <v>110</v>
      </c>
      <c r="G94" s="211" t="s">
        <v>434</v>
      </c>
      <c r="H94" s="224" t="s">
        <v>315</v>
      </c>
      <c r="I94" s="225"/>
      <c r="J94" s="213" t="s">
        <v>316</v>
      </c>
      <c r="K94" s="211" t="s">
        <v>176</v>
      </c>
      <c r="L94" s="211" t="s">
        <v>176</v>
      </c>
      <c r="M94" s="211" t="s">
        <v>63</v>
      </c>
      <c r="N94" s="211" t="s">
        <v>642</v>
      </c>
      <c r="O94" s="211">
        <v>1</v>
      </c>
      <c r="P94" s="213" t="s">
        <v>37</v>
      </c>
      <c r="Q94" s="213" t="s">
        <v>108</v>
      </c>
      <c r="R94" s="218">
        <v>2240000</v>
      </c>
      <c r="S94" s="218">
        <f>Product_Name[[#This Row],[Đơn giá
Unit Price]]*Product_Name[[#This Row],[Số lượng
Quantity]]</f>
        <v>2240000</v>
      </c>
      <c r="T94" s="219">
        <v>44194</v>
      </c>
      <c r="U94" s="220">
        <v>44202</v>
      </c>
      <c r="V94" s="221">
        <v>44200</v>
      </c>
      <c r="W94" s="211" t="s">
        <v>2813</v>
      </c>
      <c r="X94" s="211" t="s">
        <v>16</v>
      </c>
      <c r="Y94" s="220"/>
      <c r="Z94" s="216" t="s">
        <v>317</v>
      </c>
      <c r="AA94" s="216"/>
      <c r="AB94" s="227"/>
      <c r="AC94" s="295"/>
    </row>
    <row r="95" spans="1:29" ht="15.5" x14ac:dyDescent="0.35">
      <c r="A95" s="215" t="s">
        <v>110</v>
      </c>
      <c r="B95" s="214" t="s">
        <v>431</v>
      </c>
      <c r="C95" s="215" t="s">
        <v>110</v>
      </c>
      <c r="D95" s="215" t="s">
        <v>323</v>
      </c>
      <c r="E95" s="215">
        <v>2261</v>
      </c>
      <c r="F95" s="214" t="s">
        <v>275</v>
      </c>
      <c r="G95" s="211" t="s">
        <v>433</v>
      </c>
      <c r="H95" s="224" t="s">
        <v>319</v>
      </c>
      <c r="I95" s="225" t="s">
        <v>1995</v>
      </c>
      <c r="J95" s="213" t="s">
        <v>320</v>
      </c>
      <c r="K95" s="211"/>
      <c r="L95" s="211" t="s">
        <v>321</v>
      </c>
      <c r="M95" s="211" t="s">
        <v>63</v>
      </c>
      <c r="N95" s="211" t="s">
        <v>642</v>
      </c>
      <c r="O95" s="211">
        <v>1</v>
      </c>
      <c r="P95" s="213" t="s">
        <v>44</v>
      </c>
      <c r="Q95" s="213" t="s">
        <v>108</v>
      </c>
      <c r="R95" s="218">
        <v>177185000</v>
      </c>
      <c r="S95" s="218">
        <f>Product_Name[[#This Row],[Đơn giá
Unit Price]]*Product_Name[[#This Row],[Số lượng
Quantity]]</f>
        <v>177185000</v>
      </c>
      <c r="T95" s="219">
        <v>44195</v>
      </c>
      <c r="U95" s="227">
        <v>44220</v>
      </c>
      <c r="V95" s="221">
        <v>44273</v>
      </c>
      <c r="W95" s="211" t="s">
        <v>21</v>
      </c>
      <c r="X95" s="211" t="s">
        <v>16</v>
      </c>
      <c r="Y95" s="220"/>
      <c r="Z95" s="216" t="s">
        <v>355</v>
      </c>
      <c r="AA95" s="216"/>
      <c r="AB95" s="227"/>
      <c r="AC95" s="295"/>
    </row>
    <row r="96" spans="1:29" ht="15.5" x14ac:dyDescent="0.35">
      <c r="A96" s="215" t="s">
        <v>110</v>
      </c>
      <c r="B96" s="214" t="s">
        <v>432</v>
      </c>
      <c r="C96" s="215" t="s">
        <v>110</v>
      </c>
      <c r="D96" s="215" t="s">
        <v>323</v>
      </c>
      <c r="E96" s="215">
        <v>2261</v>
      </c>
      <c r="F96" s="214" t="s">
        <v>275</v>
      </c>
      <c r="G96" s="211" t="s">
        <v>433</v>
      </c>
      <c r="H96" s="224" t="s">
        <v>322</v>
      </c>
      <c r="I96" s="225"/>
      <c r="J96" s="213"/>
      <c r="K96" s="211"/>
      <c r="L96" s="211" t="s">
        <v>321</v>
      </c>
      <c r="M96" s="211" t="s">
        <v>63</v>
      </c>
      <c r="N96" s="211" t="s">
        <v>642</v>
      </c>
      <c r="O96" s="211">
        <v>1</v>
      </c>
      <c r="P96" s="213" t="s">
        <v>44</v>
      </c>
      <c r="Q96" s="213" t="s">
        <v>108</v>
      </c>
      <c r="R96" s="218">
        <v>72815000</v>
      </c>
      <c r="S96" s="218">
        <f>Product_Name[[#This Row],[Đơn giá
Unit Price]]*Product_Name[[#This Row],[Số lượng
Quantity]]</f>
        <v>72815000</v>
      </c>
      <c r="T96" s="219">
        <v>44195</v>
      </c>
      <c r="U96" s="227">
        <v>44220</v>
      </c>
      <c r="V96" s="221">
        <v>44274</v>
      </c>
      <c r="W96" s="211" t="s">
        <v>21</v>
      </c>
      <c r="X96" s="211" t="s">
        <v>16</v>
      </c>
      <c r="Y96" s="220"/>
      <c r="Z96" s="216" t="s">
        <v>355</v>
      </c>
      <c r="AA96" s="216"/>
      <c r="AB96" s="227"/>
      <c r="AC96" s="295"/>
    </row>
    <row r="97" spans="1:29" ht="15.5" x14ac:dyDescent="0.35">
      <c r="A97" s="211">
        <v>2273</v>
      </c>
      <c r="B97" s="214" t="s">
        <v>2757</v>
      </c>
      <c r="C97" s="211">
        <v>2389</v>
      </c>
      <c r="D97" s="215" t="s">
        <v>110</v>
      </c>
      <c r="E97" s="215" t="s">
        <v>110</v>
      </c>
      <c r="F97" s="214" t="s">
        <v>110</v>
      </c>
      <c r="G97" s="211" t="s">
        <v>110</v>
      </c>
      <c r="H97" s="216" t="s">
        <v>324</v>
      </c>
      <c r="I97" s="217"/>
      <c r="J97" s="211" t="s">
        <v>325</v>
      </c>
      <c r="K97" s="211"/>
      <c r="L97" s="211" t="s">
        <v>326</v>
      </c>
      <c r="M97" s="211" t="s">
        <v>327</v>
      </c>
      <c r="N97" s="211" t="s">
        <v>14</v>
      </c>
      <c r="O97" s="211">
        <v>1200</v>
      </c>
      <c r="P97" s="211" t="s">
        <v>46</v>
      </c>
      <c r="Q97" s="213" t="s">
        <v>108</v>
      </c>
      <c r="R97" s="218">
        <v>49500</v>
      </c>
      <c r="S97" s="218">
        <f>Product_Name[[#This Row],[Đơn giá
Unit Price]]*Product_Name[[#This Row],[Số lượng
Quantity]]</f>
        <v>59400000</v>
      </c>
      <c r="T97" s="219">
        <v>44287</v>
      </c>
      <c r="U97" s="220">
        <v>44207</v>
      </c>
      <c r="V97" s="221">
        <v>44211</v>
      </c>
      <c r="W97" s="211" t="s">
        <v>21</v>
      </c>
      <c r="X97" s="211" t="s">
        <v>16</v>
      </c>
      <c r="Y97" s="220"/>
      <c r="Z97" s="216" t="s">
        <v>328</v>
      </c>
      <c r="AA97" s="216"/>
      <c r="AB97" s="227"/>
      <c r="AC97" s="295"/>
    </row>
    <row r="98" spans="1:29" ht="15.5" x14ac:dyDescent="0.35">
      <c r="A98" s="211">
        <v>2274</v>
      </c>
      <c r="B98" s="214" t="s">
        <v>2758</v>
      </c>
      <c r="C98" s="211">
        <v>2391</v>
      </c>
      <c r="D98" s="215" t="s">
        <v>110</v>
      </c>
      <c r="E98" s="215" t="s">
        <v>110</v>
      </c>
      <c r="F98" s="211" t="s">
        <v>110</v>
      </c>
      <c r="G98" s="211" t="s">
        <v>110</v>
      </c>
      <c r="H98" s="216" t="s">
        <v>330</v>
      </c>
      <c r="I98" s="217" t="s">
        <v>1994</v>
      </c>
      <c r="J98" s="211" t="s">
        <v>332</v>
      </c>
      <c r="K98" s="211"/>
      <c r="L98" s="211" t="s">
        <v>321</v>
      </c>
      <c r="M98" s="211" t="s">
        <v>327</v>
      </c>
      <c r="N98" s="211" t="s">
        <v>14</v>
      </c>
      <c r="O98" s="211">
        <v>2</v>
      </c>
      <c r="P98" s="211" t="s">
        <v>232</v>
      </c>
      <c r="Q98" s="213" t="s">
        <v>108</v>
      </c>
      <c r="R98" s="218">
        <v>1400000</v>
      </c>
      <c r="S98" s="218">
        <f>Product_Name[[#This Row],[Đơn giá
Unit Price]]*Product_Name[[#This Row],[Số lượng
Quantity]]</f>
        <v>2800000</v>
      </c>
      <c r="T98" s="219">
        <v>44287</v>
      </c>
      <c r="U98" s="220">
        <v>44214</v>
      </c>
      <c r="V98" s="221">
        <v>44221</v>
      </c>
      <c r="W98" s="211" t="s">
        <v>21</v>
      </c>
      <c r="X98" s="211" t="s">
        <v>16</v>
      </c>
      <c r="Y98" s="220"/>
      <c r="Z98" s="216" t="s">
        <v>328</v>
      </c>
      <c r="AA98" s="216"/>
      <c r="AB98" s="227"/>
      <c r="AC98" s="295"/>
    </row>
    <row r="99" spans="1:29" ht="15.5" x14ac:dyDescent="0.35">
      <c r="A99" s="211">
        <v>2274</v>
      </c>
      <c r="B99" s="214" t="s">
        <v>2758</v>
      </c>
      <c r="C99" s="211">
        <v>2391</v>
      </c>
      <c r="D99" s="215" t="s">
        <v>110</v>
      </c>
      <c r="E99" s="215" t="s">
        <v>110</v>
      </c>
      <c r="F99" s="211" t="s">
        <v>110</v>
      </c>
      <c r="G99" s="211" t="s">
        <v>110</v>
      </c>
      <c r="H99" s="216" t="s">
        <v>331</v>
      </c>
      <c r="I99" s="217" t="s">
        <v>1996</v>
      </c>
      <c r="J99" s="211" t="s">
        <v>333</v>
      </c>
      <c r="K99" s="211"/>
      <c r="L99" s="211" t="s">
        <v>321</v>
      </c>
      <c r="M99" s="211" t="s">
        <v>327</v>
      </c>
      <c r="N99" s="211" t="s">
        <v>14</v>
      </c>
      <c r="O99" s="211">
        <v>2</v>
      </c>
      <c r="P99" s="211" t="s">
        <v>232</v>
      </c>
      <c r="Q99" s="213" t="s">
        <v>108</v>
      </c>
      <c r="R99" s="218">
        <v>250000</v>
      </c>
      <c r="S99" s="218">
        <f>Product_Name[[#This Row],[Đơn giá
Unit Price]]*Product_Name[[#This Row],[Số lượng
Quantity]]</f>
        <v>500000</v>
      </c>
      <c r="T99" s="219">
        <v>44287</v>
      </c>
      <c r="U99" s="220">
        <v>44214</v>
      </c>
      <c r="V99" s="221">
        <v>44221</v>
      </c>
      <c r="W99" s="211" t="s">
        <v>21</v>
      </c>
      <c r="X99" s="211" t="s">
        <v>16</v>
      </c>
      <c r="Y99" s="220"/>
      <c r="Z99" s="216" t="s">
        <v>328</v>
      </c>
      <c r="AA99" s="216"/>
      <c r="AB99" s="227"/>
      <c r="AC99" s="295"/>
    </row>
    <row r="100" spans="1:29" s="71" customFormat="1" ht="15.5" x14ac:dyDescent="0.35">
      <c r="A100" s="211">
        <v>2711</v>
      </c>
      <c r="B100" s="214" t="s">
        <v>2759</v>
      </c>
      <c r="C100" s="211">
        <v>2897</v>
      </c>
      <c r="D100" s="215" t="s">
        <v>110</v>
      </c>
      <c r="E100" s="215" t="s">
        <v>110</v>
      </c>
      <c r="F100" s="211" t="s">
        <v>110</v>
      </c>
      <c r="G100" s="211" t="s">
        <v>110</v>
      </c>
      <c r="H100" s="217" t="s">
        <v>331</v>
      </c>
      <c r="I100" s="217" t="s">
        <v>1996</v>
      </c>
      <c r="J100" s="214" t="s">
        <v>333</v>
      </c>
      <c r="K100" s="211"/>
      <c r="L100" s="211" t="s">
        <v>321</v>
      </c>
      <c r="M100" s="211" t="s">
        <v>327</v>
      </c>
      <c r="N100" s="214" t="s">
        <v>14</v>
      </c>
      <c r="O100" s="214">
        <v>8</v>
      </c>
      <c r="P100" s="214" t="s">
        <v>232</v>
      </c>
      <c r="Q100" s="223" t="s">
        <v>108</v>
      </c>
      <c r="R100" s="229">
        <v>250000</v>
      </c>
      <c r="S100" s="229">
        <f>Product_Name[[#This Row],[Đơn giá
Unit Price]]*Product_Name[[#This Row],[Số lượng
Quantity]]</f>
        <v>2000000</v>
      </c>
      <c r="T100" s="230">
        <v>44334</v>
      </c>
      <c r="U100" s="227">
        <v>44355</v>
      </c>
      <c r="V100" s="231">
        <v>44340</v>
      </c>
      <c r="W100" s="214" t="s">
        <v>21</v>
      </c>
      <c r="X100" s="214" t="s">
        <v>16</v>
      </c>
      <c r="Y100" s="220"/>
      <c r="Z100" s="216" t="s">
        <v>328</v>
      </c>
      <c r="AA100" s="216"/>
      <c r="AB100" s="227"/>
      <c r="AC100" s="295"/>
    </row>
    <row r="101" spans="1:29" ht="15.5" x14ac:dyDescent="0.35">
      <c r="A101" s="211">
        <v>2286</v>
      </c>
      <c r="B101" s="214" t="s">
        <v>2760</v>
      </c>
      <c r="C101" s="211">
        <v>2398</v>
      </c>
      <c r="D101" s="215" t="s">
        <v>110</v>
      </c>
      <c r="E101" s="215" t="s">
        <v>110</v>
      </c>
      <c r="F101" s="211" t="s">
        <v>110</v>
      </c>
      <c r="G101" s="211" t="s">
        <v>110</v>
      </c>
      <c r="H101" s="216" t="s">
        <v>337</v>
      </c>
      <c r="I101" s="217"/>
      <c r="J101" s="211" t="s">
        <v>338</v>
      </c>
      <c r="K101" s="211"/>
      <c r="L101" s="211" t="s">
        <v>255</v>
      </c>
      <c r="M101" s="211" t="s">
        <v>123</v>
      </c>
      <c r="N101" s="211" t="s">
        <v>14</v>
      </c>
      <c r="O101" s="211">
        <v>50</v>
      </c>
      <c r="P101" s="211" t="s">
        <v>47</v>
      </c>
      <c r="Q101" s="213" t="s">
        <v>108</v>
      </c>
      <c r="R101" s="218">
        <v>10000</v>
      </c>
      <c r="S101" s="218">
        <f>Product_Name[[#This Row],[Đơn giá
Unit Price]]*Product_Name[[#This Row],[Số lượng
Quantity]]</f>
        <v>500000</v>
      </c>
      <c r="T101" s="219">
        <v>44348</v>
      </c>
      <c r="U101" s="233">
        <v>44209</v>
      </c>
      <c r="V101" s="221">
        <v>44209</v>
      </c>
      <c r="W101" s="211" t="s">
        <v>21</v>
      </c>
      <c r="X101" s="211" t="s">
        <v>16</v>
      </c>
      <c r="Y101" s="220"/>
      <c r="Z101" s="216" t="s">
        <v>328</v>
      </c>
      <c r="AA101" s="216"/>
      <c r="AB101" s="227"/>
      <c r="AC101" s="295"/>
    </row>
    <row r="102" spans="1:29" ht="15.5" x14ac:dyDescent="0.35">
      <c r="A102" s="211">
        <v>2282</v>
      </c>
      <c r="B102" s="214" t="s">
        <v>2761</v>
      </c>
      <c r="C102" s="211">
        <v>2399</v>
      </c>
      <c r="D102" s="215" t="s">
        <v>110</v>
      </c>
      <c r="E102" s="215" t="s">
        <v>110</v>
      </c>
      <c r="F102" s="211" t="s">
        <v>110</v>
      </c>
      <c r="G102" s="211" t="s">
        <v>110</v>
      </c>
      <c r="H102" s="216" t="s">
        <v>340</v>
      </c>
      <c r="I102" s="217"/>
      <c r="J102" s="211" t="s">
        <v>339</v>
      </c>
      <c r="K102" s="211" t="s">
        <v>176</v>
      </c>
      <c r="L102" s="211" t="s">
        <v>176</v>
      </c>
      <c r="M102" s="211" t="s">
        <v>124</v>
      </c>
      <c r="N102" s="211" t="s">
        <v>14</v>
      </c>
      <c r="O102" s="211">
        <v>10</v>
      </c>
      <c r="P102" s="211" t="s">
        <v>37</v>
      </c>
      <c r="Q102" s="213" t="s">
        <v>108</v>
      </c>
      <c r="R102" s="218">
        <v>35000</v>
      </c>
      <c r="S102" s="218">
        <f>Product_Name[[#This Row],[Đơn giá
Unit Price]]*Product_Name[[#This Row],[Số lượng
Quantity]]</f>
        <v>350000</v>
      </c>
      <c r="T102" s="219">
        <v>44348</v>
      </c>
      <c r="U102" s="233">
        <v>44209</v>
      </c>
      <c r="V102" s="221">
        <v>44209</v>
      </c>
      <c r="W102" s="211" t="s">
        <v>2813</v>
      </c>
      <c r="X102" s="211" t="s">
        <v>16</v>
      </c>
      <c r="Y102" s="220"/>
      <c r="Z102" s="216"/>
      <c r="AA102" s="216"/>
      <c r="AB102" s="227"/>
      <c r="AC102" s="295"/>
    </row>
    <row r="103" spans="1:29" ht="15.5" x14ac:dyDescent="0.35">
      <c r="A103" s="211">
        <v>2288</v>
      </c>
      <c r="B103" s="214" t="s">
        <v>2762</v>
      </c>
      <c r="C103" s="211">
        <v>2402</v>
      </c>
      <c r="D103" s="215" t="s">
        <v>110</v>
      </c>
      <c r="E103" s="215" t="s">
        <v>110</v>
      </c>
      <c r="F103" s="211" t="s">
        <v>110</v>
      </c>
      <c r="G103" s="211" t="s">
        <v>110</v>
      </c>
      <c r="H103" s="216" t="s">
        <v>341</v>
      </c>
      <c r="I103" s="217" t="s">
        <v>1791</v>
      </c>
      <c r="J103" s="211" t="s">
        <v>342</v>
      </c>
      <c r="K103" s="211"/>
      <c r="L103" s="211" t="s">
        <v>99</v>
      </c>
      <c r="M103" s="211" t="s">
        <v>124</v>
      </c>
      <c r="N103" s="211" t="s">
        <v>14</v>
      </c>
      <c r="O103" s="211">
        <v>1</v>
      </c>
      <c r="P103" s="211" t="s">
        <v>37</v>
      </c>
      <c r="Q103" s="213" t="s">
        <v>108</v>
      </c>
      <c r="R103" s="218">
        <v>1566000</v>
      </c>
      <c r="S103" s="218">
        <f>Product_Name[[#This Row],[Đơn giá
Unit Price]]*Product_Name[[#This Row],[Số lượng
Quantity]]</f>
        <v>1566000</v>
      </c>
      <c r="T103" s="219">
        <v>44378</v>
      </c>
      <c r="U103" s="220">
        <v>44218</v>
      </c>
      <c r="V103" s="221">
        <v>44230</v>
      </c>
      <c r="W103" s="211" t="s">
        <v>21</v>
      </c>
      <c r="X103" s="211" t="s">
        <v>16</v>
      </c>
      <c r="Y103" s="220"/>
      <c r="Z103" s="216"/>
      <c r="AA103" s="216"/>
      <c r="AB103" s="227"/>
      <c r="AC103" s="295"/>
    </row>
    <row r="104" spans="1:29" ht="15.5" x14ac:dyDescent="0.35">
      <c r="A104" s="211">
        <v>2342</v>
      </c>
      <c r="B104" s="214" t="s">
        <v>2763</v>
      </c>
      <c r="C104" s="211">
        <v>2468</v>
      </c>
      <c r="D104" s="215" t="s">
        <v>110</v>
      </c>
      <c r="E104" s="215" t="s">
        <v>110</v>
      </c>
      <c r="F104" s="211" t="s">
        <v>110</v>
      </c>
      <c r="G104" s="211" t="s">
        <v>110</v>
      </c>
      <c r="H104" s="216" t="s">
        <v>350</v>
      </c>
      <c r="I104" s="217" t="s">
        <v>2364</v>
      </c>
      <c r="J104" s="211" t="s">
        <v>2376</v>
      </c>
      <c r="K104" s="211"/>
      <c r="L104" s="211" t="s">
        <v>99</v>
      </c>
      <c r="M104" s="211" t="s">
        <v>123</v>
      </c>
      <c r="N104" s="211" t="s">
        <v>14</v>
      </c>
      <c r="O104" s="211">
        <v>10</v>
      </c>
      <c r="P104" s="211" t="s">
        <v>232</v>
      </c>
      <c r="Q104" s="213" t="s">
        <v>108</v>
      </c>
      <c r="R104" s="218">
        <v>35000</v>
      </c>
      <c r="S104" s="218">
        <f>Product_Name[[#This Row],[Đơn giá
Unit Price]]*Product_Name[[#This Row],[Số lượng
Quantity]]</f>
        <v>350000</v>
      </c>
      <c r="T104" s="219">
        <v>44216</v>
      </c>
      <c r="U104" s="220">
        <v>44228</v>
      </c>
      <c r="V104" s="221">
        <v>44235</v>
      </c>
      <c r="W104" s="211" t="s">
        <v>21</v>
      </c>
      <c r="X104" s="211" t="s">
        <v>16</v>
      </c>
      <c r="Y104" s="220"/>
      <c r="Z104" s="216" t="s">
        <v>328</v>
      </c>
      <c r="AA104" s="216"/>
      <c r="AB104" s="227"/>
      <c r="AC104" s="295"/>
    </row>
    <row r="105" spans="1:29" ht="15.5" x14ac:dyDescent="0.35">
      <c r="A105" s="211">
        <v>2342</v>
      </c>
      <c r="B105" s="214" t="s">
        <v>2763</v>
      </c>
      <c r="C105" s="211">
        <v>2468</v>
      </c>
      <c r="D105" s="215" t="s">
        <v>110</v>
      </c>
      <c r="E105" s="215" t="s">
        <v>110</v>
      </c>
      <c r="F105" s="211" t="s">
        <v>110</v>
      </c>
      <c r="G105" s="211" t="s">
        <v>110</v>
      </c>
      <c r="H105" s="216" t="s">
        <v>351</v>
      </c>
      <c r="I105" s="217" t="s">
        <v>2365</v>
      </c>
      <c r="J105" s="211" t="s">
        <v>353</v>
      </c>
      <c r="K105" s="211"/>
      <c r="L105" s="211" t="s">
        <v>99</v>
      </c>
      <c r="M105" s="211" t="s">
        <v>123</v>
      </c>
      <c r="N105" s="211" t="s">
        <v>14</v>
      </c>
      <c r="O105" s="211">
        <v>10</v>
      </c>
      <c r="P105" s="211" t="s">
        <v>232</v>
      </c>
      <c r="Q105" s="213" t="s">
        <v>108</v>
      </c>
      <c r="R105" s="218">
        <v>35000</v>
      </c>
      <c r="S105" s="218">
        <f>Product_Name[[#This Row],[Đơn giá
Unit Price]]*Product_Name[[#This Row],[Số lượng
Quantity]]</f>
        <v>350000</v>
      </c>
      <c r="T105" s="219">
        <v>44216</v>
      </c>
      <c r="U105" s="220">
        <v>44228</v>
      </c>
      <c r="V105" s="221">
        <v>44235</v>
      </c>
      <c r="W105" s="211" t="s">
        <v>21</v>
      </c>
      <c r="X105" s="211" t="s">
        <v>16</v>
      </c>
      <c r="Y105" s="220"/>
      <c r="Z105" s="216" t="s">
        <v>328</v>
      </c>
      <c r="AA105" s="216"/>
      <c r="AB105" s="227"/>
      <c r="AC105" s="295"/>
    </row>
    <row r="106" spans="1:29" ht="15.5" x14ac:dyDescent="0.35">
      <c r="A106" s="211">
        <v>2342</v>
      </c>
      <c r="B106" s="214" t="s">
        <v>2763</v>
      </c>
      <c r="C106" s="211">
        <v>2468</v>
      </c>
      <c r="D106" s="215" t="s">
        <v>110</v>
      </c>
      <c r="E106" s="215" t="s">
        <v>110</v>
      </c>
      <c r="F106" s="211" t="s">
        <v>110</v>
      </c>
      <c r="G106" s="211" t="s">
        <v>110</v>
      </c>
      <c r="H106" s="216" t="s">
        <v>352</v>
      </c>
      <c r="I106" s="217" t="s">
        <v>2366</v>
      </c>
      <c r="J106" s="211" t="s">
        <v>354</v>
      </c>
      <c r="K106" s="211"/>
      <c r="L106" s="211" t="s">
        <v>99</v>
      </c>
      <c r="M106" s="211" t="s">
        <v>123</v>
      </c>
      <c r="N106" s="211" t="s">
        <v>14</v>
      </c>
      <c r="O106" s="211">
        <v>10</v>
      </c>
      <c r="P106" s="211" t="s">
        <v>232</v>
      </c>
      <c r="Q106" s="213" t="s">
        <v>108</v>
      </c>
      <c r="R106" s="218">
        <v>46000</v>
      </c>
      <c r="S106" s="218">
        <f>Product_Name[[#This Row],[Đơn giá
Unit Price]]*Product_Name[[#This Row],[Số lượng
Quantity]]</f>
        <v>460000</v>
      </c>
      <c r="T106" s="219">
        <v>44216</v>
      </c>
      <c r="U106" s="220">
        <v>44228</v>
      </c>
      <c r="V106" s="221">
        <v>44235</v>
      </c>
      <c r="W106" s="211" t="s">
        <v>21</v>
      </c>
      <c r="X106" s="211" t="s">
        <v>16</v>
      </c>
      <c r="Y106" s="220"/>
      <c r="Z106" s="216" t="s">
        <v>328</v>
      </c>
      <c r="AA106" s="216"/>
      <c r="AB106" s="227"/>
      <c r="AC106" s="295"/>
    </row>
    <row r="107" spans="1:29" ht="15.5" x14ac:dyDescent="0.35">
      <c r="A107" s="211">
        <v>2418</v>
      </c>
      <c r="B107" s="214" t="s">
        <v>2764</v>
      </c>
      <c r="C107" s="211">
        <v>2578</v>
      </c>
      <c r="D107" s="215" t="s">
        <v>110</v>
      </c>
      <c r="E107" s="215" t="s">
        <v>110</v>
      </c>
      <c r="F107" s="211" t="s">
        <v>110</v>
      </c>
      <c r="G107" s="211" t="s">
        <v>420</v>
      </c>
      <c r="H107" s="216" t="s">
        <v>415</v>
      </c>
      <c r="I107" s="217" t="s">
        <v>669</v>
      </c>
      <c r="J107" s="211" t="s">
        <v>417</v>
      </c>
      <c r="K107" s="211"/>
      <c r="L107" s="211" t="s">
        <v>419</v>
      </c>
      <c r="M107" s="211" t="s">
        <v>123</v>
      </c>
      <c r="N107" s="211" t="s">
        <v>14</v>
      </c>
      <c r="O107" s="211">
        <v>1</v>
      </c>
      <c r="P107" s="211" t="s">
        <v>37</v>
      </c>
      <c r="Q107" s="213" t="s">
        <v>108</v>
      </c>
      <c r="R107" s="218">
        <v>2200000</v>
      </c>
      <c r="S107" s="218">
        <f>Product_Name[[#This Row],[Đơn giá
Unit Price]]*Product_Name[[#This Row],[Số lượng
Quantity]]</f>
        <v>2200000</v>
      </c>
      <c r="T107" s="219">
        <v>44258</v>
      </c>
      <c r="U107" s="220">
        <v>44266</v>
      </c>
      <c r="V107" s="221">
        <v>44267</v>
      </c>
      <c r="W107" s="211" t="s">
        <v>2813</v>
      </c>
      <c r="X107" s="211" t="s">
        <v>16</v>
      </c>
      <c r="Y107" s="220"/>
      <c r="Z107" s="216" t="s">
        <v>328</v>
      </c>
      <c r="AA107" s="216"/>
      <c r="AB107" s="227"/>
      <c r="AC107" s="295"/>
    </row>
    <row r="108" spans="1:29" ht="15.5" x14ac:dyDescent="0.35">
      <c r="A108" s="211">
        <v>2418</v>
      </c>
      <c r="B108" s="214" t="s">
        <v>2764</v>
      </c>
      <c r="C108" s="211">
        <v>2578</v>
      </c>
      <c r="D108" s="215" t="s">
        <v>110</v>
      </c>
      <c r="E108" s="215" t="s">
        <v>110</v>
      </c>
      <c r="F108" s="211" t="s">
        <v>110</v>
      </c>
      <c r="G108" s="211" t="s">
        <v>420</v>
      </c>
      <c r="H108" s="216" t="s">
        <v>416</v>
      </c>
      <c r="I108" s="217" t="s">
        <v>804</v>
      </c>
      <c r="J108" s="211" t="s">
        <v>418</v>
      </c>
      <c r="K108" s="211"/>
      <c r="L108" s="211" t="s">
        <v>419</v>
      </c>
      <c r="M108" s="211" t="s">
        <v>123</v>
      </c>
      <c r="N108" s="211" t="s">
        <v>14</v>
      </c>
      <c r="O108" s="211">
        <v>10</v>
      </c>
      <c r="P108" s="211" t="s">
        <v>46</v>
      </c>
      <c r="Q108" s="213" t="s">
        <v>108</v>
      </c>
      <c r="R108" s="218">
        <v>235000</v>
      </c>
      <c r="S108" s="218">
        <f>Product_Name[[#This Row],[Đơn giá
Unit Price]]*Product_Name[[#This Row],[Số lượng
Quantity]]</f>
        <v>2350000</v>
      </c>
      <c r="T108" s="219">
        <v>44258</v>
      </c>
      <c r="U108" s="220">
        <v>44266</v>
      </c>
      <c r="V108" s="221">
        <v>44267</v>
      </c>
      <c r="W108" s="211" t="s">
        <v>2813</v>
      </c>
      <c r="X108" s="211" t="s">
        <v>16</v>
      </c>
      <c r="Y108" s="220"/>
      <c r="Z108" s="216" t="s">
        <v>328</v>
      </c>
      <c r="AA108" s="216"/>
      <c r="AB108" s="227"/>
      <c r="AC108" s="295"/>
    </row>
    <row r="109" spans="1:29" ht="15.5" x14ac:dyDescent="0.35">
      <c r="A109" s="211">
        <v>2433</v>
      </c>
      <c r="B109" s="214" t="s">
        <v>2765</v>
      </c>
      <c r="C109" s="211">
        <v>2596</v>
      </c>
      <c r="D109" s="215" t="s">
        <v>110</v>
      </c>
      <c r="E109" s="215" t="s">
        <v>110</v>
      </c>
      <c r="F109" s="211" t="s">
        <v>110</v>
      </c>
      <c r="G109" s="211" t="s">
        <v>110</v>
      </c>
      <c r="H109" s="216" t="s">
        <v>421</v>
      </c>
      <c r="I109" s="217" t="s">
        <v>2417</v>
      </c>
      <c r="J109" s="211">
        <v>2608600267</v>
      </c>
      <c r="K109" s="211" t="s">
        <v>176</v>
      </c>
      <c r="L109" s="211" t="s">
        <v>176</v>
      </c>
      <c r="M109" s="211" t="s">
        <v>123</v>
      </c>
      <c r="N109" s="211" t="s">
        <v>14</v>
      </c>
      <c r="O109" s="211">
        <v>30</v>
      </c>
      <c r="P109" s="211" t="s">
        <v>37</v>
      </c>
      <c r="Q109" s="213" t="s">
        <v>108</v>
      </c>
      <c r="R109" s="218">
        <v>16200</v>
      </c>
      <c r="S109" s="218">
        <f>Product_Name[[#This Row],[Đơn giá
Unit Price]]*Product_Name[[#This Row],[Số lượng
Quantity]]</f>
        <v>486000</v>
      </c>
      <c r="T109" s="219">
        <v>44263</v>
      </c>
      <c r="U109" s="220">
        <v>44270</v>
      </c>
      <c r="V109" s="221">
        <v>44273</v>
      </c>
      <c r="W109" s="211" t="s">
        <v>2813</v>
      </c>
      <c r="X109" s="211" t="s">
        <v>16</v>
      </c>
      <c r="Y109" s="220"/>
      <c r="Z109" s="216" t="s">
        <v>328</v>
      </c>
      <c r="AA109" s="216"/>
      <c r="AB109" s="227"/>
      <c r="AC109" s="295"/>
    </row>
    <row r="110" spans="1:29" ht="15.5" x14ac:dyDescent="0.35">
      <c r="A110" s="211">
        <v>2433</v>
      </c>
      <c r="B110" s="214" t="s">
        <v>2765</v>
      </c>
      <c r="C110" s="211">
        <v>2596</v>
      </c>
      <c r="D110" s="215" t="s">
        <v>110</v>
      </c>
      <c r="E110" s="215" t="s">
        <v>110</v>
      </c>
      <c r="F110" s="211" t="s">
        <v>110</v>
      </c>
      <c r="G110" s="211" t="s">
        <v>110</v>
      </c>
      <c r="H110" s="216" t="s">
        <v>422</v>
      </c>
      <c r="I110" s="217"/>
      <c r="J110" s="211">
        <v>2608600017</v>
      </c>
      <c r="K110" s="211" t="s">
        <v>176</v>
      </c>
      <c r="L110" s="211" t="s">
        <v>176</v>
      </c>
      <c r="M110" s="211" t="s">
        <v>123</v>
      </c>
      <c r="N110" s="211" t="s">
        <v>14</v>
      </c>
      <c r="O110" s="211">
        <v>30</v>
      </c>
      <c r="P110" s="211" t="s">
        <v>37</v>
      </c>
      <c r="Q110" s="213" t="s">
        <v>108</v>
      </c>
      <c r="R110" s="218">
        <v>16200</v>
      </c>
      <c r="S110" s="218">
        <f>Product_Name[[#This Row],[Đơn giá
Unit Price]]*Product_Name[[#This Row],[Số lượng
Quantity]]</f>
        <v>486000</v>
      </c>
      <c r="T110" s="219">
        <v>44263</v>
      </c>
      <c r="U110" s="220">
        <v>44270</v>
      </c>
      <c r="V110" s="221">
        <v>44273</v>
      </c>
      <c r="W110" s="211" t="s">
        <v>2813</v>
      </c>
      <c r="X110" s="211" t="s">
        <v>16</v>
      </c>
      <c r="Y110" s="220"/>
      <c r="Z110" s="216" t="s">
        <v>328</v>
      </c>
      <c r="AA110" s="216"/>
      <c r="AB110" s="227"/>
      <c r="AC110" s="295"/>
    </row>
    <row r="111" spans="1:29" ht="15.5" x14ac:dyDescent="0.35">
      <c r="A111" s="211"/>
      <c r="B111" s="214"/>
      <c r="C111" s="211"/>
      <c r="D111" s="215" t="s">
        <v>110</v>
      </c>
      <c r="E111" s="215" t="s">
        <v>110</v>
      </c>
      <c r="F111" s="211" t="s">
        <v>110</v>
      </c>
      <c r="G111" s="211" t="s">
        <v>110</v>
      </c>
      <c r="H111" s="224" t="s">
        <v>423</v>
      </c>
      <c r="I111" s="225"/>
      <c r="J111" s="213" t="s">
        <v>424</v>
      </c>
      <c r="K111" s="211"/>
      <c r="L111" s="211" t="s">
        <v>99</v>
      </c>
      <c r="M111" s="211" t="s">
        <v>123</v>
      </c>
      <c r="N111" s="211" t="s">
        <v>14</v>
      </c>
      <c r="O111" s="211">
        <v>2</v>
      </c>
      <c r="P111" s="213" t="s">
        <v>37</v>
      </c>
      <c r="Q111" s="213" t="s">
        <v>108</v>
      </c>
      <c r="R111" s="218">
        <v>2745000</v>
      </c>
      <c r="S111" s="218">
        <f>Product_Name[[#This Row],[Đơn giá
Unit Price]]*Product_Name[[#This Row],[Số lượng
Quantity]]</f>
        <v>5490000</v>
      </c>
      <c r="T111" s="219"/>
      <c r="U111" s="220"/>
      <c r="V111" s="221"/>
      <c r="W111" s="211" t="s">
        <v>2813</v>
      </c>
      <c r="X111" s="211" t="s">
        <v>16</v>
      </c>
      <c r="Y111" s="220"/>
      <c r="Z111" s="216"/>
      <c r="AA111" s="216"/>
      <c r="AB111" s="227" t="s">
        <v>349</v>
      </c>
      <c r="AC111" s="295"/>
    </row>
    <row r="112" spans="1:29" ht="15.5" x14ac:dyDescent="0.35">
      <c r="A112" s="211">
        <v>2543</v>
      </c>
      <c r="B112" s="214" t="s">
        <v>2766</v>
      </c>
      <c r="C112" s="211">
        <v>2708</v>
      </c>
      <c r="D112" s="215" t="s">
        <v>110</v>
      </c>
      <c r="E112" s="215" t="s">
        <v>110</v>
      </c>
      <c r="F112" s="211" t="s">
        <v>2042</v>
      </c>
      <c r="G112" s="211" t="s">
        <v>619</v>
      </c>
      <c r="H112" s="216" t="s">
        <v>614</v>
      </c>
      <c r="I112" s="217" t="s">
        <v>1470</v>
      </c>
      <c r="J112" s="211" t="s">
        <v>613</v>
      </c>
      <c r="K112" s="211"/>
      <c r="L112" s="211" t="s">
        <v>99</v>
      </c>
      <c r="M112" s="211" t="s">
        <v>124</v>
      </c>
      <c r="N112" s="211" t="s">
        <v>14</v>
      </c>
      <c r="O112" s="211">
        <v>350</v>
      </c>
      <c r="P112" s="211" t="s">
        <v>37</v>
      </c>
      <c r="Q112" s="213" t="s">
        <v>108</v>
      </c>
      <c r="R112" s="218">
        <v>15000</v>
      </c>
      <c r="S112" s="218">
        <f>Product_Name[[#This Row],[Đơn giá
Unit Price]]*Product_Name[[#This Row],[Số lượng
Quantity]]</f>
        <v>5250000</v>
      </c>
      <c r="T112" s="219">
        <v>44291</v>
      </c>
      <c r="U112" s="220">
        <v>44305</v>
      </c>
      <c r="V112" s="221">
        <v>44302</v>
      </c>
      <c r="W112" s="211" t="s">
        <v>51</v>
      </c>
      <c r="X112" s="211" t="s">
        <v>16</v>
      </c>
      <c r="Y112" s="220"/>
      <c r="Z112" s="216"/>
      <c r="AA112" s="216"/>
      <c r="AB112" s="227"/>
      <c r="AC112" s="295"/>
    </row>
    <row r="113" spans="1:29" ht="15.5" x14ac:dyDescent="0.35">
      <c r="A113" s="211">
        <v>2664</v>
      </c>
      <c r="B113" s="214" t="s">
        <v>2767</v>
      </c>
      <c r="C113" s="211">
        <v>2852</v>
      </c>
      <c r="D113" s="215" t="s">
        <v>110</v>
      </c>
      <c r="E113" s="215" t="s">
        <v>110</v>
      </c>
      <c r="F113" s="215" t="s">
        <v>110</v>
      </c>
      <c r="G113" s="215" t="s">
        <v>110</v>
      </c>
      <c r="H113" s="216" t="s">
        <v>717</v>
      </c>
      <c r="I113" s="217" t="s">
        <v>1489</v>
      </c>
      <c r="J113" s="211" t="s">
        <v>2966</v>
      </c>
      <c r="K113" s="211" t="s">
        <v>1241</v>
      </c>
      <c r="L113" s="211" t="s">
        <v>718</v>
      </c>
      <c r="M113" s="211" t="s">
        <v>327</v>
      </c>
      <c r="N113" s="211" t="s">
        <v>14</v>
      </c>
      <c r="O113" s="211">
        <v>40</v>
      </c>
      <c r="P113" s="211" t="s">
        <v>719</v>
      </c>
      <c r="Q113" s="213" t="s">
        <v>108</v>
      </c>
      <c r="R113" s="218">
        <v>422500</v>
      </c>
      <c r="S113" s="218">
        <f>Product_Name[[#This Row],[Đơn giá
Unit Price]]*Product_Name[[#This Row],[Số lượng
Quantity]]</f>
        <v>16900000</v>
      </c>
      <c r="T113" s="219">
        <v>44324</v>
      </c>
      <c r="U113" s="220">
        <v>44334</v>
      </c>
      <c r="V113" s="221">
        <v>44334</v>
      </c>
      <c r="W113" s="214" t="s">
        <v>21</v>
      </c>
      <c r="X113" s="211" t="s">
        <v>16</v>
      </c>
      <c r="Y113" s="220"/>
      <c r="Z113" s="216" t="s">
        <v>328</v>
      </c>
      <c r="AA113" s="216"/>
      <c r="AB113" s="227"/>
      <c r="AC113" s="295"/>
    </row>
    <row r="114" spans="1:29" ht="15.5" x14ac:dyDescent="0.35">
      <c r="A114" s="215" t="s">
        <v>110</v>
      </c>
      <c r="B114" s="214" t="s">
        <v>741</v>
      </c>
      <c r="C114" s="215" t="s">
        <v>110</v>
      </c>
      <c r="D114" s="215">
        <v>1004</v>
      </c>
      <c r="E114" s="215">
        <v>2542</v>
      </c>
      <c r="F114" s="211" t="s">
        <v>110</v>
      </c>
      <c r="G114" s="211" t="s">
        <v>619</v>
      </c>
      <c r="H114" s="216" t="s">
        <v>621</v>
      </c>
      <c r="I114" s="217" t="s">
        <v>1468</v>
      </c>
      <c r="J114" s="211" t="s">
        <v>615</v>
      </c>
      <c r="K114" s="211" t="s">
        <v>176</v>
      </c>
      <c r="L114" s="211" t="s">
        <v>176</v>
      </c>
      <c r="M114" s="211" t="s">
        <v>63</v>
      </c>
      <c r="N114" s="211" t="s">
        <v>642</v>
      </c>
      <c r="O114" s="211">
        <v>40</v>
      </c>
      <c r="P114" s="211" t="s">
        <v>37</v>
      </c>
      <c r="Q114" s="213" t="s">
        <v>108</v>
      </c>
      <c r="R114" s="218">
        <v>2150000</v>
      </c>
      <c r="S114" s="218">
        <f>Product_Name[[#This Row],[Đơn giá
Unit Price]]*Product_Name[[#This Row],[Số lượng
Quantity]]</f>
        <v>86000000</v>
      </c>
      <c r="T114" s="219">
        <v>44291</v>
      </c>
      <c r="U114" s="220">
        <v>44328</v>
      </c>
      <c r="V114" s="221">
        <v>44340</v>
      </c>
      <c r="W114" s="211" t="s">
        <v>2813</v>
      </c>
      <c r="X114" s="211" t="s">
        <v>16</v>
      </c>
      <c r="Y114" s="220"/>
      <c r="Z114" s="216" t="s">
        <v>620</v>
      </c>
      <c r="AA114" s="216"/>
      <c r="AB114" s="227"/>
      <c r="AC114" s="295"/>
    </row>
    <row r="115" spans="1:29" ht="15.5" x14ac:dyDescent="0.35">
      <c r="A115" s="215" t="s">
        <v>110</v>
      </c>
      <c r="B115" s="214" t="s">
        <v>741</v>
      </c>
      <c r="C115" s="215" t="s">
        <v>110</v>
      </c>
      <c r="D115" s="215">
        <v>1004</v>
      </c>
      <c r="E115" s="215">
        <v>2542</v>
      </c>
      <c r="F115" s="211" t="s">
        <v>110</v>
      </c>
      <c r="G115" s="211" t="s">
        <v>619</v>
      </c>
      <c r="H115" s="216" t="s">
        <v>621</v>
      </c>
      <c r="I115" s="217" t="s">
        <v>1468</v>
      </c>
      <c r="J115" s="211" t="s">
        <v>616</v>
      </c>
      <c r="K115" s="211" t="s">
        <v>176</v>
      </c>
      <c r="L115" s="211" t="s">
        <v>176</v>
      </c>
      <c r="M115" s="211" t="s">
        <v>63</v>
      </c>
      <c r="N115" s="211" t="s">
        <v>642</v>
      </c>
      <c r="O115" s="211">
        <v>6</v>
      </c>
      <c r="P115" s="211" t="s">
        <v>37</v>
      </c>
      <c r="Q115" s="213" t="s">
        <v>108</v>
      </c>
      <c r="R115" s="218">
        <v>1000000</v>
      </c>
      <c r="S115" s="218">
        <f>Product_Name[[#This Row],[Đơn giá
Unit Price]]*Product_Name[[#This Row],[Số lượng
Quantity]]</f>
        <v>6000000</v>
      </c>
      <c r="T115" s="219">
        <v>44291</v>
      </c>
      <c r="U115" s="220">
        <v>44328</v>
      </c>
      <c r="V115" s="221">
        <v>44340</v>
      </c>
      <c r="W115" s="211" t="s">
        <v>2813</v>
      </c>
      <c r="X115" s="211" t="s">
        <v>16</v>
      </c>
      <c r="Y115" s="220"/>
      <c r="Z115" s="216" t="s">
        <v>620</v>
      </c>
      <c r="AA115" s="216"/>
      <c r="AB115" s="227"/>
      <c r="AC115" s="295"/>
    </row>
    <row r="116" spans="1:29" ht="15.5" x14ac:dyDescent="0.35">
      <c r="A116" s="215" t="s">
        <v>110</v>
      </c>
      <c r="B116" s="214" t="s">
        <v>741</v>
      </c>
      <c r="C116" s="215" t="s">
        <v>110</v>
      </c>
      <c r="D116" s="215">
        <v>1004</v>
      </c>
      <c r="E116" s="215">
        <v>2542</v>
      </c>
      <c r="F116" s="211" t="s">
        <v>110</v>
      </c>
      <c r="G116" s="211" t="s">
        <v>619</v>
      </c>
      <c r="H116" s="216" t="s">
        <v>621</v>
      </c>
      <c r="I116" s="217" t="s">
        <v>1468</v>
      </c>
      <c r="J116" s="211" t="s">
        <v>617</v>
      </c>
      <c r="K116" s="211" t="s">
        <v>176</v>
      </c>
      <c r="L116" s="211" t="s">
        <v>176</v>
      </c>
      <c r="M116" s="211" t="s">
        <v>63</v>
      </c>
      <c r="N116" s="211" t="s">
        <v>642</v>
      </c>
      <c r="O116" s="211">
        <v>13</v>
      </c>
      <c r="P116" s="211" t="s">
        <v>37</v>
      </c>
      <c r="Q116" s="213" t="s">
        <v>108</v>
      </c>
      <c r="R116" s="218">
        <v>1780000</v>
      </c>
      <c r="S116" s="218">
        <f>Product_Name[[#This Row],[Đơn giá
Unit Price]]*Product_Name[[#This Row],[Số lượng
Quantity]]</f>
        <v>23140000</v>
      </c>
      <c r="T116" s="219">
        <v>44291</v>
      </c>
      <c r="U116" s="220">
        <v>44328</v>
      </c>
      <c r="V116" s="221">
        <v>44340</v>
      </c>
      <c r="W116" s="211" t="s">
        <v>2813</v>
      </c>
      <c r="X116" s="211" t="s">
        <v>16</v>
      </c>
      <c r="Y116" s="220"/>
      <c r="Z116" s="216" t="s">
        <v>620</v>
      </c>
      <c r="AA116" s="216"/>
      <c r="AB116" s="227"/>
      <c r="AC116" s="295"/>
    </row>
    <row r="117" spans="1:29" ht="15.5" x14ac:dyDescent="0.35">
      <c r="A117" s="215" t="s">
        <v>110</v>
      </c>
      <c r="B117" s="214" t="s">
        <v>741</v>
      </c>
      <c r="C117" s="215" t="s">
        <v>110</v>
      </c>
      <c r="D117" s="215">
        <v>1004</v>
      </c>
      <c r="E117" s="215">
        <v>2542</v>
      </c>
      <c r="F117" s="211" t="s">
        <v>110</v>
      </c>
      <c r="G117" s="211" t="s">
        <v>619</v>
      </c>
      <c r="H117" s="216" t="s">
        <v>621</v>
      </c>
      <c r="I117" s="217" t="s">
        <v>1468</v>
      </c>
      <c r="J117" s="211" t="s">
        <v>618</v>
      </c>
      <c r="K117" s="211" t="s">
        <v>176</v>
      </c>
      <c r="L117" s="211" t="s">
        <v>176</v>
      </c>
      <c r="M117" s="211" t="s">
        <v>63</v>
      </c>
      <c r="N117" s="211" t="s">
        <v>642</v>
      </c>
      <c r="O117" s="211">
        <v>2</v>
      </c>
      <c r="P117" s="211" t="s">
        <v>37</v>
      </c>
      <c r="Q117" s="213" t="s">
        <v>108</v>
      </c>
      <c r="R117" s="218">
        <v>1590000</v>
      </c>
      <c r="S117" s="218">
        <f>Product_Name[[#This Row],[Đơn giá
Unit Price]]*Product_Name[[#This Row],[Số lượng
Quantity]]</f>
        <v>3180000</v>
      </c>
      <c r="T117" s="219">
        <v>44291</v>
      </c>
      <c r="U117" s="220">
        <v>44328</v>
      </c>
      <c r="V117" s="221">
        <v>44340</v>
      </c>
      <c r="W117" s="211" t="s">
        <v>2813</v>
      </c>
      <c r="X117" s="211" t="s">
        <v>16</v>
      </c>
      <c r="Y117" s="220"/>
      <c r="Z117" s="216" t="s">
        <v>620</v>
      </c>
      <c r="AA117" s="216"/>
      <c r="AB117" s="227"/>
      <c r="AC117" s="295"/>
    </row>
    <row r="118" spans="1:29" ht="15.5" x14ac:dyDescent="0.35">
      <c r="A118" s="215" t="s">
        <v>110</v>
      </c>
      <c r="B118" s="214" t="s">
        <v>732</v>
      </c>
      <c r="C118" s="215" t="s">
        <v>110</v>
      </c>
      <c r="D118" s="215">
        <v>1007</v>
      </c>
      <c r="E118" s="215">
        <v>2563</v>
      </c>
      <c r="F118" s="211" t="s">
        <v>110</v>
      </c>
      <c r="G118" s="211" t="s">
        <v>625</v>
      </c>
      <c r="H118" s="216" t="s">
        <v>622</v>
      </c>
      <c r="I118" s="217" t="s">
        <v>734</v>
      </c>
      <c r="J118" s="211" t="s">
        <v>623</v>
      </c>
      <c r="K118" s="211" t="s">
        <v>176</v>
      </c>
      <c r="L118" s="211" t="s">
        <v>176</v>
      </c>
      <c r="M118" s="211" t="s">
        <v>63</v>
      </c>
      <c r="N118" s="211" t="s">
        <v>642</v>
      </c>
      <c r="O118" s="211">
        <v>2</v>
      </c>
      <c r="P118" s="211" t="s">
        <v>37</v>
      </c>
      <c r="Q118" s="213" t="s">
        <v>108</v>
      </c>
      <c r="R118" s="218">
        <v>6730000</v>
      </c>
      <c r="S118" s="218">
        <f>Product_Name[[#This Row],[Đơn giá
Unit Price]]*Product_Name[[#This Row],[Số lượng
Quantity]]</f>
        <v>13460000</v>
      </c>
      <c r="T118" s="219">
        <v>44292</v>
      </c>
      <c r="U118" s="220">
        <v>44302</v>
      </c>
      <c r="V118" s="221">
        <v>44334</v>
      </c>
      <c r="W118" s="211" t="s">
        <v>21</v>
      </c>
      <c r="X118" s="211" t="s">
        <v>16</v>
      </c>
      <c r="Y118" s="220"/>
      <c r="Z118" s="216" t="s">
        <v>624</v>
      </c>
      <c r="AA118" s="216"/>
      <c r="AB118" s="227"/>
      <c r="AC118" s="295"/>
    </row>
    <row r="119" spans="1:29" s="71" customFormat="1" ht="15.5" x14ac:dyDescent="0.35">
      <c r="A119" s="214">
        <v>2700</v>
      </c>
      <c r="B119" s="214" t="s">
        <v>2768</v>
      </c>
      <c r="C119" s="214">
        <v>2894</v>
      </c>
      <c r="D119" s="215" t="s">
        <v>110</v>
      </c>
      <c r="E119" s="215" t="s">
        <v>110</v>
      </c>
      <c r="F119" s="214" t="s">
        <v>631</v>
      </c>
      <c r="G119" s="214" t="s">
        <v>731</v>
      </c>
      <c r="H119" s="217" t="s">
        <v>436</v>
      </c>
      <c r="I119" s="217" t="s">
        <v>723</v>
      </c>
      <c r="J119" s="214" t="s">
        <v>726</v>
      </c>
      <c r="K119" s="211" t="s">
        <v>176</v>
      </c>
      <c r="L119" s="214" t="s">
        <v>2703</v>
      </c>
      <c r="M119" s="211" t="s">
        <v>123</v>
      </c>
      <c r="N119" s="214" t="s">
        <v>14</v>
      </c>
      <c r="O119" s="214">
        <v>128</v>
      </c>
      <c r="P119" s="214" t="s">
        <v>104</v>
      </c>
      <c r="Q119" s="223" t="s">
        <v>108</v>
      </c>
      <c r="R119" s="229">
        <v>941000</v>
      </c>
      <c r="S119" s="229">
        <f>Product_Name[[#This Row],[Đơn giá
Unit Price]]*Product_Name[[#This Row],[Số lượng
Quantity]]</f>
        <v>120448000</v>
      </c>
      <c r="T119" s="230">
        <v>44333</v>
      </c>
      <c r="U119" s="227">
        <v>44396</v>
      </c>
      <c r="V119" s="231">
        <v>44391</v>
      </c>
      <c r="W119" s="214" t="s">
        <v>2577</v>
      </c>
      <c r="X119" s="214" t="s">
        <v>611</v>
      </c>
      <c r="Y119" s="220">
        <v>44278</v>
      </c>
      <c r="Z119" s="216"/>
      <c r="AA119" s="216" t="s">
        <v>2476</v>
      </c>
      <c r="AB119" s="227"/>
      <c r="AC119" s="295"/>
    </row>
    <row r="120" spans="1:29" s="71" customFormat="1" ht="15.5" x14ac:dyDescent="0.35">
      <c r="A120" s="215" t="s">
        <v>110</v>
      </c>
      <c r="B120" s="214" t="s">
        <v>801</v>
      </c>
      <c r="C120" s="215" t="s">
        <v>110</v>
      </c>
      <c r="D120" s="215" t="s">
        <v>724</v>
      </c>
      <c r="E120" s="215">
        <v>2762</v>
      </c>
      <c r="F120" s="214" t="s">
        <v>631</v>
      </c>
      <c r="G120" s="214" t="s">
        <v>715</v>
      </c>
      <c r="H120" s="217" t="s">
        <v>437</v>
      </c>
      <c r="I120" s="217" t="s">
        <v>700</v>
      </c>
      <c r="J120" s="214" t="s">
        <v>489</v>
      </c>
      <c r="K120" s="214"/>
      <c r="L120" s="211" t="s">
        <v>102</v>
      </c>
      <c r="M120" s="214" t="s">
        <v>796</v>
      </c>
      <c r="N120" s="211" t="s">
        <v>642</v>
      </c>
      <c r="O120" s="214">
        <v>3</v>
      </c>
      <c r="P120" s="214" t="s">
        <v>44</v>
      </c>
      <c r="Q120" s="213" t="s">
        <v>108</v>
      </c>
      <c r="R120" s="229">
        <v>1544000</v>
      </c>
      <c r="S120" s="229">
        <f>Product_Name[[#This Row],[Đơn giá
Unit Price]]*Product_Name[[#This Row],[Số lượng
Quantity]]</f>
        <v>4632000</v>
      </c>
      <c r="T120" s="230">
        <v>44326</v>
      </c>
      <c r="U120" s="227">
        <v>44357</v>
      </c>
      <c r="V120" s="231">
        <v>44361</v>
      </c>
      <c r="W120" s="214" t="s">
        <v>21</v>
      </c>
      <c r="X120" s="214" t="s">
        <v>611</v>
      </c>
      <c r="Y120" s="220"/>
      <c r="Z120" s="216"/>
      <c r="AA120" s="216"/>
      <c r="AB120" s="227"/>
      <c r="AC120" s="295"/>
    </row>
    <row r="121" spans="1:29" s="71" customFormat="1" ht="15.5" x14ac:dyDescent="0.35">
      <c r="A121" s="215" t="s">
        <v>110</v>
      </c>
      <c r="B121" s="214" t="s">
        <v>801</v>
      </c>
      <c r="C121" s="215" t="s">
        <v>110</v>
      </c>
      <c r="D121" s="215" t="s">
        <v>724</v>
      </c>
      <c r="E121" s="215">
        <v>2762</v>
      </c>
      <c r="F121" s="214" t="s">
        <v>631</v>
      </c>
      <c r="G121" s="214" t="s">
        <v>715</v>
      </c>
      <c r="H121" s="217" t="s">
        <v>438</v>
      </c>
      <c r="I121" s="217" t="s">
        <v>701</v>
      </c>
      <c r="J121" s="214" t="s">
        <v>490</v>
      </c>
      <c r="K121" s="214"/>
      <c r="L121" s="211" t="s">
        <v>102</v>
      </c>
      <c r="M121" s="214" t="s">
        <v>796</v>
      </c>
      <c r="N121" s="211" t="s">
        <v>642</v>
      </c>
      <c r="O121" s="214">
        <v>3</v>
      </c>
      <c r="P121" s="214" t="s">
        <v>44</v>
      </c>
      <c r="Q121" s="213" t="s">
        <v>108</v>
      </c>
      <c r="R121" s="229">
        <v>1518000</v>
      </c>
      <c r="S121" s="229">
        <f>Product_Name[[#This Row],[Đơn giá
Unit Price]]*Product_Name[[#This Row],[Số lượng
Quantity]]</f>
        <v>4554000</v>
      </c>
      <c r="T121" s="230">
        <v>44326</v>
      </c>
      <c r="U121" s="227">
        <v>44405</v>
      </c>
      <c r="V121" s="231">
        <v>44361</v>
      </c>
      <c r="W121" s="214" t="s">
        <v>21</v>
      </c>
      <c r="X121" s="214" t="s">
        <v>611</v>
      </c>
      <c r="Y121" s="220"/>
      <c r="Z121" s="216"/>
      <c r="AA121" s="216"/>
      <c r="AB121" s="227"/>
      <c r="AC121" s="295"/>
    </row>
    <row r="122" spans="1:29" s="71" customFormat="1" ht="15.5" x14ac:dyDescent="0.35">
      <c r="A122" s="214">
        <v>2661</v>
      </c>
      <c r="B122" s="214" t="s">
        <v>756</v>
      </c>
      <c r="C122" s="214">
        <v>2848</v>
      </c>
      <c r="D122" s="215" t="s">
        <v>110</v>
      </c>
      <c r="E122" s="215" t="s">
        <v>110</v>
      </c>
      <c r="F122" s="214" t="s">
        <v>631</v>
      </c>
      <c r="G122" s="214" t="s">
        <v>715</v>
      </c>
      <c r="H122" s="217" t="s">
        <v>716</v>
      </c>
      <c r="I122" s="217" t="s">
        <v>702</v>
      </c>
      <c r="J122" s="214" t="s">
        <v>491</v>
      </c>
      <c r="K122" s="211"/>
      <c r="L122" s="211" t="s">
        <v>99</v>
      </c>
      <c r="M122" s="211" t="s">
        <v>124</v>
      </c>
      <c r="N122" s="211" t="s">
        <v>14</v>
      </c>
      <c r="O122" s="214">
        <v>5</v>
      </c>
      <c r="P122" s="214" t="s">
        <v>104</v>
      </c>
      <c r="Q122" s="213" t="s">
        <v>108</v>
      </c>
      <c r="R122" s="229">
        <v>137000</v>
      </c>
      <c r="S122" s="229">
        <f>Product_Name[[#This Row],[Đơn giá
Unit Price]]*Product_Name[[#This Row],[Số lượng
Quantity]]</f>
        <v>685000</v>
      </c>
      <c r="T122" s="230">
        <v>44322</v>
      </c>
      <c r="U122" s="227">
        <v>44344</v>
      </c>
      <c r="V122" s="231">
        <v>44351</v>
      </c>
      <c r="W122" s="214" t="s">
        <v>21</v>
      </c>
      <c r="X122" s="214" t="s">
        <v>611</v>
      </c>
      <c r="Y122" s="220"/>
      <c r="Z122" s="216"/>
      <c r="AA122" s="216"/>
      <c r="AB122" s="227"/>
      <c r="AC122" s="295"/>
    </row>
    <row r="123" spans="1:29" s="71" customFormat="1" ht="15.5" x14ac:dyDescent="0.35">
      <c r="A123" s="214">
        <v>2661</v>
      </c>
      <c r="B123" s="214" t="s">
        <v>756</v>
      </c>
      <c r="C123" s="214">
        <v>2848</v>
      </c>
      <c r="D123" s="215" t="s">
        <v>110</v>
      </c>
      <c r="E123" s="215" t="s">
        <v>110</v>
      </c>
      <c r="F123" s="214" t="s">
        <v>631</v>
      </c>
      <c r="G123" s="214" t="s">
        <v>715</v>
      </c>
      <c r="H123" s="217" t="s">
        <v>439</v>
      </c>
      <c r="I123" s="217" t="s">
        <v>702</v>
      </c>
      <c r="J123" s="214" t="s">
        <v>492</v>
      </c>
      <c r="K123" s="211"/>
      <c r="L123" s="211" t="s">
        <v>99</v>
      </c>
      <c r="M123" s="211" t="s">
        <v>124</v>
      </c>
      <c r="N123" s="211" t="s">
        <v>14</v>
      </c>
      <c r="O123" s="214">
        <v>10</v>
      </c>
      <c r="P123" s="214" t="s">
        <v>104</v>
      </c>
      <c r="Q123" s="213" t="s">
        <v>108</v>
      </c>
      <c r="R123" s="229">
        <v>544000</v>
      </c>
      <c r="S123" s="229">
        <f>Product_Name[[#This Row],[Đơn giá
Unit Price]]*Product_Name[[#This Row],[Số lượng
Quantity]]</f>
        <v>5440000</v>
      </c>
      <c r="T123" s="230">
        <v>44322</v>
      </c>
      <c r="U123" s="227">
        <v>44344</v>
      </c>
      <c r="V123" s="231">
        <v>44351</v>
      </c>
      <c r="W123" s="214" t="s">
        <v>21</v>
      </c>
      <c r="X123" s="214" t="s">
        <v>611</v>
      </c>
      <c r="Y123" s="220"/>
      <c r="Z123" s="216"/>
      <c r="AA123" s="216"/>
      <c r="AB123" s="227"/>
      <c r="AC123" s="295"/>
    </row>
    <row r="124" spans="1:29" s="71" customFormat="1" ht="15.5" x14ac:dyDescent="0.35">
      <c r="A124" s="214">
        <v>2661</v>
      </c>
      <c r="B124" s="214" t="s">
        <v>756</v>
      </c>
      <c r="C124" s="214">
        <v>2848</v>
      </c>
      <c r="D124" s="215" t="s">
        <v>110</v>
      </c>
      <c r="E124" s="215" t="s">
        <v>110</v>
      </c>
      <c r="F124" s="214" t="s">
        <v>631</v>
      </c>
      <c r="G124" s="214" t="s">
        <v>715</v>
      </c>
      <c r="H124" s="217" t="s">
        <v>442</v>
      </c>
      <c r="I124" s="217" t="s">
        <v>705</v>
      </c>
      <c r="J124" s="214" t="s">
        <v>494</v>
      </c>
      <c r="K124" s="211"/>
      <c r="L124" s="211" t="s">
        <v>99</v>
      </c>
      <c r="M124" s="211" t="s">
        <v>124</v>
      </c>
      <c r="N124" s="211" t="s">
        <v>14</v>
      </c>
      <c r="O124" s="214">
        <v>1</v>
      </c>
      <c r="P124" s="214" t="s">
        <v>44</v>
      </c>
      <c r="Q124" s="213" t="s">
        <v>108</v>
      </c>
      <c r="R124" s="229">
        <v>3715000</v>
      </c>
      <c r="S124" s="229">
        <f>Product_Name[[#This Row],[Đơn giá
Unit Price]]*Product_Name[[#This Row],[Số lượng
Quantity]]</f>
        <v>3715000</v>
      </c>
      <c r="T124" s="230">
        <v>44322</v>
      </c>
      <c r="U124" s="227">
        <v>44344</v>
      </c>
      <c r="V124" s="231">
        <v>44351</v>
      </c>
      <c r="W124" s="214" t="s">
        <v>21</v>
      </c>
      <c r="X124" s="214" t="s">
        <v>611</v>
      </c>
      <c r="Y124" s="220"/>
      <c r="Z124" s="216"/>
      <c r="AA124" s="216"/>
      <c r="AB124" s="227"/>
      <c r="AC124" s="295"/>
    </row>
    <row r="125" spans="1:29" s="71" customFormat="1" ht="15.5" x14ac:dyDescent="0.35">
      <c r="A125" s="215" t="s">
        <v>110</v>
      </c>
      <c r="B125" s="214" t="s">
        <v>921</v>
      </c>
      <c r="C125" s="215" t="s">
        <v>110</v>
      </c>
      <c r="D125" s="215">
        <v>1080</v>
      </c>
      <c r="E125" s="215">
        <v>2660</v>
      </c>
      <c r="F125" s="214" t="s">
        <v>631</v>
      </c>
      <c r="G125" s="214" t="s">
        <v>715</v>
      </c>
      <c r="H125" s="217" t="s">
        <v>440</v>
      </c>
      <c r="I125" s="217" t="s">
        <v>703</v>
      </c>
      <c r="J125" s="214" t="s">
        <v>639</v>
      </c>
      <c r="K125" s="214"/>
      <c r="L125" s="214" t="s">
        <v>2704</v>
      </c>
      <c r="M125" s="214" t="s">
        <v>796</v>
      </c>
      <c r="N125" s="211" t="s">
        <v>642</v>
      </c>
      <c r="O125" s="214">
        <v>1</v>
      </c>
      <c r="P125" s="214" t="s">
        <v>104</v>
      </c>
      <c r="Q125" s="213" t="s">
        <v>108</v>
      </c>
      <c r="R125" s="229">
        <v>4750000</v>
      </c>
      <c r="S125" s="229">
        <f>Product_Name[[#This Row],[Đơn giá
Unit Price]]*Product_Name[[#This Row],[Số lượng
Quantity]]</f>
        <v>4750000</v>
      </c>
      <c r="T125" s="230">
        <v>44323</v>
      </c>
      <c r="U125" s="227">
        <v>44389</v>
      </c>
      <c r="V125" s="231">
        <v>44372</v>
      </c>
      <c r="W125" s="214" t="s">
        <v>21</v>
      </c>
      <c r="X125" s="214" t="s">
        <v>611</v>
      </c>
      <c r="Y125" s="220"/>
      <c r="Z125" s="216"/>
      <c r="AA125" s="216"/>
      <c r="AB125" s="227"/>
      <c r="AC125" s="295"/>
    </row>
    <row r="126" spans="1:29" s="71" customFormat="1" ht="15.5" x14ac:dyDescent="0.35">
      <c r="A126" s="215" t="s">
        <v>110</v>
      </c>
      <c r="B126" s="214" t="s">
        <v>921</v>
      </c>
      <c r="C126" s="215" t="s">
        <v>110</v>
      </c>
      <c r="D126" s="215">
        <v>1080</v>
      </c>
      <c r="E126" s="215">
        <v>2660</v>
      </c>
      <c r="F126" s="214" t="s">
        <v>631</v>
      </c>
      <c r="G126" s="214" t="s">
        <v>715</v>
      </c>
      <c r="H126" s="217" t="s">
        <v>441</v>
      </c>
      <c r="I126" s="217" t="s">
        <v>704</v>
      </c>
      <c r="J126" s="214" t="s">
        <v>493</v>
      </c>
      <c r="K126" s="214"/>
      <c r="L126" s="214" t="s">
        <v>2704</v>
      </c>
      <c r="M126" s="214" t="s">
        <v>796</v>
      </c>
      <c r="N126" s="211" t="s">
        <v>642</v>
      </c>
      <c r="O126" s="214">
        <v>1</v>
      </c>
      <c r="P126" s="214" t="s">
        <v>104</v>
      </c>
      <c r="Q126" s="213" t="s">
        <v>108</v>
      </c>
      <c r="R126" s="229">
        <v>720000</v>
      </c>
      <c r="S126" s="229">
        <f>Product_Name[[#This Row],[Đơn giá
Unit Price]]*Product_Name[[#This Row],[Số lượng
Quantity]]</f>
        <v>720000</v>
      </c>
      <c r="T126" s="230">
        <v>44323</v>
      </c>
      <c r="U126" s="227">
        <v>44389</v>
      </c>
      <c r="V126" s="231">
        <v>44372</v>
      </c>
      <c r="W126" s="214" t="s">
        <v>21</v>
      </c>
      <c r="X126" s="214" t="s">
        <v>611</v>
      </c>
      <c r="Y126" s="220"/>
      <c r="Z126" s="216"/>
      <c r="AA126" s="216"/>
      <c r="AB126" s="227"/>
      <c r="AC126" s="295"/>
    </row>
    <row r="127" spans="1:29" s="71" customFormat="1" ht="15.5" x14ac:dyDescent="0.35">
      <c r="A127" s="215" t="s">
        <v>110</v>
      </c>
      <c r="B127" s="214" t="s">
        <v>802</v>
      </c>
      <c r="C127" s="215" t="s">
        <v>110</v>
      </c>
      <c r="D127" s="215">
        <v>1149</v>
      </c>
      <c r="E127" s="215">
        <v>2772</v>
      </c>
      <c r="F127" s="214" t="s">
        <v>110</v>
      </c>
      <c r="G127" s="214" t="s">
        <v>753</v>
      </c>
      <c r="H127" s="217" t="s">
        <v>738</v>
      </c>
      <c r="I127" s="217" t="s">
        <v>739</v>
      </c>
      <c r="J127" s="214" t="s">
        <v>740</v>
      </c>
      <c r="K127" s="211" t="s">
        <v>176</v>
      </c>
      <c r="L127" s="214" t="s">
        <v>176</v>
      </c>
      <c r="M127" s="214" t="s">
        <v>797</v>
      </c>
      <c r="N127" s="214" t="s">
        <v>642</v>
      </c>
      <c r="O127" s="214">
        <v>2</v>
      </c>
      <c r="P127" s="214" t="s">
        <v>276</v>
      </c>
      <c r="Q127" s="229" t="s">
        <v>108</v>
      </c>
      <c r="R127" s="229">
        <v>2822400</v>
      </c>
      <c r="S127" s="229">
        <f>Product_Name[[#This Row],[Đơn giá
Unit Price]]*Product_Name[[#This Row],[Số lượng
Quantity]]</f>
        <v>5644800</v>
      </c>
      <c r="T127" s="230">
        <v>44343</v>
      </c>
      <c r="U127" s="227">
        <v>44362</v>
      </c>
      <c r="V127" s="221">
        <v>44363</v>
      </c>
      <c r="W127" s="214" t="s">
        <v>2813</v>
      </c>
      <c r="X127" s="214" t="s">
        <v>16</v>
      </c>
      <c r="Y127" s="220"/>
      <c r="Z127" s="216"/>
      <c r="AA127" s="216"/>
      <c r="AB127" s="227"/>
      <c r="AC127" s="295"/>
    </row>
    <row r="128" spans="1:29" ht="15.5" x14ac:dyDescent="0.35">
      <c r="A128" s="211">
        <v>2800</v>
      </c>
      <c r="B128" s="214" t="s">
        <v>800</v>
      </c>
      <c r="C128" s="211">
        <v>3014</v>
      </c>
      <c r="D128" s="215" t="s">
        <v>110</v>
      </c>
      <c r="E128" s="215" t="s">
        <v>110</v>
      </c>
      <c r="F128" s="214" t="s">
        <v>110</v>
      </c>
      <c r="G128" s="214" t="s">
        <v>110</v>
      </c>
      <c r="H128" s="217" t="s">
        <v>238</v>
      </c>
      <c r="I128" s="217" t="s">
        <v>754</v>
      </c>
      <c r="J128" s="214" t="s">
        <v>245</v>
      </c>
      <c r="K128" s="211"/>
      <c r="L128" s="211" t="s">
        <v>218</v>
      </c>
      <c r="M128" s="211" t="s">
        <v>124</v>
      </c>
      <c r="N128" s="214" t="s">
        <v>14</v>
      </c>
      <c r="O128" s="211">
        <v>5</v>
      </c>
      <c r="P128" s="211" t="s">
        <v>276</v>
      </c>
      <c r="Q128" s="218" t="s">
        <v>108</v>
      </c>
      <c r="R128" s="218">
        <v>23400</v>
      </c>
      <c r="S128" s="218">
        <f>Product_Name[[#This Row],[Đơn giá
Unit Price]]*Product_Name[[#This Row],[Số lượng
Quantity]]</f>
        <v>117000</v>
      </c>
      <c r="T128" s="219">
        <v>44350</v>
      </c>
      <c r="U128" s="220">
        <v>44364</v>
      </c>
      <c r="V128" s="221">
        <v>44358</v>
      </c>
      <c r="W128" s="214" t="s">
        <v>21</v>
      </c>
      <c r="X128" s="211" t="s">
        <v>16</v>
      </c>
      <c r="Y128" s="220"/>
      <c r="Z128" s="216"/>
      <c r="AA128" s="216"/>
      <c r="AB128" s="227"/>
      <c r="AC128" s="295"/>
    </row>
    <row r="129" spans="1:29" ht="15.5" x14ac:dyDescent="0.35">
      <c r="A129" s="211">
        <v>2800</v>
      </c>
      <c r="B129" s="214" t="s">
        <v>800</v>
      </c>
      <c r="C129" s="211">
        <v>3014</v>
      </c>
      <c r="D129" s="215" t="s">
        <v>110</v>
      </c>
      <c r="E129" s="215" t="s">
        <v>110</v>
      </c>
      <c r="F129" s="214" t="s">
        <v>110</v>
      </c>
      <c r="G129" s="214" t="s">
        <v>110</v>
      </c>
      <c r="H129" s="217" t="s">
        <v>237</v>
      </c>
      <c r="I129" s="217" t="s">
        <v>754</v>
      </c>
      <c r="J129" s="214" t="s">
        <v>244</v>
      </c>
      <c r="K129" s="211"/>
      <c r="L129" s="211" t="s">
        <v>218</v>
      </c>
      <c r="M129" s="211" t="s">
        <v>124</v>
      </c>
      <c r="N129" s="214" t="s">
        <v>14</v>
      </c>
      <c r="O129" s="211">
        <v>5</v>
      </c>
      <c r="P129" s="211" t="s">
        <v>276</v>
      </c>
      <c r="Q129" s="218" t="s">
        <v>108</v>
      </c>
      <c r="R129" s="218">
        <v>23400</v>
      </c>
      <c r="S129" s="218">
        <f>Product_Name[[#This Row],[Đơn giá
Unit Price]]*Product_Name[[#This Row],[Số lượng
Quantity]]</f>
        <v>117000</v>
      </c>
      <c r="T129" s="219">
        <v>44350</v>
      </c>
      <c r="U129" s="220">
        <v>44364</v>
      </c>
      <c r="V129" s="221">
        <v>44358</v>
      </c>
      <c r="W129" s="214" t="s">
        <v>21</v>
      </c>
      <c r="X129" s="211" t="s">
        <v>16</v>
      </c>
      <c r="Y129" s="220"/>
      <c r="Z129" s="216"/>
      <c r="AA129" s="216"/>
      <c r="AB129" s="227"/>
      <c r="AC129" s="295"/>
    </row>
    <row r="130" spans="1:29" ht="15.5" x14ac:dyDescent="0.35">
      <c r="A130" s="211">
        <v>2800</v>
      </c>
      <c r="B130" s="214" t="s">
        <v>800</v>
      </c>
      <c r="C130" s="211">
        <v>3014</v>
      </c>
      <c r="D130" s="215" t="s">
        <v>110</v>
      </c>
      <c r="E130" s="215" t="s">
        <v>110</v>
      </c>
      <c r="F130" s="214" t="s">
        <v>110</v>
      </c>
      <c r="G130" s="214" t="s">
        <v>110</v>
      </c>
      <c r="H130" s="217" t="s">
        <v>235</v>
      </c>
      <c r="I130" s="217" t="s">
        <v>754</v>
      </c>
      <c r="J130" s="214" t="s">
        <v>242</v>
      </c>
      <c r="K130" s="211"/>
      <c r="L130" s="211" t="s">
        <v>218</v>
      </c>
      <c r="M130" s="211" t="s">
        <v>124</v>
      </c>
      <c r="N130" s="214" t="s">
        <v>14</v>
      </c>
      <c r="O130" s="211">
        <v>5</v>
      </c>
      <c r="P130" s="211" t="s">
        <v>276</v>
      </c>
      <c r="Q130" s="218" t="s">
        <v>108</v>
      </c>
      <c r="R130" s="218">
        <v>32500</v>
      </c>
      <c r="S130" s="218">
        <f>Product_Name[[#This Row],[Đơn giá
Unit Price]]*Product_Name[[#This Row],[Số lượng
Quantity]]</f>
        <v>162500</v>
      </c>
      <c r="T130" s="219">
        <v>44350</v>
      </c>
      <c r="U130" s="220">
        <v>44364</v>
      </c>
      <c r="V130" s="221">
        <v>44358</v>
      </c>
      <c r="W130" s="214" t="s">
        <v>21</v>
      </c>
      <c r="X130" s="211" t="s">
        <v>16</v>
      </c>
      <c r="Y130" s="220"/>
      <c r="Z130" s="216"/>
      <c r="AA130" s="216"/>
      <c r="AB130" s="227"/>
      <c r="AC130" s="295"/>
    </row>
    <row r="131" spans="1:29" ht="15.5" x14ac:dyDescent="0.35">
      <c r="A131" s="211">
        <v>2800</v>
      </c>
      <c r="B131" s="214" t="s">
        <v>800</v>
      </c>
      <c r="C131" s="211">
        <v>3014</v>
      </c>
      <c r="D131" s="215" t="s">
        <v>110</v>
      </c>
      <c r="E131" s="215" t="s">
        <v>110</v>
      </c>
      <c r="F131" s="214" t="s">
        <v>110</v>
      </c>
      <c r="G131" s="214" t="s">
        <v>110</v>
      </c>
      <c r="H131" s="217" t="s">
        <v>236</v>
      </c>
      <c r="I131" s="217" t="s">
        <v>754</v>
      </c>
      <c r="J131" s="214" t="s">
        <v>243</v>
      </c>
      <c r="K131" s="211"/>
      <c r="L131" s="211" t="s">
        <v>218</v>
      </c>
      <c r="M131" s="211" t="s">
        <v>124</v>
      </c>
      <c r="N131" s="214" t="s">
        <v>14</v>
      </c>
      <c r="O131" s="211">
        <v>5</v>
      </c>
      <c r="P131" s="211" t="s">
        <v>276</v>
      </c>
      <c r="Q131" s="218" t="s">
        <v>108</v>
      </c>
      <c r="R131" s="218">
        <v>62400</v>
      </c>
      <c r="S131" s="218">
        <f>Product_Name[[#This Row],[Đơn giá
Unit Price]]*Product_Name[[#This Row],[Số lượng
Quantity]]</f>
        <v>312000</v>
      </c>
      <c r="T131" s="219">
        <v>44350</v>
      </c>
      <c r="U131" s="220">
        <v>44364</v>
      </c>
      <c r="V131" s="221">
        <v>44358</v>
      </c>
      <c r="W131" s="214" t="s">
        <v>21</v>
      </c>
      <c r="X131" s="211" t="s">
        <v>16</v>
      </c>
      <c r="Y131" s="220"/>
      <c r="Z131" s="216"/>
      <c r="AA131" s="216"/>
      <c r="AB131" s="227"/>
      <c r="AC131" s="295"/>
    </row>
    <row r="132" spans="1:29" ht="15.5" x14ac:dyDescent="0.35">
      <c r="A132" s="211">
        <v>2800</v>
      </c>
      <c r="B132" s="214" t="s">
        <v>800</v>
      </c>
      <c r="C132" s="211">
        <v>3014</v>
      </c>
      <c r="D132" s="215" t="s">
        <v>110</v>
      </c>
      <c r="E132" s="215" t="s">
        <v>110</v>
      </c>
      <c r="F132" s="214" t="s">
        <v>110</v>
      </c>
      <c r="G132" s="214" t="s">
        <v>110</v>
      </c>
      <c r="H132" s="217" t="s">
        <v>239</v>
      </c>
      <c r="I132" s="217" t="s">
        <v>754</v>
      </c>
      <c r="J132" s="214" t="s">
        <v>246</v>
      </c>
      <c r="K132" s="211"/>
      <c r="L132" s="211" t="s">
        <v>218</v>
      </c>
      <c r="M132" s="211" t="s">
        <v>124</v>
      </c>
      <c r="N132" s="214" t="s">
        <v>14</v>
      </c>
      <c r="O132" s="211">
        <v>5</v>
      </c>
      <c r="P132" s="211" t="s">
        <v>276</v>
      </c>
      <c r="Q132" s="218" t="s">
        <v>108</v>
      </c>
      <c r="R132" s="218">
        <v>78000</v>
      </c>
      <c r="S132" s="218">
        <f>Product_Name[[#This Row],[Đơn giá
Unit Price]]*Product_Name[[#This Row],[Số lượng
Quantity]]</f>
        <v>390000</v>
      </c>
      <c r="T132" s="219">
        <v>44350</v>
      </c>
      <c r="U132" s="220">
        <v>44364</v>
      </c>
      <c r="V132" s="221">
        <v>44358</v>
      </c>
      <c r="W132" s="214" t="s">
        <v>21</v>
      </c>
      <c r="X132" s="211" t="s">
        <v>16</v>
      </c>
      <c r="Y132" s="220"/>
      <c r="Z132" s="216"/>
      <c r="AA132" s="216"/>
      <c r="AB132" s="227"/>
      <c r="AC132" s="295"/>
    </row>
    <row r="133" spans="1:29" s="71" customFormat="1" ht="15.5" x14ac:dyDescent="0.35">
      <c r="A133" s="214">
        <v>2799</v>
      </c>
      <c r="B133" s="214" t="s">
        <v>1156</v>
      </c>
      <c r="C133" s="214">
        <v>3016</v>
      </c>
      <c r="D133" s="215" t="s">
        <v>110</v>
      </c>
      <c r="E133" s="215" t="s">
        <v>110</v>
      </c>
      <c r="F133" s="214" t="s">
        <v>110</v>
      </c>
      <c r="G133" s="214" t="s">
        <v>110</v>
      </c>
      <c r="H133" s="217" t="s">
        <v>743</v>
      </c>
      <c r="I133" s="217" t="s">
        <v>742</v>
      </c>
      <c r="J133" s="214" t="s">
        <v>744</v>
      </c>
      <c r="K133" s="214" t="s">
        <v>1155</v>
      </c>
      <c r="L133" s="214" t="s">
        <v>100</v>
      </c>
      <c r="M133" s="214" t="s">
        <v>327</v>
      </c>
      <c r="N133" s="214" t="s">
        <v>14</v>
      </c>
      <c r="O133" s="214">
        <v>2</v>
      </c>
      <c r="P133" s="214" t="s">
        <v>50</v>
      </c>
      <c r="Q133" s="229" t="s">
        <v>108</v>
      </c>
      <c r="R133" s="229">
        <v>5980000</v>
      </c>
      <c r="S133" s="229">
        <f>Product_Name[[#This Row],[Đơn giá
Unit Price]]*Product_Name[[#This Row],[Số lượng
Quantity]]</f>
        <v>11960000</v>
      </c>
      <c r="T133" s="230">
        <v>44351</v>
      </c>
      <c r="U133" s="227">
        <v>44397</v>
      </c>
      <c r="V133" s="231">
        <v>44420</v>
      </c>
      <c r="W133" s="214" t="s">
        <v>2577</v>
      </c>
      <c r="X133" s="214" t="s">
        <v>16</v>
      </c>
      <c r="Y133" s="220"/>
      <c r="Z133" s="216" t="s">
        <v>328</v>
      </c>
      <c r="AA133" s="216"/>
      <c r="AB133" s="227"/>
      <c r="AC133" s="295"/>
    </row>
    <row r="134" spans="1:29" s="71" customFormat="1" ht="15.5" x14ac:dyDescent="0.35">
      <c r="A134" s="214">
        <v>2867</v>
      </c>
      <c r="B134" s="214" t="s">
        <v>2741</v>
      </c>
      <c r="C134" s="214">
        <v>3094</v>
      </c>
      <c r="D134" s="215" t="s">
        <v>110</v>
      </c>
      <c r="E134" s="215" t="s">
        <v>110</v>
      </c>
      <c r="F134" s="214" t="s">
        <v>110</v>
      </c>
      <c r="G134" s="214" t="s">
        <v>110</v>
      </c>
      <c r="H134" s="217" t="s">
        <v>331</v>
      </c>
      <c r="I134" s="217" t="s">
        <v>1996</v>
      </c>
      <c r="J134" s="214" t="s">
        <v>333</v>
      </c>
      <c r="K134" s="211"/>
      <c r="L134" s="211" t="s">
        <v>321</v>
      </c>
      <c r="M134" s="211" t="s">
        <v>327</v>
      </c>
      <c r="N134" s="214" t="s">
        <v>14</v>
      </c>
      <c r="O134" s="214">
        <v>7</v>
      </c>
      <c r="P134" s="214" t="s">
        <v>232</v>
      </c>
      <c r="Q134" s="223" t="s">
        <v>108</v>
      </c>
      <c r="R134" s="229">
        <v>250000</v>
      </c>
      <c r="S134" s="229">
        <f>Product_Name[[#This Row],[Đơn giá
Unit Price]]*Product_Name[[#This Row],[Số lượng
Quantity]]</f>
        <v>1750000</v>
      </c>
      <c r="T134" s="230">
        <v>44363</v>
      </c>
      <c r="U134" s="227">
        <v>44370</v>
      </c>
      <c r="V134" s="231">
        <v>44370</v>
      </c>
      <c r="W134" s="214" t="s">
        <v>21</v>
      </c>
      <c r="X134" s="214" t="s">
        <v>16</v>
      </c>
      <c r="Y134" s="220"/>
      <c r="Z134" s="216"/>
      <c r="AA134" s="216"/>
      <c r="AB134" s="227"/>
      <c r="AC134" s="295"/>
    </row>
    <row r="135" spans="1:29" ht="15.5" x14ac:dyDescent="0.35">
      <c r="A135" s="211">
        <v>2928</v>
      </c>
      <c r="B135" s="214" t="s">
        <v>988</v>
      </c>
      <c r="C135" s="211">
        <v>3130</v>
      </c>
      <c r="D135" s="215" t="s">
        <v>110</v>
      </c>
      <c r="E135" s="215" t="s">
        <v>110</v>
      </c>
      <c r="F135" s="214" t="s">
        <v>110</v>
      </c>
      <c r="G135" s="214" t="s">
        <v>110</v>
      </c>
      <c r="H135" s="216" t="s">
        <v>223</v>
      </c>
      <c r="I135" s="217" t="s">
        <v>2481</v>
      </c>
      <c r="J135" s="211" t="s">
        <v>221</v>
      </c>
      <c r="K135" s="211"/>
      <c r="L135" s="211" t="s">
        <v>321</v>
      </c>
      <c r="M135" s="211" t="s">
        <v>327</v>
      </c>
      <c r="N135" s="211" t="s">
        <v>14</v>
      </c>
      <c r="O135" s="211">
        <v>5</v>
      </c>
      <c r="P135" s="211" t="s">
        <v>105</v>
      </c>
      <c r="Q135" s="213" t="s">
        <v>108</v>
      </c>
      <c r="R135" s="218">
        <v>680000</v>
      </c>
      <c r="S135" s="218">
        <f>Product_Name[[#This Row],[Đơn giá
Unit Price]]*Product_Name[[#This Row],[Số lượng
Quantity]]</f>
        <v>3400000</v>
      </c>
      <c r="T135" s="219">
        <v>44369</v>
      </c>
      <c r="U135" s="220">
        <v>44371</v>
      </c>
      <c r="V135" s="221">
        <v>44379</v>
      </c>
      <c r="W135" s="211" t="s">
        <v>2813</v>
      </c>
      <c r="X135" s="211" t="s">
        <v>16</v>
      </c>
      <c r="Y135" s="220"/>
      <c r="Z135" s="216"/>
      <c r="AA135" s="216"/>
      <c r="AB135" s="227"/>
      <c r="AC135" s="295"/>
    </row>
    <row r="136" spans="1:29" s="71" customFormat="1" ht="15.5" x14ac:dyDescent="0.35">
      <c r="A136" s="214">
        <v>2926</v>
      </c>
      <c r="B136" s="214" t="s">
        <v>1143</v>
      </c>
      <c r="C136" s="214">
        <v>3128</v>
      </c>
      <c r="D136" s="215" t="s">
        <v>110</v>
      </c>
      <c r="E136" s="215" t="s">
        <v>110</v>
      </c>
      <c r="F136" s="214" t="s">
        <v>110</v>
      </c>
      <c r="G136" s="214" t="s">
        <v>110</v>
      </c>
      <c r="H136" s="217" t="s">
        <v>435</v>
      </c>
      <c r="I136" s="217" t="s">
        <v>803</v>
      </c>
      <c r="J136" s="214" t="s">
        <v>488</v>
      </c>
      <c r="K136" s="214"/>
      <c r="L136" s="211" t="s">
        <v>99</v>
      </c>
      <c r="M136" s="214" t="s">
        <v>327</v>
      </c>
      <c r="N136" s="214" t="s">
        <v>14</v>
      </c>
      <c r="O136" s="214">
        <v>1000</v>
      </c>
      <c r="P136" s="214" t="s">
        <v>47</v>
      </c>
      <c r="Q136" s="223" t="s">
        <v>108</v>
      </c>
      <c r="R136" s="229">
        <v>77000</v>
      </c>
      <c r="S136" s="229">
        <f>Product_Name[[#This Row],[Đơn giá
Unit Price]]*Product_Name[[#This Row],[Số lượng
Quantity]]</f>
        <v>77000000</v>
      </c>
      <c r="T136" s="230">
        <v>44369</v>
      </c>
      <c r="U136" s="227">
        <v>44411</v>
      </c>
      <c r="V136" s="231">
        <v>44417</v>
      </c>
      <c r="W136" s="214" t="s">
        <v>21</v>
      </c>
      <c r="X136" s="214" t="s">
        <v>611</v>
      </c>
      <c r="Y136" s="220"/>
      <c r="Z136" s="216" t="s">
        <v>328</v>
      </c>
      <c r="AA136" s="216"/>
      <c r="AB136" s="227"/>
      <c r="AC136" s="295"/>
    </row>
    <row r="137" spans="1:29" s="71" customFormat="1" ht="15.5" x14ac:dyDescent="0.35">
      <c r="A137" s="214">
        <v>2935</v>
      </c>
      <c r="B137" s="214" t="s">
        <v>980</v>
      </c>
      <c r="C137" s="214">
        <v>3150</v>
      </c>
      <c r="D137" s="215" t="s">
        <v>110</v>
      </c>
      <c r="E137" s="215" t="s">
        <v>110</v>
      </c>
      <c r="F137" s="214" t="s">
        <v>110</v>
      </c>
      <c r="G137" s="214" t="s">
        <v>110</v>
      </c>
      <c r="H137" s="217" t="s">
        <v>415</v>
      </c>
      <c r="I137" s="217" t="s">
        <v>669</v>
      </c>
      <c r="J137" s="214" t="s">
        <v>417</v>
      </c>
      <c r="K137" s="214"/>
      <c r="L137" s="214" t="s">
        <v>419</v>
      </c>
      <c r="M137" s="211" t="s">
        <v>123</v>
      </c>
      <c r="N137" s="214" t="s">
        <v>14</v>
      </c>
      <c r="O137" s="214">
        <v>1</v>
      </c>
      <c r="P137" s="214" t="s">
        <v>37</v>
      </c>
      <c r="Q137" s="223" t="s">
        <v>108</v>
      </c>
      <c r="R137" s="229">
        <v>2200000</v>
      </c>
      <c r="S137" s="229">
        <f>Product_Name[[#This Row],[Đơn giá
Unit Price]]*Product_Name[[#This Row],[Số lượng
Quantity]]</f>
        <v>2200000</v>
      </c>
      <c r="T137" s="230">
        <v>44372</v>
      </c>
      <c r="U137" s="227">
        <v>44379</v>
      </c>
      <c r="V137" s="231">
        <v>44384</v>
      </c>
      <c r="W137" s="214" t="s">
        <v>2813</v>
      </c>
      <c r="X137" s="214" t="s">
        <v>16</v>
      </c>
      <c r="Y137" s="220"/>
      <c r="Z137" s="216" t="s">
        <v>328</v>
      </c>
      <c r="AA137" s="216"/>
      <c r="AB137" s="227"/>
      <c r="AC137" s="295"/>
    </row>
    <row r="138" spans="1:29" s="71" customFormat="1" ht="15.5" x14ac:dyDescent="0.35">
      <c r="A138" s="214">
        <v>2935</v>
      </c>
      <c r="B138" s="214" t="s">
        <v>980</v>
      </c>
      <c r="C138" s="214">
        <v>3150</v>
      </c>
      <c r="D138" s="215" t="s">
        <v>110</v>
      </c>
      <c r="E138" s="215" t="s">
        <v>110</v>
      </c>
      <c r="F138" s="214" t="s">
        <v>110</v>
      </c>
      <c r="G138" s="214" t="s">
        <v>110</v>
      </c>
      <c r="H138" s="217" t="s">
        <v>416</v>
      </c>
      <c r="I138" s="217" t="s">
        <v>804</v>
      </c>
      <c r="J138" s="214" t="s">
        <v>418</v>
      </c>
      <c r="K138" s="214"/>
      <c r="L138" s="214" t="s">
        <v>419</v>
      </c>
      <c r="M138" s="211" t="s">
        <v>123</v>
      </c>
      <c r="N138" s="214" t="s">
        <v>14</v>
      </c>
      <c r="O138" s="214">
        <v>10</v>
      </c>
      <c r="P138" s="214" t="s">
        <v>46</v>
      </c>
      <c r="Q138" s="223" t="s">
        <v>108</v>
      </c>
      <c r="R138" s="229">
        <v>235000</v>
      </c>
      <c r="S138" s="229">
        <f>Product_Name[[#This Row],[Đơn giá
Unit Price]]*Product_Name[[#This Row],[Số lượng
Quantity]]</f>
        <v>2350000</v>
      </c>
      <c r="T138" s="230">
        <v>44372</v>
      </c>
      <c r="U138" s="227">
        <v>44379</v>
      </c>
      <c r="V138" s="231">
        <v>44384</v>
      </c>
      <c r="W138" s="214" t="s">
        <v>2813</v>
      </c>
      <c r="X138" s="214" t="s">
        <v>16</v>
      </c>
      <c r="Y138" s="220"/>
      <c r="Z138" s="216" t="s">
        <v>328</v>
      </c>
      <c r="AA138" s="216"/>
      <c r="AB138" s="227"/>
      <c r="AC138" s="295"/>
    </row>
    <row r="139" spans="1:29" s="71" customFormat="1" ht="15.5" x14ac:dyDescent="0.35">
      <c r="A139" s="214">
        <v>2977</v>
      </c>
      <c r="B139" s="214" t="s">
        <v>1218</v>
      </c>
      <c r="C139" s="214">
        <v>3170</v>
      </c>
      <c r="D139" s="215" t="s">
        <v>110</v>
      </c>
      <c r="E139" s="215" t="s">
        <v>110</v>
      </c>
      <c r="F139" s="214" t="s">
        <v>110</v>
      </c>
      <c r="G139" s="214" t="s">
        <v>923</v>
      </c>
      <c r="H139" s="217" t="s">
        <v>600</v>
      </c>
      <c r="I139" s="217" t="s">
        <v>706</v>
      </c>
      <c r="J139" s="214" t="s">
        <v>599</v>
      </c>
      <c r="K139" s="211"/>
      <c r="L139" s="211" t="s">
        <v>733</v>
      </c>
      <c r="M139" s="211" t="s">
        <v>124</v>
      </c>
      <c r="N139" s="214" t="s">
        <v>14</v>
      </c>
      <c r="O139" s="214">
        <v>2</v>
      </c>
      <c r="P139" s="214" t="s">
        <v>37</v>
      </c>
      <c r="Q139" s="229" t="s">
        <v>108</v>
      </c>
      <c r="R139" s="229">
        <v>12730000</v>
      </c>
      <c r="S139" s="229">
        <f>Product_Name[[#This Row],[Đơn giá
Unit Price]]*Product_Name[[#This Row],[Số lượng
Quantity]]</f>
        <v>25460000</v>
      </c>
      <c r="T139" s="230">
        <v>44375</v>
      </c>
      <c r="U139" s="227">
        <v>44410</v>
      </c>
      <c r="V139" s="231">
        <v>44431</v>
      </c>
      <c r="W139" s="214" t="s">
        <v>21</v>
      </c>
      <c r="X139" s="214" t="s">
        <v>610</v>
      </c>
      <c r="Y139" s="220"/>
      <c r="Z139" s="216"/>
      <c r="AA139" s="216"/>
      <c r="AB139" s="227"/>
      <c r="AC139" s="295"/>
    </row>
    <row r="140" spans="1:29" s="71" customFormat="1" ht="15.5" x14ac:dyDescent="0.35">
      <c r="A140" s="214">
        <v>2977</v>
      </c>
      <c r="B140" s="214" t="s">
        <v>1218</v>
      </c>
      <c r="C140" s="214">
        <v>3170</v>
      </c>
      <c r="D140" s="215" t="s">
        <v>110</v>
      </c>
      <c r="E140" s="215" t="s">
        <v>110</v>
      </c>
      <c r="F140" s="214" t="s">
        <v>110</v>
      </c>
      <c r="G140" s="214" t="s">
        <v>923</v>
      </c>
      <c r="H140" s="217" t="s">
        <v>602</v>
      </c>
      <c r="I140" s="217" t="s">
        <v>707</v>
      </c>
      <c r="J140" s="214" t="s">
        <v>601</v>
      </c>
      <c r="K140" s="211"/>
      <c r="L140" s="211" t="s">
        <v>733</v>
      </c>
      <c r="M140" s="211" t="s">
        <v>124</v>
      </c>
      <c r="N140" s="214" t="s">
        <v>14</v>
      </c>
      <c r="O140" s="214">
        <v>1</v>
      </c>
      <c r="P140" s="214" t="s">
        <v>37</v>
      </c>
      <c r="Q140" s="229" t="s">
        <v>108</v>
      </c>
      <c r="R140" s="229">
        <v>10900000</v>
      </c>
      <c r="S140" s="229">
        <f>Product_Name[[#This Row],[Đơn giá
Unit Price]]*Product_Name[[#This Row],[Số lượng
Quantity]]</f>
        <v>10900000</v>
      </c>
      <c r="T140" s="230">
        <v>44375</v>
      </c>
      <c r="U140" s="227">
        <v>44410</v>
      </c>
      <c r="V140" s="231">
        <v>44431</v>
      </c>
      <c r="W140" s="214" t="s">
        <v>21</v>
      </c>
      <c r="X140" s="214" t="s">
        <v>610</v>
      </c>
      <c r="Y140" s="220"/>
      <c r="Z140" s="216"/>
      <c r="AA140" s="216"/>
      <c r="AB140" s="227"/>
      <c r="AC140" s="295"/>
    </row>
    <row r="141" spans="1:29" s="71" customFormat="1" ht="15.5" x14ac:dyDescent="0.35">
      <c r="A141" s="215" t="s">
        <v>110</v>
      </c>
      <c r="B141" s="214" t="s">
        <v>998</v>
      </c>
      <c r="C141" s="215" t="s">
        <v>110</v>
      </c>
      <c r="D141" s="215">
        <v>1262</v>
      </c>
      <c r="E141" s="215">
        <v>2976</v>
      </c>
      <c r="F141" s="214" t="s">
        <v>110</v>
      </c>
      <c r="G141" s="214" t="s">
        <v>929</v>
      </c>
      <c r="H141" s="217" t="s">
        <v>603</v>
      </c>
      <c r="I141" s="217" t="s">
        <v>708</v>
      </c>
      <c r="J141" s="214" t="s">
        <v>926</v>
      </c>
      <c r="K141" s="211" t="s">
        <v>176</v>
      </c>
      <c r="L141" s="214" t="s">
        <v>176</v>
      </c>
      <c r="M141" s="214" t="s">
        <v>796</v>
      </c>
      <c r="N141" s="214" t="s">
        <v>642</v>
      </c>
      <c r="O141" s="214">
        <v>1</v>
      </c>
      <c r="P141" s="214" t="s">
        <v>276</v>
      </c>
      <c r="Q141" s="229" t="s">
        <v>108</v>
      </c>
      <c r="R141" s="229">
        <v>2090000</v>
      </c>
      <c r="S141" s="229">
        <f>Product_Name[[#This Row],[Đơn giá
Unit Price]]*Product_Name[[#This Row],[Số lượng
Quantity]]</f>
        <v>2090000</v>
      </c>
      <c r="T141" s="230">
        <v>44376</v>
      </c>
      <c r="U141" s="227">
        <v>44392</v>
      </c>
      <c r="V141" s="231">
        <v>44387</v>
      </c>
      <c r="W141" s="214" t="s">
        <v>21</v>
      </c>
      <c r="X141" s="214" t="s">
        <v>16</v>
      </c>
      <c r="Y141" s="220"/>
      <c r="Z141" s="216"/>
      <c r="AA141" s="216"/>
      <c r="AB141" s="227"/>
      <c r="AC141" s="295"/>
    </row>
    <row r="142" spans="1:29" s="71" customFormat="1" ht="15.5" x14ac:dyDescent="0.35">
      <c r="A142" s="215" t="s">
        <v>110</v>
      </c>
      <c r="B142" s="214" t="s">
        <v>998</v>
      </c>
      <c r="C142" s="215" t="s">
        <v>110</v>
      </c>
      <c r="D142" s="215">
        <v>1262</v>
      </c>
      <c r="E142" s="215">
        <v>2976</v>
      </c>
      <c r="F142" s="214" t="s">
        <v>110</v>
      </c>
      <c r="G142" s="214" t="s">
        <v>929</v>
      </c>
      <c r="H142" s="217" t="s">
        <v>603</v>
      </c>
      <c r="I142" s="217" t="s">
        <v>708</v>
      </c>
      <c r="J142" s="214" t="s">
        <v>927</v>
      </c>
      <c r="K142" s="211" t="s">
        <v>176</v>
      </c>
      <c r="L142" s="214" t="s">
        <v>176</v>
      </c>
      <c r="M142" s="214" t="s">
        <v>796</v>
      </c>
      <c r="N142" s="214" t="s">
        <v>642</v>
      </c>
      <c r="O142" s="214">
        <v>1</v>
      </c>
      <c r="P142" s="214" t="s">
        <v>276</v>
      </c>
      <c r="Q142" s="229" t="s">
        <v>108</v>
      </c>
      <c r="R142" s="229">
        <v>2370000</v>
      </c>
      <c r="S142" s="229">
        <f>Product_Name[[#This Row],[Đơn giá
Unit Price]]*Product_Name[[#This Row],[Số lượng
Quantity]]</f>
        <v>2370000</v>
      </c>
      <c r="T142" s="230">
        <v>44376</v>
      </c>
      <c r="U142" s="227">
        <v>44392</v>
      </c>
      <c r="V142" s="231">
        <v>44387</v>
      </c>
      <c r="W142" s="214" t="s">
        <v>21</v>
      </c>
      <c r="X142" s="214" t="s">
        <v>16</v>
      </c>
      <c r="Y142" s="220"/>
      <c r="Z142" s="216"/>
      <c r="AA142" s="216"/>
      <c r="AB142" s="227"/>
      <c r="AC142" s="295"/>
    </row>
    <row r="143" spans="1:29" s="71" customFormat="1" ht="15.5" x14ac:dyDescent="0.35">
      <c r="A143" s="214">
        <v>2979</v>
      </c>
      <c r="B143" s="214" t="s">
        <v>1139</v>
      </c>
      <c r="C143" s="214">
        <v>3182</v>
      </c>
      <c r="D143" s="215" t="s">
        <v>110</v>
      </c>
      <c r="E143" s="215" t="s">
        <v>110</v>
      </c>
      <c r="F143" s="214" t="s">
        <v>110</v>
      </c>
      <c r="G143" s="214" t="s">
        <v>929</v>
      </c>
      <c r="H143" s="217" t="s">
        <v>605</v>
      </c>
      <c r="I143" s="217" t="s">
        <v>709</v>
      </c>
      <c r="J143" s="214" t="s">
        <v>604</v>
      </c>
      <c r="K143" s="214"/>
      <c r="L143" s="211" t="s">
        <v>99</v>
      </c>
      <c r="M143" s="214" t="s">
        <v>826</v>
      </c>
      <c r="N143" s="214" t="s">
        <v>14</v>
      </c>
      <c r="O143" s="214">
        <v>2</v>
      </c>
      <c r="P143" s="214" t="s">
        <v>276</v>
      </c>
      <c r="Q143" s="229" t="s">
        <v>108</v>
      </c>
      <c r="R143" s="229">
        <v>167000</v>
      </c>
      <c r="S143" s="229">
        <f>Product_Name[[#This Row],[Đơn giá
Unit Price]]*Product_Name[[#This Row],[Số lượng
Quantity]]</f>
        <v>334000</v>
      </c>
      <c r="T143" s="230">
        <v>44375</v>
      </c>
      <c r="U143" s="227">
        <v>44392</v>
      </c>
      <c r="V143" s="231">
        <v>44415</v>
      </c>
      <c r="W143" s="214" t="s">
        <v>21</v>
      </c>
      <c r="X143" s="214" t="s">
        <v>612</v>
      </c>
      <c r="Y143" s="220"/>
      <c r="Z143" s="216"/>
      <c r="AA143" s="216"/>
      <c r="AB143" s="227"/>
      <c r="AC143" s="295"/>
    </row>
    <row r="144" spans="1:29" s="71" customFormat="1" ht="15.5" x14ac:dyDescent="0.35">
      <c r="A144" s="214">
        <v>2978</v>
      </c>
      <c r="B144" s="214" t="s">
        <v>1109</v>
      </c>
      <c r="C144" s="214">
        <v>3181</v>
      </c>
      <c r="D144" s="215"/>
      <c r="E144" s="215"/>
      <c r="F144" s="214" t="s">
        <v>110</v>
      </c>
      <c r="G144" s="214" t="s">
        <v>929</v>
      </c>
      <c r="H144" s="217" t="s">
        <v>607</v>
      </c>
      <c r="I144" s="217" t="s">
        <v>710</v>
      </c>
      <c r="J144" s="214" t="s">
        <v>606</v>
      </c>
      <c r="K144" s="214"/>
      <c r="L144" s="214" t="s">
        <v>925</v>
      </c>
      <c r="M144" s="214" t="s">
        <v>826</v>
      </c>
      <c r="N144" s="214" t="s">
        <v>14</v>
      </c>
      <c r="O144" s="214">
        <v>12</v>
      </c>
      <c r="P144" s="214" t="s">
        <v>276</v>
      </c>
      <c r="Q144" s="229" t="s">
        <v>108</v>
      </c>
      <c r="R144" s="229">
        <v>16131</v>
      </c>
      <c r="S144" s="229">
        <f>Product_Name[[#This Row],[Đơn giá
Unit Price]]*Product_Name[[#This Row],[Số lượng
Quantity]]</f>
        <v>193572</v>
      </c>
      <c r="T144" s="230">
        <v>44375</v>
      </c>
      <c r="U144" s="227">
        <v>44385</v>
      </c>
      <c r="V144" s="231">
        <v>44403</v>
      </c>
      <c r="W144" s="214" t="s">
        <v>21</v>
      </c>
      <c r="X144" s="214" t="s">
        <v>612</v>
      </c>
      <c r="Y144" s="220"/>
      <c r="Z144" s="216"/>
      <c r="AA144" s="216"/>
      <c r="AB144" s="227"/>
      <c r="AC144" s="295"/>
    </row>
    <row r="145" spans="1:29" s="71" customFormat="1" ht="15.5" x14ac:dyDescent="0.35">
      <c r="A145" s="214">
        <v>2978</v>
      </c>
      <c r="B145" s="214" t="s">
        <v>1109</v>
      </c>
      <c r="C145" s="214">
        <v>3181</v>
      </c>
      <c r="D145" s="215"/>
      <c r="E145" s="215"/>
      <c r="F145" s="214" t="s">
        <v>110</v>
      </c>
      <c r="G145" s="214" t="s">
        <v>929</v>
      </c>
      <c r="H145" s="217" t="s">
        <v>609</v>
      </c>
      <c r="I145" s="217" t="s">
        <v>711</v>
      </c>
      <c r="J145" s="214" t="s">
        <v>608</v>
      </c>
      <c r="K145" s="214"/>
      <c r="L145" s="214" t="s">
        <v>925</v>
      </c>
      <c r="M145" s="214" t="s">
        <v>826</v>
      </c>
      <c r="N145" s="214" t="s">
        <v>14</v>
      </c>
      <c r="O145" s="214">
        <v>1</v>
      </c>
      <c r="P145" s="214" t="s">
        <v>309</v>
      </c>
      <c r="Q145" s="229" t="s">
        <v>108</v>
      </c>
      <c r="R145" s="229">
        <v>2706719</v>
      </c>
      <c r="S145" s="229">
        <f>Product_Name[[#This Row],[Đơn giá
Unit Price]]*Product_Name[[#This Row],[Số lượng
Quantity]]</f>
        <v>2706719</v>
      </c>
      <c r="T145" s="230">
        <v>44375</v>
      </c>
      <c r="U145" s="227">
        <v>44385</v>
      </c>
      <c r="V145" s="231">
        <v>44403</v>
      </c>
      <c r="W145" s="214" t="s">
        <v>21</v>
      </c>
      <c r="X145" s="214" t="s">
        <v>16</v>
      </c>
      <c r="Y145" s="220"/>
      <c r="Z145" s="216"/>
      <c r="AA145" s="216"/>
      <c r="AB145" s="227"/>
      <c r="AC145" s="295"/>
    </row>
    <row r="146" spans="1:29" s="71" customFormat="1" ht="15.5" x14ac:dyDescent="0.35">
      <c r="A146" s="214">
        <v>2978</v>
      </c>
      <c r="B146" s="214" t="s">
        <v>1109</v>
      </c>
      <c r="C146" s="214">
        <v>3181</v>
      </c>
      <c r="D146" s="215"/>
      <c r="E146" s="215"/>
      <c r="F146" s="214" t="s">
        <v>110</v>
      </c>
      <c r="G146" s="214" t="s">
        <v>929</v>
      </c>
      <c r="H146" s="217" t="s">
        <v>609</v>
      </c>
      <c r="I146" s="217" t="s">
        <v>711</v>
      </c>
      <c r="J146" s="214" t="s">
        <v>643</v>
      </c>
      <c r="K146" s="214"/>
      <c r="L146" s="214" t="s">
        <v>925</v>
      </c>
      <c r="M146" s="214" t="s">
        <v>826</v>
      </c>
      <c r="N146" s="214" t="s">
        <v>14</v>
      </c>
      <c r="O146" s="214">
        <v>1</v>
      </c>
      <c r="P146" s="214" t="s">
        <v>309</v>
      </c>
      <c r="Q146" s="229" t="s">
        <v>108</v>
      </c>
      <c r="R146" s="229">
        <v>2379844</v>
      </c>
      <c r="S146" s="229">
        <f>Product_Name[[#This Row],[Đơn giá
Unit Price]]*Product_Name[[#This Row],[Số lượng
Quantity]]</f>
        <v>2379844</v>
      </c>
      <c r="T146" s="230">
        <v>44375</v>
      </c>
      <c r="U146" s="227">
        <v>44385</v>
      </c>
      <c r="V146" s="231">
        <v>44403</v>
      </c>
      <c r="W146" s="214" t="s">
        <v>21</v>
      </c>
      <c r="X146" s="214" t="s">
        <v>53</v>
      </c>
      <c r="Y146" s="220"/>
      <c r="Z146" s="216"/>
      <c r="AA146" s="216"/>
      <c r="AB146" s="227"/>
      <c r="AC146" s="295"/>
    </row>
    <row r="147" spans="1:29" s="71" customFormat="1" ht="15.5" x14ac:dyDescent="0.35">
      <c r="A147" s="215" t="s">
        <v>110</v>
      </c>
      <c r="B147" s="214" t="s">
        <v>1229</v>
      </c>
      <c r="C147" s="215" t="s">
        <v>110</v>
      </c>
      <c r="D147" s="215">
        <v>1263</v>
      </c>
      <c r="E147" s="215">
        <v>2975</v>
      </c>
      <c r="F147" s="214" t="s">
        <v>110</v>
      </c>
      <c r="G147" s="214" t="s">
        <v>929</v>
      </c>
      <c r="H147" s="217" t="s">
        <v>644</v>
      </c>
      <c r="I147" s="217" t="s">
        <v>712</v>
      </c>
      <c r="J147" s="214" t="s">
        <v>928</v>
      </c>
      <c r="K147" s="214"/>
      <c r="L147" s="214" t="s">
        <v>733</v>
      </c>
      <c r="M147" s="214" t="s">
        <v>797</v>
      </c>
      <c r="N147" s="214" t="s">
        <v>642</v>
      </c>
      <c r="O147" s="214">
        <v>1</v>
      </c>
      <c r="P147" s="214" t="s">
        <v>276</v>
      </c>
      <c r="Q147" s="229" t="s">
        <v>108</v>
      </c>
      <c r="R147" s="229">
        <v>4980000</v>
      </c>
      <c r="S147" s="229">
        <f>Product_Name[[#This Row],[Đơn giá
Unit Price]]*Product_Name[[#This Row],[Số lượng
Quantity]]</f>
        <v>4980000</v>
      </c>
      <c r="T147" s="230">
        <v>44376</v>
      </c>
      <c r="U147" s="227">
        <v>44410</v>
      </c>
      <c r="V147" s="231">
        <v>44435</v>
      </c>
      <c r="W147" s="214" t="s">
        <v>21</v>
      </c>
      <c r="X147" s="214" t="s">
        <v>54</v>
      </c>
      <c r="Y147" s="220"/>
      <c r="Z147" s="216" t="s">
        <v>328</v>
      </c>
      <c r="AA147" s="216"/>
      <c r="AB147" s="227"/>
      <c r="AC147" s="295"/>
    </row>
    <row r="148" spans="1:29" ht="15.5" x14ac:dyDescent="0.35">
      <c r="A148" s="211">
        <v>2985</v>
      </c>
      <c r="B148" s="214" t="s">
        <v>979</v>
      </c>
      <c r="C148" s="211">
        <v>3197</v>
      </c>
      <c r="D148" s="215" t="s">
        <v>110</v>
      </c>
      <c r="E148" s="215" t="s">
        <v>110</v>
      </c>
      <c r="F148" s="214" t="s">
        <v>110</v>
      </c>
      <c r="G148" s="211" t="s">
        <v>110</v>
      </c>
      <c r="H148" s="224" t="s">
        <v>219</v>
      </c>
      <c r="I148" s="225" t="s">
        <v>2330</v>
      </c>
      <c r="J148" s="213" t="s">
        <v>933</v>
      </c>
      <c r="K148" s="211" t="s">
        <v>210</v>
      </c>
      <c r="L148" s="211" t="s">
        <v>210</v>
      </c>
      <c r="M148" s="211" t="s">
        <v>327</v>
      </c>
      <c r="N148" s="211" t="s">
        <v>14</v>
      </c>
      <c r="O148" s="211">
        <v>6</v>
      </c>
      <c r="P148" s="213" t="s">
        <v>105</v>
      </c>
      <c r="Q148" s="213" t="s">
        <v>108</v>
      </c>
      <c r="R148" s="218">
        <v>345000</v>
      </c>
      <c r="S148" s="218">
        <f>Product_Name[[#This Row],[Đơn giá
Unit Price]]*Product_Name[[#This Row],[Số lượng
Quantity]]</f>
        <v>2070000</v>
      </c>
      <c r="T148" s="230">
        <v>44376</v>
      </c>
      <c r="U148" s="220">
        <v>44385</v>
      </c>
      <c r="V148" s="221">
        <v>44383</v>
      </c>
      <c r="W148" s="211" t="s">
        <v>21</v>
      </c>
      <c r="X148" s="211" t="s">
        <v>16</v>
      </c>
      <c r="Y148" s="220"/>
      <c r="Z148" s="216" t="s">
        <v>328</v>
      </c>
      <c r="AA148" s="216"/>
      <c r="AB148" s="227"/>
      <c r="AC148" s="295"/>
    </row>
    <row r="149" spans="1:29" ht="15.5" x14ac:dyDescent="0.35">
      <c r="A149" s="211">
        <v>2986</v>
      </c>
      <c r="B149" s="214" t="s">
        <v>981</v>
      </c>
      <c r="C149" s="211">
        <v>3198</v>
      </c>
      <c r="D149" s="215" t="s">
        <v>110</v>
      </c>
      <c r="E149" s="215" t="s">
        <v>110</v>
      </c>
      <c r="F149" s="215" t="s">
        <v>110</v>
      </c>
      <c r="G149" s="215" t="s">
        <v>110</v>
      </c>
      <c r="H149" s="216" t="s">
        <v>717</v>
      </c>
      <c r="I149" s="217" t="s">
        <v>1489</v>
      </c>
      <c r="J149" s="211" t="s">
        <v>2966</v>
      </c>
      <c r="K149" s="211" t="s">
        <v>1241</v>
      </c>
      <c r="L149" s="211" t="s">
        <v>718</v>
      </c>
      <c r="M149" s="211" t="s">
        <v>327</v>
      </c>
      <c r="N149" s="211" t="s">
        <v>14</v>
      </c>
      <c r="O149" s="211">
        <v>40</v>
      </c>
      <c r="P149" s="211" t="s">
        <v>719</v>
      </c>
      <c r="Q149" s="213" t="s">
        <v>108</v>
      </c>
      <c r="R149" s="218">
        <v>422500</v>
      </c>
      <c r="S149" s="218">
        <f>Product_Name[[#This Row],[Đơn giá
Unit Price]]*Product_Name[[#This Row],[Số lượng
Quantity]]</f>
        <v>16900000</v>
      </c>
      <c r="T149" s="230">
        <v>44376</v>
      </c>
      <c r="U149" s="220">
        <v>44385</v>
      </c>
      <c r="V149" s="221">
        <v>44385</v>
      </c>
      <c r="W149" s="214" t="s">
        <v>21</v>
      </c>
      <c r="X149" s="211" t="s">
        <v>16</v>
      </c>
      <c r="Y149" s="220"/>
      <c r="Z149" s="216" t="s">
        <v>328</v>
      </c>
      <c r="AA149" s="216"/>
      <c r="AB149" s="227"/>
      <c r="AC149" s="295"/>
    </row>
    <row r="150" spans="1:29" ht="31" x14ac:dyDescent="0.35">
      <c r="A150" s="213">
        <v>2991</v>
      </c>
      <c r="B150" s="223" t="s">
        <v>1170</v>
      </c>
      <c r="C150" s="213">
        <v>3215</v>
      </c>
      <c r="D150" s="215" t="s">
        <v>110</v>
      </c>
      <c r="E150" s="215" t="s">
        <v>110</v>
      </c>
      <c r="F150" s="215" t="s">
        <v>110</v>
      </c>
      <c r="G150" s="215" t="s">
        <v>110</v>
      </c>
      <c r="H150" s="216" t="s">
        <v>932</v>
      </c>
      <c r="I150" s="217" t="s">
        <v>829</v>
      </c>
      <c r="J150" s="211" t="s">
        <v>827</v>
      </c>
      <c r="K150" s="211"/>
      <c r="L150" s="211" t="s">
        <v>162</v>
      </c>
      <c r="M150" s="211" t="s">
        <v>123</v>
      </c>
      <c r="N150" s="211" t="s">
        <v>14</v>
      </c>
      <c r="O150" s="213" t="s">
        <v>1168</v>
      </c>
      <c r="P150" s="211" t="s">
        <v>37</v>
      </c>
      <c r="Q150" s="213" t="s">
        <v>108</v>
      </c>
      <c r="R150" s="218">
        <v>30000</v>
      </c>
      <c r="S150" s="218">
        <f>3000*30000</f>
        <v>90000000</v>
      </c>
      <c r="T150" s="230">
        <v>44378</v>
      </c>
      <c r="U150" s="220">
        <v>44418</v>
      </c>
      <c r="V150" s="234" t="s">
        <v>1169</v>
      </c>
      <c r="W150" s="214" t="s">
        <v>21</v>
      </c>
      <c r="X150" s="211" t="s">
        <v>16</v>
      </c>
      <c r="Y150" s="220"/>
      <c r="Z150" s="216" t="s">
        <v>328</v>
      </c>
      <c r="AA150" s="216"/>
      <c r="AB150" s="227"/>
      <c r="AC150" s="295"/>
    </row>
    <row r="151" spans="1:29" ht="15.5" x14ac:dyDescent="0.35">
      <c r="A151" s="211">
        <v>3006</v>
      </c>
      <c r="B151" s="214" t="s">
        <v>1011</v>
      </c>
      <c r="C151" s="211">
        <v>3218</v>
      </c>
      <c r="D151" s="215" t="s">
        <v>110</v>
      </c>
      <c r="E151" s="215" t="s">
        <v>110</v>
      </c>
      <c r="F151" s="211" t="s">
        <v>110</v>
      </c>
      <c r="G151" s="211" t="s">
        <v>110</v>
      </c>
      <c r="H151" s="216" t="s">
        <v>340</v>
      </c>
      <c r="I151" s="217" t="s">
        <v>968</v>
      </c>
      <c r="J151" s="211" t="s">
        <v>339</v>
      </c>
      <c r="K151" s="211" t="s">
        <v>176</v>
      </c>
      <c r="L151" s="211" t="s">
        <v>176</v>
      </c>
      <c r="M151" s="211" t="s">
        <v>124</v>
      </c>
      <c r="N151" s="211" t="s">
        <v>14</v>
      </c>
      <c r="O151" s="211">
        <v>20</v>
      </c>
      <c r="P151" s="211" t="s">
        <v>37</v>
      </c>
      <c r="Q151" s="213" t="s">
        <v>108</v>
      </c>
      <c r="R151" s="218">
        <v>56500</v>
      </c>
      <c r="S151" s="218">
        <f>Product_Name[[#This Row],[Đơn giá
Unit Price]]*Product_Name[[#This Row],[Số lượng
Quantity]]</f>
        <v>1130000</v>
      </c>
      <c r="T151" s="219">
        <v>44382</v>
      </c>
      <c r="U151" s="233">
        <v>44389</v>
      </c>
      <c r="V151" s="221">
        <v>44390</v>
      </c>
      <c r="W151" s="211" t="s">
        <v>2813</v>
      </c>
      <c r="X151" s="211" t="s">
        <v>16</v>
      </c>
      <c r="Y151" s="220"/>
      <c r="Z151" s="216"/>
      <c r="AA151" s="216"/>
      <c r="AB151" s="227"/>
      <c r="AC151" s="295"/>
    </row>
    <row r="152" spans="1:29" ht="15.5" x14ac:dyDescent="0.35">
      <c r="A152" s="215" t="s">
        <v>110</v>
      </c>
      <c r="B152" s="214" t="s">
        <v>1455</v>
      </c>
      <c r="C152" s="215" t="s">
        <v>110</v>
      </c>
      <c r="D152" s="215">
        <v>1284</v>
      </c>
      <c r="E152" s="215">
        <v>3015</v>
      </c>
      <c r="F152" s="211" t="s">
        <v>110</v>
      </c>
      <c r="G152" s="211" t="s">
        <v>110</v>
      </c>
      <c r="H152" s="216" t="s">
        <v>621</v>
      </c>
      <c r="I152" s="217" t="s">
        <v>970</v>
      </c>
      <c r="J152" s="211" t="s">
        <v>618</v>
      </c>
      <c r="K152" s="211" t="s">
        <v>176</v>
      </c>
      <c r="L152" s="211" t="s">
        <v>176</v>
      </c>
      <c r="M152" s="211" t="s">
        <v>63</v>
      </c>
      <c r="N152" s="211" t="s">
        <v>642</v>
      </c>
      <c r="O152" s="211">
        <v>1</v>
      </c>
      <c r="P152" s="211" t="s">
        <v>37</v>
      </c>
      <c r="Q152" s="213" t="s">
        <v>108</v>
      </c>
      <c r="R152" s="218">
        <v>1590000</v>
      </c>
      <c r="S152" s="218">
        <f>O152*R152</f>
        <v>1590000</v>
      </c>
      <c r="T152" s="219">
        <v>44383</v>
      </c>
      <c r="U152" s="220">
        <v>44410</v>
      </c>
      <c r="V152" s="221">
        <v>44484</v>
      </c>
      <c r="W152" s="211" t="s">
        <v>2813</v>
      </c>
      <c r="X152" s="211" t="s">
        <v>16</v>
      </c>
      <c r="Y152" s="220"/>
      <c r="Z152" s="227" t="s">
        <v>63</v>
      </c>
      <c r="AA152" s="216"/>
      <c r="AB152" s="227"/>
      <c r="AC152" s="295"/>
    </row>
    <row r="153" spans="1:29" ht="15.5" x14ac:dyDescent="0.35">
      <c r="A153" s="214">
        <v>3024</v>
      </c>
      <c r="B153" s="214" t="s">
        <v>1140</v>
      </c>
      <c r="C153" s="214">
        <v>3236</v>
      </c>
      <c r="D153" s="215"/>
      <c r="E153" s="215"/>
      <c r="F153" s="211" t="s">
        <v>110</v>
      </c>
      <c r="G153" s="211" t="s">
        <v>110</v>
      </c>
      <c r="H153" s="216" t="s">
        <v>976</v>
      </c>
      <c r="I153" s="217" t="s">
        <v>977</v>
      </c>
      <c r="J153" s="211" t="s">
        <v>978</v>
      </c>
      <c r="K153" s="211"/>
      <c r="L153" s="211" t="s">
        <v>99</v>
      </c>
      <c r="M153" s="211" t="s">
        <v>123</v>
      </c>
      <c r="N153" s="211" t="s">
        <v>14</v>
      </c>
      <c r="O153" s="211">
        <v>10</v>
      </c>
      <c r="P153" s="211" t="s">
        <v>37</v>
      </c>
      <c r="Q153" s="213" t="s">
        <v>108</v>
      </c>
      <c r="R153" s="218">
        <v>198000</v>
      </c>
      <c r="S153" s="218">
        <f>Product_Name[[#This Row],[Đơn giá
Unit Price]]*Product_Name[[#This Row],[Số lượng
Quantity]]</f>
        <v>1980000</v>
      </c>
      <c r="T153" s="219">
        <v>44385</v>
      </c>
      <c r="U153" s="220">
        <v>44399</v>
      </c>
      <c r="V153" s="221">
        <v>44415</v>
      </c>
      <c r="W153" s="211" t="s">
        <v>51</v>
      </c>
      <c r="X153" s="211" t="s">
        <v>16</v>
      </c>
      <c r="Y153" s="220"/>
      <c r="Z153" s="227"/>
      <c r="AA153" s="216"/>
      <c r="AB153" s="227"/>
      <c r="AC153" s="295"/>
    </row>
    <row r="154" spans="1:29" ht="15.5" x14ac:dyDescent="0.35">
      <c r="A154" s="211">
        <v>3022</v>
      </c>
      <c r="B154" s="214" t="s">
        <v>1101</v>
      </c>
      <c r="C154" s="214">
        <v>3240</v>
      </c>
      <c r="D154" s="215" t="s">
        <v>110</v>
      </c>
      <c r="E154" s="215" t="s">
        <v>110</v>
      </c>
      <c r="F154" s="211" t="s">
        <v>110</v>
      </c>
      <c r="G154" s="211" t="s">
        <v>110</v>
      </c>
      <c r="H154" s="216" t="s">
        <v>337</v>
      </c>
      <c r="I154" s="217" t="s">
        <v>982</v>
      </c>
      <c r="J154" s="211" t="s">
        <v>338</v>
      </c>
      <c r="K154" s="211"/>
      <c r="L154" s="211" t="s">
        <v>255</v>
      </c>
      <c r="M154" s="211" t="s">
        <v>123</v>
      </c>
      <c r="N154" s="211" t="s">
        <v>14</v>
      </c>
      <c r="O154" s="211">
        <v>50</v>
      </c>
      <c r="P154" s="211" t="s">
        <v>47</v>
      </c>
      <c r="Q154" s="213" t="s">
        <v>108</v>
      </c>
      <c r="R154" s="218">
        <v>10000</v>
      </c>
      <c r="S154" s="218">
        <f>Product_Name[[#This Row],[Đơn giá
Unit Price]]*Product_Name[[#This Row],[Số lượng
Quantity]]</f>
        <v>500000</v>
      </c>
      <c r="T154" s="219">
        <v>44385</v>
      </c>
      <c r="U154" s="233">
        <v>44391</v>
      </c>
      <c r="V154" s="221">
        <v>44396</v>
      </c>
      <c r="W154" s="211" t="s">
        <v>21</v>
      </c>
      <c r="X154" s="211" t="s">
        <v>16</v>
      </c>
      <c r="Y154" s="220"/>
      <c r="Z154" s="227"/>
      <c r="AA154" s="216"/>
      <c r="AB154" s="227"/>
      <c r="AC154" s="295"/>
    </row>
    <row r="155" spans="1:29" ht="15.5" x14ac:dyDescent="0.35">
      <c r="A155" s="214">
        <v>3056</v>
      </c>
      <c r="B155" s="214" t="s">
        <v>1146</v>
      </c>
      <c r="C155" s="214">
        <v>3272</v>
      </c>
      <c r="D155" s="215" t="s">
        <v>110</v>
      </c>
      <c r="E155" s="215" t="s">
        <v>110</v>
      </c>
      <c r="F155" s="211" t="s">
        <v>110</v>
      </c>
      <c r="G155" s="211" t="s">
        <v>1010</v>
      </c>
      <c r="H155" s="216" t="s">
        <v>983</v>
      </c>
      <c r="I155" s="217" t="s">
        <v>984</v>
      </c>
      <c r="J155" s="211" t="s">
        <v>985</v>
      </c>
      <c r="K155" s="211"/>
      <c r="L155" s="211" t="s">
        <v>99</v>
      </c>
      <c r="M155" s="211" t="s">
        <v>123</v>
      </c>
      <c r="N155" s="211" t="s">
        <v>14</v>
      </c>
      <c r="O155" s="211">
        <v>10</v>
      </c>
      <c r="P155" s="211" t="s">
        <v>37</v>
      </c>
      <c r="Q155" s="213" t="s">
        <v>108</v>
      </c>
      <c r="R155" s="218">
        <v>183000</v>
      </c>
      <c r="S155" s="218">
        <f>Product_Name[[#This Row],[Đơn giá
Unit Price]]*Product_Name[[#This Row],[Số lượng
Quantity]]</f>
        <v>1830000</v>
      </c>
      <c r="T155" s="219">
        <v>44390</v>
      </c>
      <c r="U155" s="220">
        <v>44413</v>
      </c>
      <c r="V155" s="221">
        <v>44419</v>
      </c>
      <c r="W155" s="211" t="s">
        <v>2813</v>
      </c>
      <c r="X155" s="211" t="s">
        <v>16</v>
      </c>
      <c r="Y155" s="220"/>
      <c r="Z155" s="235" t="s">
        <v>328</v>
      </c>
      <c r="AA155" s="216"/>
      <c r="AB155" s="235"/>
      <c r="AC155" s="295"/>
    </row>
    <row r="156" spans="1:29" ht="15.5" x14ac:dyDescent="0.35">
      <c r="A156" s="214">
        <v>3056</v>
      </c>
      <c r="B156" s="214" t="s">
        <v>1146</v>
      </c>
      <c r="C156" s="214">
        <v>3272</v>
      </c>
      <c r="D156" s="215" t="s">
        <v>110</v>
      </c>
      <c r="E156" s="215" t="s">
        <v>110</v>
      </c>
      <c r="F156" s="211" t="s">
        <v>110</v>
      </c>
      <c r="G156" s="211" t="s">
        <v>1010</v>
      </c>
      <c r="H156" s="216" t="s">
        <v>983</v>
      </c>
      <c r="I156" s="217" t="s">
        <v>984</v>
      </c>
      <c r="J156" s="211" t="s">
        <v>986</v>
      </c>
      <c r="K156" s="211"/>
      <c r="L156" s="211" t="s">
        <v>99</v>
      </c>
      <c r="M156" s="211" t="s">
        <v>123</v>
      </c>
      <c r="N156" s="211" t="s">
        <v>14</v>
      </c>
      <c r="O156" s="211">
        <v>10</v>
      </c>
      <c r="P156" s="211" t="s">
        <v>37</v>
      </c>
      <c r="Q156" s="213" t="s">
        <v>108</v>
      </c>
      <c r="R156" s="218">
        <v>275000</v>
      </c>
      <c r="S156" s="218">
        <f>Product_Name[[#This Row],[Đơn giá
Unit Price]]*Product_Name[[#This Row],[Số lượng
Quantity]]</f>
        <v>2750000</v>
      </c>
      <c r="T156" s="219">
        <v>44390</v>
      </c>
      <c r="U156" s="220">
        <v>44413</v>
      </c>
      <c r="V156" s="221">
        <v>44419</v>
      </c>
      <c r="W156" s="211" t="s">
        <v>2813</v>
      </c>
      <c r="X156" s="211" t="s">
        <v>16</v>
      </c>
      <c r="Y156" s="220"/>
      <c r="Z156" s="235" t="s">
        <v>328</v>
      </c>
      <c r="AA156" s="216"/>
      <c r="AB156" s="235"/>
      <c r="AC156" s="295"/>
    </row>
    <row r="157" spans="1:29" ht="15.5" x14ac:dyDescent="0.35">
      <c r="A157" s="214">
        <v>3056</v>
      </c>
      <c r="B157" s="214" t="s">
        <v>1146</v>
      </c>
      <c r="C157" s="214">
        <v>3272</v>
      </c>
      <c r="D157" s="215" t="s">
        <v>110</v>
      </c>
      <c r="E157" s="215" t="s">
        <v>110</v>
      </c>
      <c r="F157" s="211" t="s">
        <v>110</v>
      </c>
      <c r="G157" s="211" t="s">
        <v>1010</v>
      </c>
      <c r="H157" s="216" t="s">
        <v>983</v>
      </c>
      <c r="I157" s="217" t="s">
        <v>984</v>
      </c>
      <c r="J157" s="211" t="s">
        <v>987</v>
      </c>
      <c r="K157" s="211"/>
      <c r="L157" s="211" t="s">
        <v>99</v>
      </c>
      <c r="M157" s="211" t="s">
        <v>123</v>
      </c>
      <c r="N157" s="211" t="s">
        <v>14</v>
      </c>
      <c r="O157" s="211">
        <v>10</v>
      </c>
      <c r="P157" s="211" t="s">
        <v>37</v>
      </c>
      <c r="Q157" s="213" t="s">
        <v>108</v>
      </c>
      <c r="R157" s="218">
        <v>366000</v>
      </c>
      <c r="S157" s="218">
        <f>Product_Name[[#This Row],[Đơn giá
Unit Price]]*Product_Name[[#This Row],[Số lượng
Quantity]]</f>
        <v>3660000</v>
      </c>
      <c r="T157" s="219">
        <v>44390</v>
      </c>
      <c r="U157" s="220">
        <v>44413</v>
      </c>
      <c r="V157" s="221">
        <v>44419</v>
      </c>
      <c r="W157" s="211" t="s">
        <v>2813</v>
      </c>
      <c r="X157" s="211" t="s">
        <v>16</v>
      </c>
      <c r="Y157" s="220"/>
      <c r="Z157" s="235" t="s">
        <v>328</v>
      </c>
      <c r="AA157" s="216"/>
      <c r="AB157" s="235"/>
      <c r="AC157" s="295"/>
    </row>
    <row r="158" spans="1:29" s="71" customFormat="1" ht="15.5" x14ac:dyDescent="0.35">
      <c r="A158" s="214">
        <v>3038</v>
      </c>
      <c r="B158" s="214" t="s">
        <v>1158</v>
      </c>
      <c r="C158" s="214">
        <v>3258</v>
      </c>
      <c r="D158" s="215" t="s">
        <v>110</v>
      </c>
      <c r="E158" s="215" t="s">
        <v>110</v>
      </c>
      <c r="F158" s="211" t="s">
        <v>110</v>
      </c>
      <c r="G158" s="214" t="s">
        <v>989</v>
      </c>
      <c r="H158" s="217" t="s">
        <v>758</v>
      </c>
      <c r="I158" s="217" t="s">
        <v>758</v>
      </c>
      <c r="J158" s="214" t="s">
        <v>786</v>
      </c>
      <c r="K158" s="214"/>
      <c r="L158" s="214" t="s">
        <v>1281</v>
      </c>
      <c r="M158" s="214" t="s">
        <v>795</v>
      </c>
      <c r="N158" s="236" t="s">
        <v>14</v>
      </c>
      <c r="O158" s="214">
        <v>1</v>
      </c>
      <c r="P158" s="236" t="s">
        <v>232</v>
      </c>
      <c r="Q158" s="223" t="s">
        <v>108</v>
      </c>
      <c r="R158" s="229">
        <v>60000</v>
      </c>
      <c r="S158" s="229">
        <f>Product_Name[[#This Row],[Đơn giá
Unit Price]]*Product_Name[[#This Row],[Số lượng
Quantity]]</f>
        <v>60000</v>
      </c>
      <c r="T158" s="230">
        <v>44389</v>
      </c>
      <c r="U158" s="227">
        <v>44400</v>
      </c>
      <c r="V158" s="231">
        <v>44421</v>
      </c>
      <c r="W158" s="214" t="s">
        <v>21</v>
      </c>
      <c r="X158" s="214" t="s">
        <v>16</v>
      </c>
      <c r="Y158" s="220"/>
      <c r="Z158" s="227"/>
      <c r="AA158" s="216"/>
      <c r="AB158" s="227"/>
      <c r="AC158" s="295"/>
    </row>
    <row r="159" spans="1:29" s="71" customFormat="1" ht="15.5" x14ac:dyDescent="0.35">
      <c r="A159" s="214">
        <v>3038</v>
      </c>
      <c r="B159" s="214" t="s">
        <v>1158</v>
      </c>
      <c r="C159" s="214">
        <v>3258</v>
      </c>
      <c r="D159" s="215" t="s">
        <v>110</v>
      </c>
      <c r="E159" s="215" t="s">
        <v>110</v>
      </c>
      <c r="F159" s="214" t="s">
        <v>110</v>
      </c>
      <c r="G159" s="214" t="s">
        <v>989</v>
      </c>
      <c r="H159" s="217" t="s">
        <v>759</v>
      </c>
      <c r="I159" s="217" t="s">
        <v>760</v>
      </c>
      <c r="J159" s="214" t="s">
        <v>787</v>
      </c>
      <c r="K159" s="214"/>
      <c r="L159" s="214" t="s">
        <v>1281</v>
      </c>
      <c r="M159" s="214" t="s">
        <v>795</v>
      </c>
      <c r="N159" s="236" t="s">
        <v>14</v>
      </c>
      <c r="O159" s="214">
        <v>1</v>
      </c>
      <c r="P159" s="236" t="s">
        <v>232</v>
      </c>
      <c r="Q159" s="223" t="s">
        <v>108</v>
      </c>
      <c r="R159" s="229">
        <v>234000</v>
      </c>
      <c r="S159" s="229">
        <f>Product_Name[[#This Row],[Đơn giá
Unit Price]]*Product_Name[[#This Row],[Số lượng
Quantity]]</f>
        <v>234000</v>
      </c>
      <c r="T159" s="230">
        <v>44389</v>
      </c>
      <c r="U159" s="227">
        <v>44400</v>
      </c>
      <c r="V159" s="231">
        <v>44421</v>
      </c>
      <c r="W159" s="214" t="s">
        <v>21</v>
      </c>
      <c r="X159" s="214" t="s">
        <v>16</v>
      </c>
      <c r="Y159" s="220"/>
      <c r="Z159" s="216"/>
      <c r="AA159" s="216"/>
      <c r="AB159" s="227"/>
      <c r="AC159" s="295"/>
    </row>
    <row r="160" spans="1:29" s="71" customFormat="1" ht="15.5" x14ac:dyDescent="0.35">
      <c r="A160" s="214">
        <v>3038</v>
      </c>
      <c r="B160" s="214" t="s">
        <v>1158</v>
      </c>
      <c r="C160" s="214">
        <v>3258</v>
      </c>
      <c r="D160" s="215" t="s">
        <v>110</v>
      </c>
      <c r="E160" s="215" t="s">
        <v>110</v>
      </c>
      <c r="F160" s="214" t="s">
        <v>110</v>
      </c>
      <c r="G160" s="214" t="s">
        <v>989</v>
      </c>
      <c r="H160" s="217" t="s">
        <v>783</v>
      </c>
      <c r="I160" s="217" t="s">
        <v>784</v>
      </c>
      <c r="J160" s="214" t="s">
        <v>793</v>
      </c>
      <c r="K160" s="214"/>
      <c r="L160" s="214" t="s">
        <v>1281</v>
      </c>
      <c r="M160" s="214" t="s">
        <v>795</v>
      </c>
      <c r="N160" s="236" t="s">
        <v>14</v>
      </c>
      <c r="O160" s="214">
        <v>2</v>
      </c>
      <c r="P160" s="236" t="s">
        <v>232</v>
      </c>
      <c r="Q160" s="223" t="s">
        <v>108</v>
      </c>
      <c r="R160" s="229">
        <v>1800000</v>
      </c>
      <c r="S160" s="229">
        <f>Product_Name[[#This Row],[Đơn giá
Unit Price]]*Product_Name[[#This Row],[Số lượng
Quantity]]</f>
        <v>3600000</v>
      </c>
      <c r="T160" s="230">
        <v>44389</v>
      </c>
      <c r="U160" s="227">
        <v>44400</v>
      </c>
      <c r="V160" s="231">
        <v>44421</v>
      </c>
      <c r="W160" s="214" t="s">
        <v>21</v>
      </c>
      <c r="X160" s="214" t="s">
        <v>16</v>
      </c>
      <c r="Y160" s="220"/>
      <c r="Z160" s="216"/>
      <c r="AA160" s="216"/>
      <c r="AB160" s="227"/>
      <c r="AC160" s="295"/>
    </row>
    <row r="161" spans="1:29" s="71" customFormat="1" ht="31" x14ac:dyDescent="0.35">
      <c r="A161" s="223" t="s">
        <v>1467</v>
      </c>
      <c r="B161" s="223" t="s">
        <v>1466</v>
      </c>
      <c r="C161" s="223">
        <v>3261</v>
      </c>
      <c r="D161" s="215" t="s">
        <v>110</v>
      </c>
      <c r="E161" s="215" t="s">
        <v>110</v>
      </c>
      <c r="F161" s="214" t="s">
        <v>110</v>
      </c>
      <c r="G161" s="214" t="s">
        <v>989</v>
      </c>
      <c r="H161" s="217" t="s">
        <v>931</v>
      </c>
      <c r="I161" s="217" t="s">
        <v>939</v>
      </c>
      <c r="J161" s="214" t="s">
        <v>1007</v>
      </c>
      <c r="K161" s="214" t="s">
        <v>1427</v>
      </c>
      <c r="L161" s="211" t="s">
        <v>102</v>
      </c>
      <c r="M161" s="214" t="s">
        <v>795</v>
      </c>
      <c r="N161" s="236" t="s">
        <v>14</v>
      </c>
      <c r="O161" s="214">
        <v>1</v>
      </c>
      <c r="P161" s="236" t="s">
        <v>276</v>
      </c>
      <c r="Q161" s="223" t="s">
        <v>108</v>
      </c>
      <c r="R161" s="229">
        <v>2322000</v>
      </c>
      <c r="S161" s="229">
        <f>Product_Name[[#This Row],[Đơn giá
Unit Price]]*Product_Name[[#This Row],[Số lượng
Quantity]]</f>
        <v>2322000</v>
      </c>
      <c r="T161" s="230">
        <v>44389</v>
      </c>
      <c r="U161" s="227">
        <v>44410</v>
      </c>
      <c r="V161" s="231">
        <v>44482</v>
      </c>
      <c r="W161" s="214" t="s">
        <v>21</v>
      </c>
      <c r="X161" s="214" t="s">
        <v>16</v>
      </c>
      <c r="Y161" s="220"/>
      <c r="Z161" s="216"/>
      <c r="AA161" s="216"/>
      <c r="AB161" s="227"/>
      <c r="AC161" s="295"/>
    </row>
    <row r="162" spans="1:29" s="71" customFormat="1" ht="15.5" x14ac:dyDescent="0.35">
      <c r="A162" s="215" t="s">
        <v>110</v>
      </c>
      <c r="B162" s="214" t="s">
        <v>1323</v>
      </c>
      <c r="C162" s="215" t="s">
        <v>110</v>
      </c>
      <c r="D162" s="215">
        <v>1294</v>
      </c>
      <c r="E162" s="215">
        <v>3037</v>
      </c>
      <c r="F162" s="214" t="s">
        <v>110</v>
      </c>
      <c r="G162" s="214" t="s">
        <v>989</v>
      </c>
      <c r="H162" s="217" t="s">
        <v>761</v>
      </c>
      <c r="I162" s="217" t="s">
        <v>762</v>
      </c>
      <c r="J162" s="214" t="s">
        <v>930</v>
      </c>
      <c r="K162" s="214"/>
      <c r="L162" s="211" t="s">
        <v>99</v>
      </c>
      <c r="M162" s="214" t="s">
        <v>796</v>
      </c>
      <c r="N162" s="236" t="s">
        <v>642</v>
      </c>
      <c r="O162" s="214">
        <v>1</v>
      </c>
      <c r="P162" s="236" t="s">
        <v>276</v>
      </c>
      <c r="Q162" s="223" t="s">
        <v>108</v>
      </c>
      <c r="R162" s="229">
        <v>18068000</v>
      </c>
      <c r="S162" s="229">
        <f>Product_Name[[#This Row],[Đơn giá
Unit Price]]*Product_Name[[#This Row],[Số lượng
Quantity]]</f>
        <v>18068000</v>
      </c>
      <c r="T162" s="230">
        <v>44387</v>
      </c>
      <c r="U162" s="227">
        <v>44420</v>
      </c>
      <c r="V162" s="231">
        <v>44454</v>
      </c>
      <c r="W162" s="214" t="s">
        <v>21</v>
      </c>
      <c r="X162" s="214" t="s">
        <v>16</v>
      </c>
      <c r="Y162" s="220"/>
      <c r="Z162" s="216"/>
      <c r="AA162" s="216"/>
      <c r="AB162" s="227"/>
      <c r="AC162" s="295"/>
    </row>
    <row r="163" spans="1:29" s="71" customFormat="1" ht="15.5" x14ac:dyDescent="0.35">
      <c r="A163" s="215" t="s">
        <v>110</v>
      </c>
      <c r="B163" s="214" t="s">
        <v>1145</v>
      </c>
      <c r="C163" s="215" t="s">
        <v>110</v>
      </c>
      <c r="D163" s="215">
        <v>1294</v>
      </c>
      <c r="E163" s="215">
        <v>3037</v>
      </c>
      <c r="F163" s="214" t="s">
        <v>110</v>
      </c>
      <c r="G163" s="214" t="s">
        <v>989</v>
      </c>
      <c r="H163" s="217" t="s">
        <v>999</v>
      </c>
      <c r="I163" s="217" t="s">
        <v>765</v>
      </c>
      <c r="J163" s="214" t="s">
        <v>788</v>
      </c>
      <c r="K163" s="214"/>
      <c r="L163" s="211" t="s">
        <v>99</v>
      </c>
      <c r="M163" s="214" t="s">
        <v>796</v>
      </c>
      <c r="N163" s="236" t="s">
        <v>642</v>
      </c>
      <c r="O163" s="214">
        <v>5</v>
      </c>
      <c r="P163" s="236" t="s">
        <v>276</v>
      </c>
      <c r="Q163" s="223" t="s">
        <v>108</v>
      </c>
      <c r="R163" s="229">
        <v>2003000</v>
      </c>
      <c r="S163" s="229">
        <f>Product_Name[[#This Row],[Đơn giá
Unit Price]]*Product_Name[[#This Row],[Số lượng
Quantity]]</f>
        <v>10015000</v>
      </c>
      <c r="T163" s="230">
        <v>44387</v>
      </c>
      <c r="U163" s="227">
        <v>44420</v>
      </c>
      <c r="V163" s="231">
        <v>44419</v>
      </c>
      <c r="W163" s="214" t="s">
        <v>21</v>
      </c>
      <c r="X163" s="214" t="s">
        <v>16</v>
      </c>
      <c r="Y163" s="220"/>
      <c r="Z163" s="216"/>
      <c r="AA163" s="216"/>
      <c r="AB163" s="227"/>
      <c r="AC163" s="295"/>
    </row>
    <row r="164" spans="1:29" s="71" customFormat="1" ht="15.5" x14ac:dyDescent="0.35">
      <c r="A164" s="215" t="s">
        <v>110</v>
      </c>
      <c r="B164" s="214" t="s">
        <v>1145</v>
      </c>
      <c r="C164" s="215" t="s">
        <v>110</v>
      </c>
      <c r="D164" s="215">
        <v>1294</v>
      </c>
      <c r="E164" s="215">
        <v>3037</v>
      </c>
      <c r="F164" s="214" t="s">
        <v>110</v>
      </c>
      <c r="G164" s="214" t="s">
        <v>989</v>
      </c>
      <c r="H164" s="217" t="s">
        <v>766</v>
      </c>
      <c r="I164" s="217" t="s">
        <v>767</v>
      </c>
      <c r="J164" s="214" t="s">
        <v>789</v>
      </c>
      <c r="K164" s="214"/>
      <c r="L164" s="211" t="s">
        <v>99</v>
      </c>
      <c r="M164" s="214" t="s">
        <v>796</v>
      </c>
      <c r="N164" s="236" t="s">
        <v>642</v>
      </c>
      <c r="O164" s="214">
        <v>5</v>
      </c>
      <c r="P164" s="236" t="s">
        <v>276</v>
      </c>
      <c r="Q164" s="223" t="s">
        <v>108</v>
      </c>
      <c r="R164" s="229">
        <v>957000</v>
      </c>
      <c r="S164" s="229">
        <f>Product_Name[[#This Row],[Đơn giá
Unit Price]]*Product_Name[[#This Row],[Số lượng
Quantity]]</f>
        <v>4785000</v>
      </c>
      <c r="T164" s="230">
        <v>44387</v>
      </c>
      <c r="U164" s="227">
        <v>44420</v>
      </c>
      <c r="V164" s="231">
        <v>44419</v>
      </c>
      <c r="W164" s="214" t="s">
        <v>21</v>
      </c>
      <c r="X164" s="214" t="s">
        <v>16</v>
      </c>
      <c r="Y164" s="220"/>
      <c r="Z164" s="216"/>
      <c r="AA164" s="216"/>
      <c r="AB164" s="227"/>
      <c r="AC164" s="295"/>
    </row>
    <row r="165" spans="1:29" s="71" customFormat="1" ht="15.5" x14ac:dyDescent="0.35">
      <c r="A165" s="215" t="s">
        <v>110</v>
      </c>
      <c r="B165" s="214" t="s">
        <v>1145</v>
      </c>
      <c r="C165" s="215" t="s">
        <v>110</v>
      </c>
      <c r="D165" s="215">
        <v>1294</v>
      </c>
      <c r="E165" s="215">
        <v>3037</v>
      </c>
      <c r="F165" s="214" t="s">
        <v>110</v>
      </c>
      <c r="G165" s="214" t="s">
        <v>989</v>
      </c>
      <c r="H165" s="217" t="s">
        <v>774</v>
      </c>
      <c r="I165" s="217" t="s">
        <v>775</v>
      </c>
      <c r="J165" s="214" t="s">
        <v>791</v>
      </c>
      <c r="K165" s="214"/>
      <c r="L165" s="211" t="s">
        <v>99</v>
      </c>
      <c r="M165" s="214" t="s">
        <v>796</v>
      </c>
      <c r="N165" s="236" t="s">
        <v>642</v>
      </c>
      <c r="O165" s="214">
        <v>2</v>
      </c>
      <c r="P165" s="236" t="s">
        <v>276</v>
      </c>
      <c r="Q165" s="223" t="s">
        <v>108</v>
      </c>
      <c r="R165" s="229">
        <v>44000</v>
      </c>
      <c r="S165" s="229">
        <f>Product_Name[[#This Row],[Đơn giá
Unit Price]]*Product_Name[[#This Row],[Số lượng
Quantity]]</f>
        <v>88000</v>
      </c>
      <c r="T165" s="230">
        <v>44387</v>
      </c>
      <c r="U165" s="227">
        <v>44420</v>
      </c>
      <c r="V165" s="231">
        <v>44419</v>
      </c>
      <c r="W165" s="214" t="s">
        <v>21</v>
      </c>
      <c r="X165" s="214" t="s">
        <v>16</v>
      </c>
      <c r="Y165" s="220"/>
      <c r="Z165" s="216"/>
      <c r="AA165" s="216"/>
      <c r="AB165" s="227"/>
      <c r="AC165" s="295"/>
    </row>
    <row r="166" spans="1:29" s="71" customFormat="1" ht="15.5" x14ac:dyDescent="0.35">
      <c r="A166" s="214" t="s">
        <v>110</v>
      </c>
      <c r="B166" s="214" t="s">
        <v>1424</v>
      </c>
      <c r="C166" s="214" t="s">
        <v>110</v>
      </c>
      <c r="D166" s="215">
        <v>1299</v>
      </c>
      <c r="E166" s="215">
        <v>3034</v>
      </c>
      <c r="F166" s="214" t="s">
        <v>110</v>
      </c>
      <c r="G166" s="214" t="s">
        <v>989</v>
      </c>
      <c r="H166" s="217" t="s">
        <v>763</v>
      </c>
      <c r="I166" s="217" t="s">
        <v>764</v>
      </c>
      <c r="J166" s="214" t="s">
        <v>940</v>
      </c>
      <c r="K166" s="214"/>
      <c r="L166" s="211" t="s">
        <v>102</v>
      </c>
      <c r="M166" s="214" t="s">
        <v>796</v>
      </c>
      <c r="N166" s="236" t="s">
        <v>642</v>
      </c>
      <c r="O166" s="214">
        <v>1</v>
      </c>
      <c r="P166" s="236" t="s">
        <v>276</v>
      </c>
      <c r="Q166" s="223" t="s">
        <v>108</v>
      </c>
      <c r="R166" s="229">
        <v>6594000</v>
      </c>
      <c r="S166" s="229">
        <f>Product_Name[[#This Row],[Đơn giá
Unit Price]]*Product_Name[[#This Row],[Số lượng
Quantity]]</f>
        <v>6594000</v>
      </c>
      <c r="T166" s="230">
        <v>44389</v>
      </c>
      <c r="U166" s="227">
        <v>44424</v>
      </c>
      <c r="V166" s="231">
        <v>44482</v>
      </c>
      <c r="W166" s="214" t="s">
        <v>21</v>
      </c>
      <c r="X166" s="214" t="s">
        <v>16</v>
      </c>
      <c r="Y166" s="220"/>
      <c r="Z166" s="216"/>
      <c r="AA166" s="216"/>
      <c r="AB166" s="227"/>
      <c r="AC166" s="295"/>
    </row>
    <row r="167" spans="1:29" s="71" customFormat="1" ht="15.5" x14ac:dyDescent="0.35">
      <c r="A167" s="214" t="s">
        <v>110</v>
      </c>
      <c r="B167" s="214" t="s">
        <v>1423</v>
      </c>
      <c r="C167" s="214" t="s">
        <v>110</v>
      </c>
      <c r="D167" s="215">
        <v>1299</v>
      </c>
      <c r="E167" s="215">
        <v>3106</v>
      </c>
      <c r="F167" s="214" t="s">
        <v>110</v>
      </c>
      <c r="G167" s="214" t="s">
        <v>989</v>
      </c>
      <c r="H167" s="217" t="s">
        <v>770</v>
      </c>
      <c r="I167" s="217" t="s">
        <v>771</v>
      </c>
      <c r="J167" s="214" t="s">
        <v>790</v>
      </c>
      <c r="K167" s="214" t="s">
        <v>1422</v>
      </c>
      <c r="L167" s="211" t="s">
        <v>102</v>
      </c>
      <c r="M167" s="214" t="s">
        <v>796</v>
      </c>
      <c r="N167" s="236" t="s">
        <v>642</v>
      </c>
      <c r="O167" s="214">
        <v>3</v>
      </c>
      <c r="P167" s="236" t="s">
        <v>276</v>
      </c>
      <c r="Q167" s="223" t="s">
        <v>108</v>
      </c>
      <c r="R167" s="229">
        <v>112000</v>
      </c>
      <c r="S167" s="229">
        <f>Product_Name[[#This Row],[Đơn giá
Unit Price]]*Product_Name[[#This Row],[Số lượng
Quantity]]</f>
        <v>336000</v>
      </c>
      <c r="T167" s="230">
        <v>44389</v>
      </c>
      <c r="U167" s="227">
        <v>44424</v>
      </c>
      <c r="V167" s="231">
        <v>44482</v>
      </c>
      <c r="W167" s="214" t="s">
        <v>21</v>
      </c>
      <c r="X167" s="214" t="s">
        <v>16</v>
      </c>
      <c r="Y167" s="220"/>
      <c r="Z167" s="216"/>
      <c r="AA167" s="216"/>
      <c r="AB167" s="227"/>
      <c r="AC167" s="295"/>
    </row>
    <row r="168" spans="1:29" s="71" customFormat="1" ht="15.5" x14ac:dyDescent="0.35">
      <c r="A168" s="214" t="s">
        <v>110</v>
      </c>
      <c r="B168" s="214" t="s">
        <v>1423</v>
      </c>
      <c r="C168" s="214" t="s">
        <v>110</v>
      </c>
      <c r="D168" s="215">
        <v>1299</v>
      </c>
      <c r="E168" s="215">
        <v>3106</v>
      </c>
      <c r="F168" s="214" t="s">
        <v>110</v>
      </c>
      <c r="G168" s="214" t="s">
        <v>989</v>
      </c>
      <c r="H168" s="217" t="s">
        <v>776</v>
      </c>
      <c r="I168" s="217" t="s">
        <v>777</v>
      </c>
      <c r="J168" s="214" t="s">
        <v>792</v>
      </c>
      <c r="K168" s="214" t="s">
        <v>1422</v>
      </c>
      <c r="L168" s="211" t="s">
        <v>102</v>
      </c>
      <c r="M168" s="214" t="s">
        <v>796</v>
      </c>
      <c r="N168" s="236" t="s">
        <v>642</v>
      </c>
      <c r="O168" s="214">
        <v>3</v>
      </c>
      <c r="P168" s="236" t="s">
        <v>276</v>
      </c>
      <c r="Q168" s="223" t="s">
        <v>108</v>
      </c>
      <c r="R168" s="229">
        <v>181000</v>
      </c>
      <c r="S168" s="229">
        <f>Product_Name[[#This Row],[Đơn giá
Unit Price]]*Product_Name[[#This Row],[Số lượng
Quantity]]</f>
        <v>543000</v>
      </c>
      <c r="T168" s="230">
        <v>44389</v>
      </c>
      <c r="U168" s="227">
        <v>44424</v>
      </c>
      <c r="V168" s="231">
        <v>44482</v>
      </c>
      <c r="W168" s="214" t="s">
        <v>21</v>
      </c>
      <c r="X168" s="214" t="s">
        <v>16</v>
      </c>
      <c r="Y168" s="220"/>
      <c r="Z168" s="216"/>
      <c r="AA168" s="216"/>
      <c r="AB168" s="227"/>
      <c r="AC168" s="295"/>
    </row>
    <row r="169" spans="1:29" s="71" customFormat="1" ht="15.5" x14ac:dyDescent="0.35">
      <c r="A169" s="215" t="s">
        <v>110</v>
      </c>
      <c r="B169" s="214" t="s">
        <v>1157</v>
      </c>
      <c r="C169" s="215" t="s">
        <v>110</v>
      </c>
      <c r="D169" s="215">
        <v>1297</v>
      </c>
      <c r="E169" s="215">
        <v>3036</v>
      </c>
      <c r="F169" s="214" t="s">
        <v>110</v>
      </c>
      <c r="G169" s="214" t="s">
        <v>989</v>
      </c>
      <c r="H169" s="217" t="s">
        <v>768</v>
      </c>
      <c r="I169" s="217" t="s">
        <v>769</v>
      </c>
      <c r="J169" s="214" t="s">
        <v>1002</v>
      </c>
      <c r="K169" s="214"/>
      <c r="L169" s="214" t="s">
        <v>1281</v>
      </c>
      <c r="M169" s="214" t="s">
        <v>796</v>
      </c>
      <c r="N169" s="236" t="s">
        <v>642</v>
      </c>
      <c r="O169" s="214">
        <v>5</v>
      </c>
      <c r="P169" s="236" t="s">
        <v>276</v>
      </c>
      <c r="Q169" s="223" t="s">
        <v>108</v>
      </c>
      <c r="R169" s="229">
        <v>60000</v>
      </c>
      <c r="S169" s="229">
        <f>Product_Name[[#This Row],[Đơn giá
Unit Price]]*Product_Name[[#This Row],[Số lượng
Quantity]]</f>
        <v>300000</v>
      </c>
      <c r="T169" s="230">
        <v>44387</v>
      </c>
      <c r="U169" s="227">
        <v>44400</v>
      </c>
      <c r="V169" s="231">
        <v>44421</v>
      </c>
      <c r="W169" s="214" t="s">
        <v>21</v>
      </c>
      <c r="X169" s="214" t="s">
        <v>16</v>
      </c>
      <c r="Y169" s="220"/>
      <c r="Z169" s="216"/>
      <c r="AA169" s="216"/>
      <c r="AB169" s="227"/>
      <c r="AC169" s="295"/>
    </row>
    <row r="170" spans="1:29" s="71" customFormat="1" ht="15.5" x14ac:dyDescent="0.35">
      <c r="A170" s="215" t="s">
        <v>110</v>
      </c>
      <c r="B170" s="214" t="s">
        <v>1157</v>
      </c>
      <c r="C170" s="215" t="s">
        <v>110</v>
      </c>
      <c r="D170" s="215">
        <v>1297</v>
      </c>
      <c r="E170" s="215">
        <v>3036</v>
      </c>
      <c r="F170" s="214" t="s">
        <v>110</v>
      </c>
      <c r="G170" s="214" t="s">
        <v>989</v>
      </c>
      <c r="H170" s="217" t="s">
        <v>772</v>
      </c>
      <c r="I170" s="217" t="s">
        <v>773</v>
      </c>
      <c r="J170" s="214" t="s">
        <v>1003</v>
      </c>
      <c r="K170" s="214"/>
      <c r="L170" s="214" t="s">
        <v>1281</v>
      </c>
      <c r="M170" s="214" t="s">
        <v>796</v>
      </c>
      <c r="N170" s="236" t="s">
        <v>642</v>
      </c>
      <c r="O170" s="214">
        <v>3</v>
      </c>
      <c r="P170" s="236" t="s">
        <v>276</v>
      </c>
      <c r="Q170" s="223" t="s">
        <v>108</v>
      </c>
      <c r="R170" s="229">
        <v>90000</v>
      </c>
      <c r="S170" s="229">
        <f>Product_Name[[#This Row],[Đơn giá
Unit Price]]*Product_Name[[#This Row],[Số lượng
Quantity]]</f>
        <v>270000</v>
      </c>
      <c r="T170" s="230">
        <v>44387</v>
      </c>
      <c r="U170" s="227">
        <v>44400</v>
      </c>
      <c r="V170" s="231">
        <v>44421</v>
      </c>
      <c r="W170" s="214" t="s">
        <v>21</v>
      </c>
      <c r="X170" s="214" t="s">
        <v>16</v>
      </c>
      <c r="Y170" s="220"/>
      <c r="Z170" s="216"/>
      <c r="AA170" s="216"/>
      <c r="AB170" s="227"/>
      <c r="AC170" s="295"/>
    </row>
    <row r="171" spans="1:29" s="71" customFormat="1" ht="15.5" x14ac:dyDescent="0.35">
      <c r="A171" s="215" t="s">
        <v>110</v>
      </c>
      <c r="B171" s="214" t="s">
        <v>1157</v>
      </c>
      <c r="C171" s="215" t="s">
        <v>110</v>
      </c>
      <c r="D171" s="215">
        <v>1297</v>
      </c>
      <c r="E171" s="215">
        <v>3036</v>
      </c>
      <c r="F171" s="214" t="s">
        <v>110</v>
      </c>
      <c r="G171" s="214" t="s">
        <v>989</v>
      </c>
      <c r="H171" s="217" t="s">
        <v>778</v>
      </c>
      <c r="I171" s="217" t="s">
        <v>779</v>
      </c>
      <c r="J171" s="214" t="s">
        <v>1004</v>
      </c>
      <c r="K171" s="214"/>
      <c r="L171" s="214" t="s">
        <v>1281</v>
      </c>
      <c r="M171" s="214" t="s">
        <v>796</v>
      </c>
      <c r="N171" s="236" t="s">
        <v>642</v>
      </c>
      <c r="O171" s="214">
        <v>5</v>
      </c>
      <c r="P171" s="236" t="s">
        <v>276</v>
      </c>
      <c r="Q171" s="223" t="s">
        <v>108</v>
      </c>
      <c r="R171" s="229">
        <v>30000</v>
      </c>
      <c r="S171" s="229">
        <f>Product_Name[[#This Row],[Đơn giá
Unit Price]]*Product_Name[[#This Row],[Số lượng
Quantity]]</f>
        <v>150000</v>
      </c>
      <c r="T171" s="230">
        <v>44387</v>
      </c>
      <c r="U171" s="227">
        <v>44400</v>
      </c>
      <c r="V171" s="231">
        <v>44421</v>
      </c>
      <c r="W171" s="214" t="s">
        <v>21</v>
      </c>
      <c r="X171" s="214" t="s">
        <v>16</v>
      </c>
      <c r="Y171" s="220"/>
      <c r="Z171" s="216"/>
      <c r="AA171" s="216"/>
      <c r="AB171" s="227"/>
      <c r="AC171" s="295"/>
    </row>
    <row r="172" spans="1:29" s="71" customFormat="1" ht="15.5" x14ac:dyDescent="0.35">
      <c r="A172" s="215" t="s">
        <v>110</v>
      </c>
      <c r="B172" s="214" t="s">
        <v>1157</v>
      </c>
      <c r="C172" s="215" t="s">
        <v>110</v>
      </c>
      <c r="D172" s="215">
        <v>1297</v>
      </c>
      <c r="E172" s="215">
        <v>3036</v>
      </c>
      <c r="F172" s="214" t="s">
        <v>110</v>
      </c>
      <c r="G172" s="214" t="s">
        <v>989</v>
      </c>
      <c r="H172" s="217" t="s">
        <v>780</v>
      </c>
      <c r="I172" s="217" t="s">
        <v>781</v>
      </c>
      <c r="J172" s="214" t="s">
        <v>1005</v>
      </c>
      <c r="K172" s="214"/>
      <c r="L172" s="214" t="s">
        <v>1281</v>
      </c>
      <c r="M172" s="214" t="s">
        <v>796</v>
      </c>
      <c r="N172" s="236" t="s">
        <v>642</v>
      </c>
      <c r="O172" s="214">
        <v>10</v>
      </c>
      <c r="P172" s="236" t="s">
        <v>276</v>
      </c>
      <c r="Q172" s="223" t="s">
        <v>108</v>
      </c>
      <c r="R172" s="229">
        <v>34000</v>
      </c>
      <c r="S172" s="229">
        <f>Product_Name[[#This Row],[Đơn giá
Unit Price]]*Product_Name[[#This Row],[Số lượng
Quantity]]</f>
        <v>340000</v>
      </c>
      <c r="T172" s="230">
        <v>44387</v>
      </c>
      <c r="U172" s="227">
        <v>44400</v>
      </c>
      <c r="V172" s="231">
        <v>44421</v>
      </c>
      <c r="W172" s="214" t="s">
        <v>21</v>
      </c>
      <c r="X172" s="214" t="s">
        <v>16</v>
      </c>
      <c r="Y172" s="220"/>
      <c r="Z172" s="216"/>
      <c r="AA172" s="216"/>
      <c r="AB172" s="227"/>
      <c r="AC172" s="295"/>
    </row>
    <row r="173" spans="1:29" s="71" customFormat="1" ht="15.5" x14ac:dyDescent="0.35">
      <c r="A173" s="215" t="s">
        <v>110</v>
      </c>
      <c r="B173" s="214" t="s">
        <v>1157</v>
      </c>
      <c r="C173" s="215" t="s">
        <v>110</v>
      </c>
      <c r="D173" s="215">
        <v>1297</v>
      </c>
      <c r="E173" s="215">
        <v>3036</v>
      </c>
      <c r="F173" s="214" t="s">
        <v>110</v>
      </c>
      <c r="G173" s="214" t="s">
        <v>989</v>
      </c>
      <c r="H173" s="217" t="s">
        <v>1000</v>
      </c>
      <c r="I173" s="217" t="s">
        <v>782</v>
      </c>
      <c r="J173" s="214" t="s">
        <v>1001</v>
      </c>
      <c r="K173" s="214"/>
      <c r="L173" s="214" t="s">
        <v>1281</v>
      </c>
      <c r="M173" s="214" t="s">
        <v>796</v>
      </c>
      <c r="N173" s="236" t="s">
        <v>642</v>
      </c>
      <c r="O173" s="214">
        <v>5</v>
      </c>
      <c r="P173" s="236" t="s">
        <v>276</v>
      </c>
      <c r="Q173" s="223" t="s">
        <v>108</v>
      </c>
      <c r="R173" s="229">
        <v>48000</v>
      </c>
      <c r="S173" s="229">
        <f>Product_Name[[#This Row],[Đơn giá
Unit Price]]*Product_Name[[#This Row],[Số lượng
Quantity]]</f>
        <v>240000</v>
      </c>
      <c r="T173" s="230">
        <v>44387</v>
      </c>
      <c r="U173" s="227">
        <v>44400</v>
      </c>
      <c r="V173" s="231">
        <v>44421</v>
      </c>
      <c r="W173" s="214" t="s">
        <v>21</v>
      </c>
      <c r="X173" s="214" t="s">
        <v>16</v>
      </c>
      <c r="Y173" s="220"/>
      <c r="Z173" s="216"/>
      <c r="AA173" s="216"/>
      <c r="AB173" s="227"/>
      <c r="AC173" s="295"/>
    </row>
    <row r="174" spans="1:29" s="71" customFormat="1" ht="15.5" x14ac:dyDescent="0.35">
      <c r="A174" s="215" t="s">
        <v>110</v>
      </c>
      <c r="B174" s="214" t="s">
        <v>1157</v>
      </c>
      <c r="C174" s="215" t="s">
        <v>110</v>
      </c>
      <c r="D174" s="215">
        <v>1297</v>
      </c>
      <c r="E174" s="215">
        <v>3036</v>
      </c>
      <c r="F174" s="214" t="s">
        <v>110</v>
      </c>
      <c r="G174" s="214" t="s">
        <v>989</v>
      </c>
      <c r="H174" s="217" t="s">
        <v>785</v>
      </c>
      <c r="I174" s="217" t="s">
        <v>1006</v>
      </c>
      <c r="J174" s="214" t="s">
        <v>794</v>
      </c>
      <c r="K174" s="214" t="s">
        <v>1281</v>
      </c>
      <c r="L174" s="214" t="s">
        <v>1281</v>
      </c>
      <c r="M174" s="214" t="s">
        <v>797</v>
      </c>
      <c r="N174" s="236" t="s">
        <v>642</v>
      </c>
      <c r="O174" s="214">
        <v>3</v>
      </c>
      <c r="P174" s="236" t="s">
        <v>276</v>
      </c>
      <c r="Q174" s="223" t="s">
        <v>108</v>
      </c>
      <c r="R174" s="229">
        <v>1716000</v>
      </c>
      <c r="S174" s="229">
        <f>Product_Name[[#This Row],[Đơn giá
Unit Price]]*Product_Name[[#This Row],[Số lượng
Quantity]]</f>
        <v>5148000</v>
      </c>
      <c r="T174" s="230">
        <v>44387</v>
      </c>
      <c r="U174" s="227">
        <v>44400</v>
      </c>
      <c r="V174" s="231">
        <v>44421</v>
      </c>
      <c r="W174" s="214" t="s">
        <v>21</v>
      </c>
      <c r="X174" s="214" t="s">
        <v>16</v>
      </c>
      <c r="Y174" s="220"/>
      <c r="Z174" s="216"/>
      <c r="AA174" s="216" t="s">
        <v>2290</v>
      </c>
      <c r="AB174" s="227"/>
      <c r="AC174" s="295"/>
    </row>
    <row r="175" spans="1:29" s="71" customFormat="1" ht="31" x14ac:dyDescent="0.35">
      <c r="A175" s="214">
        <v>3039</v>
      </c>
      <c r="B175" s="214" t="s">
        <v>1148</v>
      </c>
      <c r="C175" s="214">
        <v>3259</v>
      </c>
      <c r="D175" s="215" t="s">
        <v>110</v>
      </c>
      <c r="E175" s="215" t="s">
        <v>110</v>
      </c>
      <c r="F175" s="214" t="s">
        <v>2732</v>
      </c>
      <c r="G175" s="214" t="s">
        <v>990</v>
      </c>
      <c r="H175" s="217" t="s">
        <v>813</v>
      </c>
      <c r="I175" s="217" t="s">
        <v>821</v>
      </c>
      <c r="J175" s="214" t="s">
        <v>805</v>
      </c>
      <c r="K175" s="214"/>
      <c r="L175" s="211" t="s">
        <v>99</v>
      </c>
      <c r="M175" s="214" t="s">
        <v>826</v>
      </c>
      <c r="N175" s="214" t="s">
        <v>14</v>
      </c>
      <c r="O175" s="214">
        <v>5</v>
      </c>
      <c r="P175" s="236" t="s">
        <v>963</v>
      </c>
      <c r="Q175" s="223" t="s">
        <v>108</v>
      </c>
      <c r="R175" s="229">
        <v>502000</v>
      </c>
      <c r="S175" s="229">
        <f>Product_Name[[#This Row],[Đơn giá
Unit Price]]*Product_Name[[#This Row],[Số lượng
Quantity]]</f>
        <v>2510000</v>
      </c>
      <c r="T175" s="230">
        <v>44389</v>
      </c>
      <c r="U175" s="227">
        <v>44410</v>
      </c>
      <c r="V175" s="231">
        <v>44419</v>
      </c>
      <c r="W175" s="214" t="s">
        <v>2814</v>
      </c>
      <c r="X175" s="214" t="s">
        <v>16</v>
      </c>
      <c r="Y175" s="264" t="s">
        <v>3707</v>
      </c>
      <c r="Z175" s="216"/>
      <c r="AA175" s="216"/>
      <c r="AB175" s="227"/>
      <c r="AC175" s="295"/>
    </row>
    <row r="176" spans="1:29" s="71" customFormat="1" ht="31" x14ac:dyDescent="0.35">
      <c r="A176" s="214">
        <v>3039</v>
      </c>
      <c r="B176" s="214" t="s">
        <v>1148</v>
      </c>
      <c r="C176" s="214">
        <v>3259</v>
      </c>
      <c r="D176" s="215" t="s">
        <v>110</v>
      </c>
      <c r="E176" s="215" t="s">
        <v>110</v>
      </c>
      <c r="F176" s="214" t="s">
        <v>2732</v>
      </c>
      <c r="G176" s="214" t="s">
        <v>990</v>
      </c>
      <c r="H176" s="217" t="s">
        <v>814</v>
      </c>
      <c r="I176" s="217" t="s">
        <v>967</v>
      </c>
      <c r="J176" s="214" t="s">
        <v>806</v>
      </c>
      <c r="K176" s="214" t="s">
        <v>1426</v>
      </c>
      <c r="L176" s="211" t="s">
        <v>99</v>
      </c>
      <c r="M176" s="214" t="s">
        <v>826</v>
      </c>
      <c r="N176" s="214" t="s">
        <v>14</v>
      </c>
      <c r="O176" s="214">
        <v>5</v>
      </c>
      <c r="P176" s="236" t="s">
        <v>276</v>
      </c>
      <c r="Q176" s="223" t="s">
        <v>108</v>
      </c>
      <c r="R176" s="229">
        <v>194000</v>
      </c>
      <c r="S176" s="229">
        <f>Product_Name[[#This Row],[Đơn giá
Unit Price]]*Product_Name[[#This Row],[Số lượng
Quantity]]</f>
        <v>970000</v>
      </c>
      <c r="T176" s="230">
        <v>44389</v>
      </c>
      <c r="U176" s="227">
        <v>44410</v>
      </c>
      <c r="V176" s="231">
        <v>44419</v>
      </c>
      <c r="W176" s="214" t="s">
        <v>2814</v>
      </c>
      <c r="X176" s="214" t="s">
        <v>16</v>
      </c>
      <c r="Y176" s="264" t="s">
        <v>3707</v>
      </c>
      <c r="Z176" s="216"/>
      <c r="AA176" s="216"/>
      <c r="AB176" s="227"/>
      <c r="AC176" s="295"/>
    </row>
    <row r="177" spans="1:29" s="71" customFormat="1" ht="31" x14ac:dyDescent="0.35">
      <c r="A177" s="214">
        <v>3039</v>
      </c>
      <c r="B177" s="214" t="s">
        <v>1148</v>
      </c>
      <c r="C177" s="214">
        <v>3259</v>
      </c>
      <c r="D177" s="215" t="s">
        <v>110</v>
      </c>
      <c r="E177" s="215" t="s">
        <v>110</v>
      </c>
      <c r="F177" s="214" t="s">
        <v>2732</v>
      </c>
      <c r="G177" s="214" t="s">
        <v>990</v>
      </c>
      <c r="H177" s="217" t="s">
        <v>815</v>
      </c>
      <c r="I177" s="217" t="s">
        <v>967</v>
      </c>
      <c r="J177" s="214" t="s">
        <v>807</v>
      </c>
      <c r="K177" s="214" t="s">
        <v>1426</v>
      </c>
      <c r="L177" s="211" t="s">
        <v>99</v>
      </c>
      <c r="M177" s="214" t="s">
        <v>826</v>
      </c>
      <c r="N177" s="214" t="s">
        <v>14</v>
      </c>
      <c r="O177" s="214">
        <v>5</v>
      </c>
      <c r="P177" s="236" t="s">
        <v>276</v>
      </c>
      <c r="Q177" s="223" t="s">
        <v>108</v>
      </c>
      <c r="R177" s="229">
        <v>128000</v>
      </c>
      <c r="S177" s="229">
        <f>Product_Name[[#This Row],[Đơn giá
Unit Price]]*Product_Name[[#This Row],[Số lượng
Quantity]]</f>
        <v>640000</v>
      </c>
      <c r="T177" s="230">
        <v>44389</v>
      </c>
      <c r="U177" s="227">
        <v>44410</v>
      </c>
      <c r="V177" s="231">
        <v>44419</v>
      </c>
      <c r="W177" s="214" t="s">
        <v>2814</v>
      </c>
      <c r="X177" s="214" t="s">
        <v>16</v>
      </c>
      <c r="Y177" s="264" t="s">
        <v>3707</v>
      </c>
      <c r="Z177" s="216"/>
      <c r="AA177" s="216"/>
      <c r="AB177" s="227"/>
      <c r="AC177" s="295"/>
    </row>
    <row r="178" spans="1:29" s="71" customFormat="1" ht="31" x14ac:dyDescent="0.35">
      <c r="A178" s="214">
        <v>3039</v>
      </c>
      <c r="B178" s="214" t="s">
        <v>1148</v>
      </c>
      <c r="C178" s="214">
        <v>3259</v>
      </c>
      <c r="D178" s="215" t="s">
        <v>110</v>
      </c>
      <c r="E178" s="215" t="s">
        <v>110</v>
      </c>
      <c r="F178" s="214" t="s">
        <v>2732</v>
      </c>
      <c r="G178" s="214" t="s">
        <v>990</v>
      </c>
      <c r="H178" s="217" t="s">
        <v>816</v>
      </c>
      <c r="I178" s="217" t="s">
        <v>822</v>
      </c>
      <c r="J178" s="214" t="s">
        <v>808</v>
      </c>
      <c r="K178" s="214" t="s">
        <v>1487</v>
      </c>
      <c r="L178" s="211" t="s">
        <v>99</v>
      </c>
      <c r="M178" s="214" t="s">
        <v>826</v>
      </c>
      <c r="N178" s="214" t="s">
        <v>14</v>
      </c>
      <c r="O178" s="214">
        <v>3</v>
      </c>
      <c r="P178" s="236" t="s">
        <v>44</v>
      </c>
      <c r="Q178" s="223" t="s">
        <v>108</v>
      </c>
      <c r="R178" s="229">
        <v>1370000</v>
      </c>
      <c r="S178" s="229">
        <f>Product_Name[[#This Row],[Đơn giá
Unit Price]]*Product_Name[[#This Row],[Số lượng
Quantity]]</f>
        <v>4110000</v>
      </c>
      <c r="T178" s="230">
        <v>44389</v>
      </c>
      <c r="U178" s="227">
        <v>44410</v>
      </c>
      <c r="V178" s="231">
        <v>44419</v>
      </c>
      <c r="W178" s="214" t="s">
        <v>2814</v>
      </c>
      <c r="X178" s="214" t="s">
        <v>16</v>
      </c>
      <c r="Y178" s="264" t="s">
        <v>3707</v>
      </c>
      <c r="Z178" s="216"/>
      <c r="AA178" s="216"/>
      <c r="AB178" s="227"/>
      <c r="AC178" s="295"/>
    </row>
    <row r="179" spans="1:29" s="71" customFormat="1" ht="31" x14ac:dyDescent="0.35">
      <c r="A179" s="214">
        <v>3039</v>
      </c>
      <c r="B179" s="214" t="s">
        <v>1148</v>
      </c>
      <c r="C179" s="214">
        <v>3259</v>
      </c>
      <c r="D179" s="215" t="s">
        <v>110</v>
      </c>
      <c r="E179" s="215" t="s">
        <v>110</v>
      </c>
      <c r="F179" s="214" t="s">
        <v>2732</v>
      </c>
      <c r="G179" s="214" t="s">
        <v>990</v>
      </c>
      <c r="H179" s="217" t="s">
        <v>817</v>
      </c>
      <c r="I179" s="217" t="s">
        <v>823</v>
      </c>
      <c r="J179" s="214" t="s">
        <v>809</v>
      </c>
      <c r="K179" s="214" t="s">
        <v>1426</v>
      </c>
      <c r="L179" s="211" t="s">
        <v>99</v>
      </c>
      <c r="M179" s="214" t="s">
        <v>826</v>
      </c>
      <c r="N179" s="214" t="s">
        <v>14</v>
      </c>
      <c r="O179" s="214">
        <v>3</v>
      </c>
      <c r="P179" s="236" t="s">
        <v>44</v>
      </c>
      <c r="Q179" s="223" t="s">
        <v>108</v>
      </c>
      <c r="R179" s="229">
        <v>2140000</v>
      </c>
      <c r="S179" s="229">
        <f>Product_Name[[#This Row],[Đơn giá
Unit Price]]*Product_Name[[#This Row],[Số lượng
Quantity]]</f>
        <v>6420000</v>
      </c>
      <c r="T179" s="230">
        <v>44389</v>
      </c>
      <c r="U179" s="227">
        <v>44410</v>
      </c>
      <c r="V179" s="231">
        <v>44419</v>
      </c>
      <c r="W179" s="214" t="s">
        <v>2814</v>
      </c>
      <c r="X179" s="214" t="s">
        <v>16</v>
      </c>
      <c r="Y179" s="264" t="s">
        <v>3707</v>
      </c>
      <c r="Z179" s="216"/>
      <c r="AA179" s="216"/>
      <c r="AB179" s="227"/>
      <c r="AC179" s="295"/>
    </row>
    <row r="180" spans="1:29" s="71" customFormat="1" ht="31" x14ac:dyDescent="0.35">
      <c r="A180" s="214">
        <v>3039</v>
      </c>
      <c r="B180" s="214" t="s">
        <v>1148</v>
      </c>
      <c r="C180" s="214">
        <v>3259</v>
      </c>
      <c r="D180" s="215" t="s">
        <v>110</v>
      </c>
      <c r="E180" s="215" t="s">
        <v>110</v>
      </c>
      <c r="F180" s="214" t="s">
        <v>2732</v>
      </c>
      <c r="G180" s="214" t="s">
        <v>990</v>
      </c>
      <c r="H180" s="217" t="s">
        <v>817</v>
      </c>
      <c r="I180" s="217" t="s">
        <v>823</v>
      </c>
      <c r="J180" s="214" t="s">
        <v>810</v>
      </c>
      <c r="K180" s="214" t="s">
        <v>1426</v>
      </c>
      <c r="L180" s="211" t="s">
        <v>99</v>
      </c>
      <c r="M180" s="214" t="s">
        <v>826</v>
      </c>
      <c r="N180" s="214" t="s">
        <v>14</v>
      </c>
      <c r="O180" s="214">
        <v>3</v>
      </c>
      <c r="P180" s="236" t="s">
        <v>44</v>
      </c>
      <c r="Q180" s="223" t="s">
        <v>108</v>
      </c>
      <c r="R180" s="229">
        <v>1200000</v>
      </c>
      <c r="S180" s="229">
        <f>Product_Name[[#This Row],[Đơn giá
Unit Price]]*Product_Name[[#This Row],[Số lượng
Quantity]]</f>
        <v>3600000</v>
      </c>
      <c r="T180" s="230">
        <v>44389</v>
      </c>
      <c r="U180" s="227">
        <v>44410</v>
      </c>
      <c r="V180" s="231">
        <v>44419</v>
      </c>
      <c r="W180" s="214" t="s">
        <v>2814</v>
      </c>
      <c r="X180" s="214" t="s">
        <v>16</v>
      </c>
      <c r="Y180" s="264" t="s">
        <v>3707</v>
      </c>
      <c r="Z180" s="216"/>
      <c r="AA180" s="216"/>
      <c r="AB180" s="227"/>
      <c r="AC180" s="295"/>
    </row>
    <row r="181" spans="1:29" s="71" customFormat="1" ht="31" x14ac:dyDescent="0.35">
      <c r="A181" s="214">
        <v>3039</v>
      </c>
      <c r="B181" s="214" t="s">
        <v>1148</v>
      </c>
      <c r="C181" s="214">
        <v>3259</v>
      </c>
      <c r="D181" s="215" t="s">
        <v>110</v>
      </c>
      <c r="E181" s="215" t="s">
        <v>110</v>
      </c>
      <c r="F181" s="214" t="s">
        <v>2732</v>
      </c>
      <c r="G181" s="214" t="s">
        <v>990</v>
      </c>
      <c r="H181" s="217" t="s">
        <v>818</v>
      </c>
      <c r="I181" s="217" t="s">
        <v>824</v>
      </c>
      <c r="J181" s="214" t="s">
        <v>811</v>
      </c>
      <c r="K181" s="214"/>
      <c r="L181" s="211" t="s">
        <v>99</v>
      </c>
      <c r="M181" s="214" t="s">
        <v>826</v>
      </c>
      <c r="N181" s="214" t="s">
        <v>14</v>
      </c>
      <c r="O181" s="214">
        <v>20</v>
      </c>
      <c r="P181" s="236" t="s">
        <v>964</v>
      </c>
      <c r="Q181" s="223" t="s">
        <v>108</v>
      </c>
      <c r="R181" s="229">
        <v>490000</v>
      </c>
      <c r="S181" s="229">
        <f>Product_Name[[#This Row],[Đơn giá
Unit Price]]*Product_Name[[#This Row],[Số lượng
Quantity]]</f>
        <v>9800000</v>
      </c>
      <c r="T181" s="230">
        <v>44389</v>
      </c>
      <c r="U181" s="227">
        <v>44410</v>
      </c>
      <c r="V181" s="231">
        <v>44419</v>
      </c>
      <c r="W181" s="214" t="s">
        <v>2814</v>
      </c>
      <c r="X181" s="214" t="s">
        <v>16</v>
      </c>
      <c r="Y181" s="264" t="s">
        <v>3707</v>
      </c>
      <c r="Z181" s="216"/>
      <c r="AA181" s="216"/>
      <c r="AB181" s="227"/>
      <c r="AC181" s="295"/>
    </row>
    <row r="182" spans="1:29" s="71" customFormat="1" ht="31" x14ac:dyDescent="0.35">
      <c r="A182" s="214">
        <v>3039</v>
      </c>
      <c r="B182" s="214" t="s">
        <v>1148</v>
      </c>
      <c r="C182" s="214">
        <v>3259</v>
      </c>
      <c r="D182" s="215" t="s">
        <v>110</v>
      </c>
      <c r="E182" s="215" t="s">
        <v>110</v>
      </c>
      <c r="F182" s="214" t="s">
        <v>2732</v>
      </c>
      <c r="G182" s="214" t="s">
        <v>990</v>
      </c>
      <c r="H182" s="217" t="s">
        <v>819</v>
      </c>
      <c r="I182" s="217" t="s">
        <v>825</v>
      </c>
      <c r="J182" s="214" t="s">
        <v>965</v>
      </c>
      <c r="K182" s="211"/>
      <c r="L182" s="211" t="s">
        <v>99</v>
      </c>
      <c r="M182" s="211" t="s">
        <v>123</v>
      </c>
      <c r="N182" s="214" t="s">
        <v>14</v>
      </c>
      <c r="O182" s="214">
        <v>10</v>
      </c>
      <c r="P182" s="236" t="s">
        <v>37</v>
      </c>
      <c r="Q182" s="223" t="s">
        <v>108</v>
      </c>
      <c r="R182" s="229">
        <v>26000</v>
      </c>
      <c r="S182" s="229">
        <f>Product_Name[[#This Row],[Đơn giá
Unit Price]]*Product_Name[[#This Row],[Số lượng
Quantity]]</f>
        <v>260000</v>
      </c>
      <c r="T182" s="230">
        <v>44389</v>
      </c>
      <c r="U182" s="227">
        <v>44410</v>
      </c>
      <c r="V182" s="231">
        <v>44419</v>
      </c>
      <c r="W182" s="214" t="s">
        <v>2814</v>
      </c>
      <c r="X182" s="214" t="s">
        <v>16</v>
      </c>
      <c r="Y182" s="264" t="s">
        <v>3707</v>
      </c>
      <c r="Z182" s="216"/>
      <c r="AA182" s="216"/>
      <c r="AB182" s="227"/>
      <c r="AC182" s="295"/>
    </row>
    <row r="183" spans="1:29" s="71" customFormat="1" ht="31" x14ac:dyDescent="0.35">
      <c r="A183" s="214">
        <v>3039</v>
      </c>
      <c r="B183" s="214" t="s">
        <v>1148</v>
      </c>
      <c r="C183" s="214">
        <v>3259</v>
      </c>
      <c r="D183" s="215" t="s">
        <v>110</v>
      </c>
      <c r="E183" s="215" t="s">
        <v>110</v>
      </c>
      <c r="F183" s="214" t="s">
        <v>2732</v>
      </c>
      <c r="G183" s="214" t="s">
        <v>990</v>
      </c>
      <c r="H183" s="217" t="s">
        <v>820</v>
      </c>
      <c r="I183" s="217" t="s">
        <v>966</v>
      </c>
      <c r="J183" s="214" t="s">
        <v>812</v>
      </c>
      <c r="K183" s="211"/>
      <c r="L183" s="211" t="s">
        <v>99</v>
      </c>
      <c r="M183" s="211" t="s">
        <v>123</v>
      </c>
      <c r="N183" s="214" t="s">
        <v>14</v>
      </c>
      <c r="O183" s="214">
        <v>5</v>
      </c>
      <c r="P183" s="236" t="s">
        <v>37</v>
      </c>
      <c r="Q183" s="223" t="s">
        <v>108</v>
      </c>
      <c r="R183" s="229">
        <v>300000</v>
      </c>
      <c r="S183" s="229">
        <f>Product_Name[[#This Row],[Đơn giá
Unit Price]]*Product_Name[[#This Row],[Số lượng
Quantity]]</f>
        <v>1500000</v>
      </c>
      <c r="T183" s="230">
        <v>44389</v>
      </c>
      <c r="U183" s="227">
        <v>44410</v>
      </c>
      <c r="V183" s="231">
        <v>44419</v>
      </c>
      <c r="W183" s="214" t="s">
        <v>2814</v>
      </c>
      <c r="X183" s="214" t="s">
        <v>16</v>
      </c>
      <c r="Y183" s="264" t="s">
        <v>3707</v>
      </c>
      <c r="Z183" s="216"/>
      <c r="AA183" s="216"/>
      <c r="AB183" s="227"/>
      <c r="AC183" s="295"/>
    </row>
    <row r="184" spans="1:29" ht="15.5" x14ac:dyDescent="0.35">
      <c r="A184" s="211">
        <v>3035</v>
      </c>
      <c r="B184" s="214" t="s">
        <v>1352</v>
      </c>
      <c r="C184" s="211">
        <v>3264</v>
      </c>
      <c r="D184" s="215" t="s">
        <v>110</v>
      </c>
      <c r="E184" s="215" t="s">
        <v>110</v>
      </c>
      <c r="F184" s="214" t="s">
        <v>110</v>
      </c>
      <c r="G184" s="214" t="s">
        <v>110</v>
      </c>
      <c r="H184" s="216" t="s">
        <v>388</v>
      </c>
      <c r="I184" s="217"/>
      <c r="J184" s="211" t="s">
        <v>389</v>
      </c>
      <c r="K184" s="211"/>
      <c r="L184" s="211" t="s">
        <v>30</v>
      </c>
      <c r="M184" s="211" t="s">
        <v>795</v>
      </c>
      <c r="N184" s="211" t="s">
        <v>14</v>
      </c>
      <c r="O184" s="211">
        <v>6</v>
      </c>
      <c r="P184" s="211" t="s">
        <v>719</v>
      </c>
      <c r="Q184" s="213" t="s">
        <v>390</v>
      </c>
      <c r="R184" s="237">
        <v>221.75</v>
      </c>
      <c r="S184" s="229">
        <f>Product_Name[[#This Row],[Đơn giá
Unit Price]]*Product_Name[[#This Row],[Số lượng
Quantity]]</f>
        <v>1330.5</v>
      </c>
      <c r="T184" s="230">
        <v>44389</v>
      </c>
      <c r="U184" s="220">
        <v>44452</v>
      </c>
      <c r="V184" s="221">
        <v>44462</v>
      </c>
      <c r="W184" s="211" t="s">
        <v>21</v>
      </c>
      <c r="X184" s="214" t="s">
        <v>16</v>
      </c>
      <c r="Y184" s="220"/>
      <c r="Z184" s="235" t="s">
        <v>328</v>
      </c>
      <c r="AA184" s="216"/>
      <c r="AB184" s="235"/>
      <c r="AC184" s="295"/>
    </row>
    <row r="185" spans="1:29" ht="15.5" x14ac:dyDescent="0.35">
      <c r="A185" s="211">
        <v>3066</v>
      </c>
      <c r="B185" s="214" t="s">
        <v>1102</v>
      </c>
      <c r="C185" s="211">
        <v>3280</v>
      </c>
      <c r="D185" s="215" t="s">
        <v>110</v>
      </c>
      <c r="E185" s="215" t="s">
        <v>110</v>
      </c>
      <c r="F185" s="214" t="s">
        <v>110</v>
      </c>
      <c r="G185" s="214" t="s">
        <v>110</v>
      </c>
      <c r="H185" s="238" t="s">
        <v>1058</v>
      </c>
      <c r="I185" s="239" t="s">
        <v>1059</v>
      </c>
      <c r="J185" s="240" t="s">
        <v>1057</v>
      </c>
      <c r="K185" s="211"/>
      <c r="L185" s="211" t="s">
        <v>326</v>
      </c>
      <c r="M185" s="211" t="s">
        <v>123</v>
      </c>
      <c r="N185" s="211" t="s">
        <v>14</v>
      </c>
      <c r="O185" s="211">
        <v>10</v>
      </c>
      <c r="P185" s="211" t="s">
        <v>105</v>
      </c>
      <c r="Q185" s="213" t="s">
        <v>108</v>
      </c>
      <c r="R185" s="218">
        <v>65000</v>
      </c>
      <c r="S185" s="229">
        <f>Product_Name[[#This Row],[Đơn giá
Unit Price]]*Product_Name[[#This Row],[Số lượng
Quantity]]</f>
        <v>650000</v>
      </c>
      <c r="T185" s="230">
        <v>44391</v>
      </c>
      <c r="U185" s="220">
        <v>44398</v>
      </c>
      <c r="V185" s="221">
        <v>44398</v>
      </c>
      <c r="W185" s="211" t="s">
        <v>21</v>
      </c>
      <c r="X185" s="211" t="s">
        <v>16</v>
      </c>
      <c r="Y185" s="220"/>
      <c r="Z185" s="235"/>
      <c r="AA185" s="216"/>
      <c r="AB185" s="235"/>
      <c r="AC185" s="295"/>
    </row>
    <row r="186" spans="1:29" ht="15.5" x14ac:dyDescent="0.35">
      <c r="A186" s="211">
        <v>3265</v>
      </c>
      <c r="B186" s="214" t="s">
        <v>1262</v>
      </c>
      <c r="C186" s="211">
        <v>3498</v>
      </c>
      <c r="D186" s="215" t="s">
        <v>110</v>
      </c>
      <c r="E186" s="215" t="s">
        <v>110</v>
      </c>
      <c r="F186" s="214" t="s">
        <v>110</v>
      </c>
      <c r="G186" s="214" t="s">
        <v>110</v>
      </c>
      <c r="H186" s="216" t="s">
        <v>324</v>
      </c>
      <c r="I186" s="217" t="s">
        <v>1159</v>
      </c>
      <c r="J186" s="211" t="s">
        <v>325</v>
      </c>
      <c r="K186" s="211" t="s">
        <v>1160</v>
      </c>
      <c r="L186" s="211" t="s">
        <v>326</v>
      </c>
      <c r="M186" s="211" t="s">
        <v>327</v>
      </c>
      <c r="N186" s="211" t="s">
        <v>14</v>
      </c>
      <c r="O186" s="211">
        <v>400</v>
      </c>
      <c r="P186" s="211" t="s">
        <v>46</v>
      </c>
      <c r="Q186" s="213" t="s">
        <v>108</v>
      </c>
      <c r="R186" s="218">
        <v>61000</v>
      </c>
      <c r="S186" s="229">
        <f>Product_Name[[#This Row],[Đơn giá
Unit Price]]*Product_Name[[#This Row],[Số lượng
Quantity]]</f>
        <v>24400000</v>
      </c>
      <c r="T186" s="219">
        <v>44424</v>
      </c>
      <c r="U186" s="220">
        <v>44431</v>
      </c>
      <c r="V186" s="221">
        <v>44447</v>
      </c>
      <c r="W186" s="214" t="s">
        <v>2577</v>
      </c>
      <c r="X186" s="211" t="s">
        <v>16</v>
      </c>
      <c r="Y186" s="220"/>
      <c r="Z186" s="235" t="s">
        <v>328</v>
      </c>
      <c r="AA186" s="216"/>
      <c r="AB186" s="235"/>
      <c r="AC186" s="295"/>
    </row>
    <row r="187" spans="1:29" ht="15.5" x14ac:dyDescent="0.35">
      <c r="A187" s="211" t="s">
        <v>110</v>
      </c>
      <c r="B187" s="214" t="s">
        <v>1421</v>
      </c>
      <c r="C187" s="211" t="s">
        <v>110</v>
      </c>
      <c r="D187" s="215">
        <v>1319</v>
      </c>
      <c r="E187" s="215">
        <v>3087</v>
      </c>
      <c r="F187" s="214" t="s">
        <v>110</v>
      </c>
      <c r="G187" s="214" t="s">
        <v>110</v>
      </c>
      <c r="H187" s="216" t="s">
        <v>974</v>
      </c>
      <c r="I187" s="217" t="s">
        <v>971</v>
      </c>
      <c r="J187" s="211" t="s">
        <v>972</v>
      </c>
      <c r="K187" s="211"/>
      <c r="L187" s="211" t="s">
        <v>102</v>
      </c>
      <c r="M187" s="214" t="s">
        <v>796</v>
      </c>
      <c r="N187" s="211" t="s">
        <v>642</v>
      </c>
      <c r="O187" s="211">
        <v>1</v>
      </c>
      <c r="P187" s="211" t="s">
        <v>276</v>
      </c>
      <c r="Q187" s="213" t="s">
        <v>108</v>
      </c>
      <c r="R187" s="218">
        <v>1992000</v>
      </c>
      <c r="S187" s="229">
        <f>Product_Name[[#This Row],[Đơn giá
Unit Price]]*Product_Name[[#This Row],[Số lượng
Quantity]]</f>
        <v>1992000</v>
      </c>
      <c r="T187" s="219">
        <v>44393</v>
      </c>
      <c r="U187" s="220">
        <v>44410</v>
      </c>
      <c r="V187" s="221">
        <v>44482</v>
      </c>
      <c r="W187" s="211" t="s">
        <v>2814</v>
      </c>
      <c r="X187" s="211" t="s">
        <v>16</v>
      </c>
      <c r="Y187" s="220"/>
      <c r="Z187" s="235"/>
      <c r="AA187" s="216"/>
      <c r="AB187" s="235"/>
      <c r="AC187" s="295"/>
    </row>
    <row r="188" spans="1:29" s="71" customFormat="1" ht="15.5" x14ac:dyDescent="0.35">
      <c r="A188" s="214">
        <v>3085</v>
      </c>
      <c r="B188" s="214" t="s">
        <v>1569</v>
      </c>
      <c r="C188" s="214">
        <v>3313</v>
      </c>
      <c r="D188" s="215" t="s">
        <v>110</v>
      </c>
      <c r="E188" s="215" t="s">
        <v>110</v>
      </c>
      <c r="F188" s="214" t="s">
        <v>110</v>
      </c>
      <c r="G188" s="214" t="s">
        <v>110</v>
      </c>
      <c r="H188" s="217" t="s">
        <v>936</v>
      </c>
      <c r="I188" s="217" t="s">
        <v>935</v>
      </c>
      <c r="J188" s="214" t="s">
        <v>934</v>
      </c>
      <c r="K188" s="214" t="s">
        <v>278</v>
      </c>
      <c r="L188" s="214" t="s">
        <v>278</v>
      </c>
      <c r="M188" s="211" t="s">
        <v>123</v>
      </c>
      <c r="N188" s="214" t="s">
        <v>14</v>
      </c>
      <c r="O188" s="214">
        <v>20</v>
      </c>
      <c r="P188" s="214" t="s">
        <v>276</v>
      </c>
      <c r="Q188" s="223" t="s">
        <v>108</v>
      </c>
      <c r="R188" s="229">
        <v>4500</v>
      </c>
      <c r="S188" s="229">
        <f>Product_Name[[#This Row],[Đơn giá
Unit Price]]*Product_Name[[#This Row],[Số lượng
Quantity]]</f>
        <v>90000</v>
      </c>
      <c r="T188" s="230">
        <v>44396</v>
      </c>
      <c r="U188" s="227">
        <v>44411</v>
      </c>
      <c r="V188" s="231">
        <v>44531</v>
      </c>
      <c r="W188" s="214" t="s">
        <v>2813</v>
      </c>
      <c r="X188" s="214" t="s">
        <v>16</v>
      </c>
      <c r="Y188" s="220"/>
      <c r="Z188" s="241" t="s">
        <v>328</v>
      </c>
      <c r="AA188" s="216"/>
      <c r="AB188" s="241"/>
      <c r="AC188" s="295"/>
    </row>
    <row r="189" spans="1:29" s="71" customFormat="1" ht="15.5" x14ac:dyDescent="0.35">
      <c r="A189" s="214">
        <v>3085</v>
      </c>
      <c r="B189" s="214" t="s">
        <v>1569</v>
      </c>
      <c r="C189" s="214">
        <v>3313</v>
      </c>
      <c r="D189" s="215" t="s">
        <v>110</v>
      </c>
      <c r="E189" s="215" t="s">
        <v>110</v>
      </c>
      <c r="F189" s="214" t="s">
        <v>110</v>
      </c>
      <c r="G189" s="214" t="s">
        <v>110</v>
      </c>
      <c r="H189" s="217" t="s">
        <v>942</v>
      </c>
      <c r="I189" s="217" t="s">
        <v>949</v>
      </c>
      <c r="J189" s="214" t="s">
        <v>956</v>
      </c>
      <c r="K189" s="214" t="s">
        <v>278</v>
      </c>
      <c r="L189" s="214" t="s">
        <v>278</v>
      </c>
      <c r="M189" s="211" t="s">
        <v>123</v>
      </c>
      <c r="N189" s="214" t="s">
        <v>14</v>
      </c>
      <c r="O189" s="214">
        <v>1</v>
      </c>
      <c r="P189" s="214" t="s">
        <v>1074</v>
      </c>
      <c r="Q189" s="223" t="s">
        <v>108</v>
      </c>
      <c r="R189" s="229">
        <v>100000</v>
      </c>
      <c r="S189" s="229">
        <f>Product_Name[[#This Row],[Đơn giá
Unit Price]]*Product_Name[[#This Row],[Số lượng
Quantity]]</f>
        <v>100000</v>
      </c>
      <c r="T189" s="230">
        <v>44396</v>
      </c>
      <c r="U189" s="227">
        <v>44411</v>
      </c>
      <c r="V189" s="231">
        <v>44531</v>
      </c>
      <c r="W189" s="214" t="s">
        <v>2813</v>
      </c>
      <c r="X189" s="214" t="s">
        <v>16</v>
      </c>
      <c r="Y189" s="220"/>
      <c r="Z189" s="241" t="s">
        <v>328</v>
      </c>
      <c r="AA189" s="216"/>
      <c r="AB189" s="241"/>
      <c r="AC189" s="295"/>
    </row>
    <row r="190" spans="1:29" s="71" customFormat="1" ht="15.5" x14ac:dyDescent="0.35">
      <c r="A190" s="214">
        <v>3086</v>
      </c>
      <c r="B190" s="214" t="s">
        <v>1149</v>
      </c>
      <c r="C190" s="214">
        <v>3314</v>
      </c>
      <c r="D190" s="215" t="s">
        <v>110</v>
      </c>
      <c r="E190" s="215" t="s">
        <v>110</v>
      </c>
      <c r="F190" s="214" t="s">
        <v>110</v>
      </c>
      <c r="G190" s="214" t="s">
        <v>110</v>
      </c>
      <c r="H190" s="217" t="s">
        <v>944</v>
      </c>
      <c r="I190" s="217" t="s">
        <v>951</v>
      </c>
      <c r="J190" s="214" t="s">
        <v>958</v>
      </c>
      <c r="K190" s="214"/>
      <c r="L190" s="211" t="s">
        <v>99</v>
      </c>
      <c r="M190" s="214" t="s">
        <v>826</v>
      </c>
      <c r="N190" s="214" t="s">
        <v>14</v>
      </c>
      <c r="O190" s="214">
        <v>2</v>
      </c>
      <c r="P190" s="214" t="s">
        <v>276</v>
      </c>
      <c r="Q190" s="223" t="s">
        <v>108</v>
      </c>
      <c r="R190" s="229">
        <v>701000</v>
      </c>
      <c r="S190" s="229">
        <f>Product_Name[[#This Row],[Đơn giá
Unit Price]]*Product_Name[[#This Row],[Số lượng
Quantity]]</f>
        <v>1402000</v>
      </c>
      <c r="T190" s="230">
        <v>44396</v>
      </c>
      <c r="U190" s="227">
        <v>44411</v>
      </c>
      <c r="V190" s="231">
        <v>44419</v>
      </c>
      <c r="W190" s="214" t="s">
        <v>2813</v>
      </c>
      <c r="X190" s="214" t="s">
        <v>16</v>
      </c>
      <c r="Y190" s="220"/>
      <c r="Z190" s="227"/>
      <c r="AA190" s="216"/>
      <c r="AB190" s="227"/>
      <c r="AC190" s="295"/>
    </row>
    <row r="191" spans="1:29" s="71" customFormat="1" ht="15.5" x14ac:dyDescent="0.35">
      <c r="A191" s="214">
        <v>3086</v>
      </c>
      <c r="B191" s="214" t="s">
        <v>1149</v>
      </c>
      <c r="C191" s="214">
        <v>3314</v>
      </c>
      <c r="D191" s="215" t="s">
        <v>110</v>
      </c>
      <c r="E191" s="215" t="s">
        <v>110</v>
      </c>
      <c r="F191" s="214" t="s">
        <v>110</v>
      </c>
      <c r="G191" s="214" t="s">
        <v>110</v>
      </c>
      <c r="H191" s="217" t="s">
        <v>945</v>
      </c>
      <c r="I191" s="217" t="s">
        <v>952</v>
      </c>
      <c r="J191" s="214" t="s">
        <v>959</v>
      </c>
      <c r="K191" s="214"/>
      <c r="L191" s="211" t="s">
        <v>99</v>
      </c>
      <c r="M191" s="214" t="s">
        <v>826</v>
      </c>
      <c r="N191" s="214" t="s">
        <v>14</v>
      </c>
      <c r="O191" s="214">
        <v>1</v>
      </c>
      <c r="P191" s="214" t="s">
        <v>276</v>
      </c>
      <c r="Q191" s="223" t="s">
        <v>108</v>
      </c>
      <c r="R191" s="229">
        <v>233000</v>
      </c>
      <c r="S191" s="229">
        <f>Product_Name[[#This Row],[Đơn giá
Unit Price]]*Product_Name[[#This Row],[Số lượng
Quantity]]</f>
        <v>233000</v>
      </c>
      <c r="T191" s="230">
        <v>44396</v>
      </c>
      <c r="U191" s="227">
        <v>44411</v>
      </c>
      <c r="V191" s="231">
        <v>44419</v>
      </c>
      <c r="W191" s="214" t="s">
        <v>2813</v>
      </c>
      <c r="X191" s="214" t="s">
        <v>16</v>
      </c>
      <c r="Y191" s="220"/>
      <c r="Z191" s="227"/>
      <c r="AA191" s="216"/>
      <c r="AB191" s="227"/>
      <c r="AC191" s="295"/>
    </row>
    <row r="192" spans="1:29" s="71" customFormat="1" ht="15.5" x14ac:dyDescent="0.35">
      <c r="A192" s="214">
        <v>3133</v>
      </c>
      <c r="B192" s="214" t="s">
        <v>1163</v>
      </c>
      <c r="C192" s="214">
        <v>3347</v>
      </c>
      <c r="D192" s="215" t="s">
        <v>110</v>
      </c>
      <c r="E192" s="215" t="s">
        <v>110</v>
      </c>
      <c r="F192" s="214" t="s">
        <v>110</v>
      </c>
      <c r="G192" s="214" t="s">
        <v>110</v>
      </c>
      <c r="H192" s="217" t="s">
        <v>1119</v>
      </c>
      <c r="I192" s="217" t="s">
        <v>941</v>
      </c>
      <c r="J192" s="214" t="s">
        <v>1120</v>
      </c>
      <c r="K192" s="214"/>
      <c r="L192" s="214" t="s">
        <v>326</v>
      </c>
      <c r="M192" s="214" t="s">
        <v>327</v>
      </c>
      <c r="N192" s="214" t="s">
        <v>14</v>
      </c>
      <c r="O192" s="214">
        <v>13</v>
      </c>
      <c r="P192" s="214" t="s">
        <v>48</v>
      </c>
      <c r="Q192" s="223" t="s">
        <v>108</v>
      </c>
      <c r="R192" s="229">
        <v>10000000</v>
      </c>
      <c r="S192" s="229">
        <f>Product_Name[[#This Row],[Đơn giá
Unit Price]]*Product_Name[[#This Row],[Số lượng
Quantity]]</f>
        <v>130000000</v>
      </c>
      <c r="T192" s="230">
        <v>44404</v>
      </c>
      <c r="U192" s="227">
        <v>44411</v>
      </c>
      <c r="V192" s="231">
        <v>44421</v>
      </c>
      <c r="W192" s="214" t="s">
        <v>2577</v>
      </c>
      <c r="X192" s="214" t="s">
        <v>16</v>
      </c>
      <c r="Y192" s="220"/>
      <c r="Z192" s="241" t="s">
        <v>328</v>
      </c>
      <c r="AA192" s="216"/>
      <c r="AB192" s="241"/>
      <c r="AC192" s="295"/>
    </row>
    <row r="193" spans="1:29" s="71" customFormat="1" ht="15.5" x14ac:dyDescent="0.35">
      <c r="A193" s="215" t="s">
        <v>110</v>
      </c>
      <c r="B193" s="214" t="s">
        <v>1207</v>
      </c>
      <c r="C193" s="215" t="s">
        <v>110</v>
      </c>
      <c r="D193" s="215">
        <v>1323</v>
      </c>
      <c r="E193" s="215">
        <v>3105</v>
      </c>
      <c r="F193" s="214" t="s">
        <v>110</v>
      </c>
      <c r="G193" s="214" t="s">
        <v>110</v>
      </c>
      <c r="H193" s="217" t="s">
        <v>1093</v>
      </c>
      <c r="I193" s="217" t="s">
        <v>994</v>
      </c>
      <c r="J193" s="214" t="s">
        <v>1094</v>
      </c>
      <c r="K193" s="214"/>
      <c r="L193" s="211" t="s">
        <v>99</v>
      </c>
      <c r="M193" s="214" t="s">
        <v>796</v>
      </c>
      <c r="N193" s="214" t="s">
        <v>642</v>
      </c>
      <c r="O193" s="214">
        <v>2</v>
      </c>
      <c r="P193" s="214" t="s">
        <v>37</v>
      </c>
      <c r="Q193" s="223" t="s">
        <v>108</v>
      </c>
      <c r="R193" s="229">
        <v>107000</v>
      </c>
      <c r="S193" s="229">
        <f>Product_Name[[#This Row],[Đơn giá
Unit Price]]*Product_Name[[#This Row],[Số lượng
Quantity]]</f>
        <v>214000</v>
      </c>
      <c r="T193" s="230">
        <v>44396</v>
      </c>
      <c r="U193" s="227">
        <v>44418</v>
      </c>
      <c r="V193" s="231">
        <v>44427</v>
      </c>
      <c r="W193" s="214" t="s">
        <v>21</v>
      </c>
      <c r="X193" s="214" t="s">
        <v>16</v>
      </c>
      <c r="Y193" s="220"/>
      <c r="Z193" s="227"/>
      <c r="AA193" s="216"/>
      <c r="AB193" s="227"/>
      <c r="AC193" s="295"/>
    </row>
    <row r="194" spans="1:29" s="71" customFormat="1" ht="15.5" x14ac:dyDescent="0.35">
      <c r="A194" s="215" t="s">
        <v>110</v>
      </c>
      <c r="B194" s="214" t="s">
        <v>1207</v>
      </c>
      <c r="C194" s="215" t="s">
        <v>110</v>
      </c>
      <c r="D194" s="215">
        <v>1323</v>
      </c>
      <c r="E194" s="215">
        <v>3105</v>
      </c>
      <c r="F194" s="214" t="s">
        <v>110</v>
      </c>
      <c r="G194" s="214" t="s">
        <v>110</v>
      </c>
      <c r="H194" s="217" t="s">
        <v>1093</v>
      </c>
      <c r="I194" s="217" t="s">
        <v>994</v>
      </c>
      <c r="J194" s="214" t="s">
        <v>1095</v>
      </c>
      <c r="K194" s="214"/>
      <c r="L194" s="211" t="s">
        <v>99</v>
      </c>
      <c r="M194" s="214" t="s">
        <v>796</v>
      </c>
      <c r="N194" s="214" t="s">
        <v>642</v>
      </c>
      <c r="O194" s="214">
        <v>2</v>
      </c>
      <c r="P194" s="214" t="s">
        <v>37</v>
      </c>
      <c r="Q194" s="223" t="s">
        <v>108</v>
      </c>
      <c r="R194" s="229">
        <v>107000</v>
      </c>
      <c r="S194" s="229">
        <f>Product_Name[[#This Row],[Đơn giá
Unit Price]]*Product_Name[[#This Row],[Số lượng
Quantity]]</f>
        <v>214000</v>
      </c>
      <c r="T194" s="230">
        <v>44396</v>
      </c>
      <c r="U194" s="227">
        <v>44418</v>
      </c>
      <c r="V194" s="231">
        <v>44427</v>
      </c>
      <c r="W194" s="214" t="s">
        <v>21</v>
      </c>
      <c r="X194" s="214" t="s">
        <v>16</v>
      </c>
      <c r="Y194" s="220"/>
      <c r="Z194" s="227"/>
      <c r="AA194" s="216"/>
      <c r="AB194" s="227"/>
      <c r="AC194" s="295"/>
    </row>
    <row r="195" spans="1:29" s="71" customFormat="1" ht="15.5" x14ac:dyDescent="0.35">
      <c r="A195" s="215" t="s">
        <v>110</v>
      </c>
      <c r="B195" s="214" t="s">
        <v>1207</v>
      </c>
      <c r="C195" s="215" t="s">
        <v>110</v>
      </c>
      <c r="D195" s="215">
        <v>1323</v>
      </c>
      <c r="E195" s="215">
        <v>3105</v>
      </c>
      <c r="F195" s="214" t="s">
        <v>110</v>
      </c>
      <c r="G195" s="214" t="s">
        <v>110</v>
      </c>
      <c r="H195" s="217" t="s">
        <v>1093</v>
      </c>
      <c r="I195" s="217" t="s">
        <v>994</v>
      </c>
      <c r="J195" s="214" t="s">
        <v>1096</v>
      </c>
      <c r="K195" s="214"/>
      <c r="L195" s="211" t="s">
        <v>99</v>
      </c>
      <c r="M195" s="214" t="s">
        <v>796</v>
      </c>
      <c r="N195" s="214" t="s">
        <v>642</v>
      </c>
      <c r="O195" s="214">
        <v>2</v>
      </c>
      <c r="P195" s="214" t="s">
        <v>37</v>
      </c>
      <c r="Q195" s="223" t="s">
        <v>108</v>
      </c>
      <c r="R195" s="229">
        <v>107000</v>
      </c>
      <c r="S195" s="229">
        <f>Product_Name[[#This Row],[Đơn giá
Unit Price]]*Product_Name[[#This Row],[Số lượng
Quantity]]</f>
        <v>214000</v>
      </c>
      <c r="T195" s="230">
        <v>44396</v>
      </c>
      <c r="U195" s="227">
        <v>44418</v>
      </c>
      <c r="V195" s="231">
        <v>44427</v>
      </c>
      <c r="W195" s="214" t="s">
        <v>21</v>
      </c>
      <c r="X195" s="214" t="s">
        <v>16</v>
      </c>
      <c r="Y195" s="220"/>
      <c r="Z195" s="227"/>
      <c r="AA195" s="216"/>
      <c r="AB195" s="227"/>
      <c r="AC195" s="295"/>
    </row>
    <row r="196" spans="1:29" s="71" customFormat="1" ht="15.5" x14ac:dyDescent="0.35">
      <c r="A196" s="214">
        <v>3110</v>
      </c>
      <c r="B196" s="214" t="s">
        <v>1147</v>
      </c>
      <c r="C196" s="214">
        <v>3318</v>
      </c>
      <c r="D196" s="215" t="s">
        <v>110</v>
      </c>
      <c r="E196" s="215" t="s">
        <v>110</v>
      </c>
      <c r="F196" s="214" t="s">
        <v>110</v>
      </c>
      <c r="G196" s="214" t="s">
        <v>110</v>
      </c>
      <c r="H196" s="217" t="s">
        <v>1097</v>
      </c>
      <c r="I196" s="217" t="s">
        <v>1098</v>
      </c>
      <c r="J196" s="214" t="s">
        <v>1099</v>
      </c>
      <c r="K196" s="214"/>
      <c r="L196" s="211" t="s">
        <v>99</v>
      </c>
      <c r="M196" s="211" t="s">
        <v>123</v>
      </c>
      <c r="N196" s="214" t="s">
        <v>14</v>
      </c>
      <c r="O196" s="214">
        <v>10</v>
      </c>
      <c r="P196" s="214" t="s">
        <v>719</v>
      </c>
      <c r="Q196" s="223" t="s">
        <v>108</v>
      </c>
      <c r="R196" s="229">
        <v>103000</v>
      </c>
      <c r="S196" s="229">
        <f>Product_Name[[#This Row],[Đơn giá
Unit Price]]*Product_Name[[#This Row],[Số lượng
Quantity]]</f>
        <v>1030000</v>
      </c>
      <c r="T196" s="230">
        <v>44397</v>
      </c>
      <c r="U196" s="227">
        <v>44411</v>
      </c>
      <c r="V196" s="231">
        <v>44419</v>
      </c>
      <c r="W196" s="214" t="s">
        <v>51</v>
      </c>
      <c r="X196" s="214" t="s">
        <v>16</v>
      </c>
      <c r="Y196" s="220"/>
      <c r="Z196" s="227"/>
      <c r="AA196" s="216" t="s">
        <v>2155</v>
      </c>
      <c r="AB196" s="227"/>
      <c r="AC196" s="295"/>
    </row>
    <row r="197" spans="1:29" s="71" customFormat="1" ht="15.5" x14ac:dyDescent="0.35">
      <c r="A197" s="214">
        <v>3125</v>
      </c>
      <c r="B197" s="214" t="s">
        <v>1384</v>
      </c>
      <c r="C197" s="214">
        <v>3336</v>
      </c>
      <c r="D197" s="215" t="s">
        <v>110</v>
      </c>
      <c r="E197" s="215" t="s">
        <v>110</v>
      </c>
      <c r="F197" s="214" t="s">
        <v>110</v>
      </c>
      <c r="G197" s="214" t="s">
        <v>110</v>
      </c>
      <c r="H197" s="217" t="s">
        <v>995</v>
      </c>
      <c r="I197" s="217" t="s">
        <v>997</v>
      </c>
      <c r="J197" s="214" t="s">
        <v>996</v>
      </c>
      <c r="K197" s="211" t="s">
        <v>176</v>
      </c>
      <c r="L197" s="214" t="s">
        <v>176</v>
      </c>
      <c r="M197" s="211" t="s">
        <v>123</v>
      </c>
      <c r="N197" s="214" t="s">
        <v>14</v>
      </c>
      <c r="O197" s="214">
        <v>30</v>
      </c>
      <c r="P197" s="214" t="s">
        <v>276</v>
      </c>
      <c r="Q197" s="223" t="s">
        <v>108</v>
      </c>
      <c r="R197" s="229">
        <v>149000</v>
      </c>
      <c r="S197" s="229">
        <f>Product_Name[[#This Row],[Đơn giá
Unit Price]]*Product_Name[[#This Row],[Số lượng
Quantity]]</f>
        <v>4470000</v>
      </c>
      <c r="T197" s="230">
        <v>44399</v>
      </c>
      <c r="U197" s="227">
        <v>44431</v>
      </c>
      <c r="V197" s="231">
        <v>44470</v>
      </c>
      <c r="W197" s="214" t="s">
        <v>2814</v>
      </c>
      <c r="X197" s="214" t="s">
        <v>16</v>
      </c>
      <c r="Y197" s="220"/>
      <c r="Z197" s="241" t="s">
        <v>328</v>
      </c>
      <c r="AA197" s="216"/>
      <c r="AB197" s="241"/>
      <c r="AC197" s="295"/>
    </row>
    <row r="198" spans="1:29" s="71" customFormat="1" ht="15.5" x14ac:dyDescent="0.35">
      <c r="A198" s="215" t="s">
        <v>110</v>
      </c>
      <c r="B198" s="214" t="s">
        <v>1144</v>
      </c>
      <c r="C198" s="215" t="s">
        <v>110</v>
      </c>
      <c r="D198" s="215">
        <v>1341</v>
      </c>
      <c r="E198" s="215">
        <v>3135</v>
      </c>
      <c r="F198" s="214" t="s">
        <v>110</v>
      </c>
      <c r="G198" s="214" t="s">
        <v>1110</v>
      </c>
      <c r="H198" s="217" t="s">
        <v>943</v>
      </c>
      <c r="I198" s="217" t="s">
        <v>950</v>
      </c>
      <c r="J198" s="214" t="s">
        <v>957</v>
      </c>
      <c r="K198" s="214"/>
      <c r="L198" s="211" t="s">
        <v>99</v>
      </c>
      <c r="M198" s="214" t="s">
        <v>796</v>
      </c>
      <c r="N198" s="214" t="s">
        <v>642</v>
      </c>
      <c r="O198" s="214">
        <v>1</v>
      </c>
      <c r="P198" s="214" t="s">
        <v>276</v>
      </c>
      <c r="Q198" s="223" t="s">
        <v>108</v>
      </c>
      <c r="R198" s="229">
        <v>5375000</v>
      </c>
      <c r="S198" s="229">
        <f>Product_Name[[#This Row],[Đơn giá
Unit Price]]*Product_Name[[#This Row],[Số lượng
Quantity]]</f>
        <v>5375000</v>
      </c>
      <c r="T198" s="230">
        <v>44403</v>
      </c>
      <c r="U198" s="227">
        <v>44414</v>
      </c>
      <c r="V198" s="231">
        <v>44419</v>
      </c>
      <c r="W198" s="214" t="s">
        <v>2813</v>
      </c>
      <c r="X198" s="214" t="s">
        <v>16</v>
      </c>
      <c r="Y198" s="220"/>
      <c r="Z198" s="216"/>
      <c r="AA198" s="216"/>
      <c r="AB198" s="227"/>
      <c r="AC198" s="295"/>
    </row>
    <row r="199" spans="1:29" s="71" customFormat="1" ht="15.5" x14ac:dyDescent="0.35">
      <c r="A199" s="214" t="s">
        <v>110</v>
      </c>
      <c r="B199" s="214" t="s">
        <v>1458</v>
      </c>
      <c r="C199" s="214" t="s">
        <v>110</v>
      </c>
      <c r="D199" s="215">
        <v>1342</v>
      </c>
      <c r="E199" s="215">
        <v>3136</v>
      </c>
      <c r="F199" s="214" t="s">
        <v>110</v>
      </c>
      <c r="G199" s="214" t="s">
        <v>1112</v>
      </c>
      <c r="H199" s="217" t="s">
        <v>946</v>
      </c>
      <c r="I199" s="217" t="s">
        <v>953</v>
      </c>
      <c r="J199" s="214" t="s">
        <v>960</v>
      </c>
      <c r="K199" s="214" t="s">
        <v>733</v>
      </c>
      <c r="L199" s="214" t="s">
        <v>733</v>
      </c>
      <c r="M199" s="214" t="s">
        <v>796</v>
      </c>
      <c r="N199" s="214" t="s">
        <v>642</v>
      </c>
      <c r="O199" s="214">
        <v>1</v>
      </c>
      <c r="P199" s="214" t="s">
        <v>276</v>
      </c>
      <c r="Q199" s="223" t="s">
        <v>108</v>
      </c>
      <c r="R199" s="229">
        <v>6350000</v>
      </c>
      <c r="S199" s="229">
        <f>Product_Name[[#This Row],[Đơn giá
Unit Price]]*Product_Name[[#This Row],[Số lượng
Quantity]]</f>
        <v>6350000</v>
      </c>
      <c r="T199" s="230">
        <v>44403</v>
      </c>
      <c r="U199" s="227">
        <v>44434</v>
      </c>
      <c r="V199" s="231">
        <v>44490</v>
      </c>
      <c r="W199" s="214" t="s">
        <v>2813</v>
      </c>
      <c r="X199" s="214" t="s">
        <v>16</v>
      </c>
      <c r="Y199" s="220"/>
      <c r="Z199" s="216"/>
      <c r="AA199" s="216"/>
      <c r="AB199" s="227"/>
      <c r="AC199" s="295"/>
    </row>
    <row r="200" spans="1:29" s="71" customFormat="1" ht="15.5" x14ac:dyDescent="0.35">
      <c r="A200" s="214" t="s">
        <v>110</v>
      </c>
      <c r="B200" s="214" t="s">
        <v>1458</v>
      </c>
      <c r="C200" s="214" t="s">
        <v>110</v>
      </c>
      <c r="D200" s="215">
        <v>1342</v>
      </c>
      <c r="E200" s="215">
        <v>3136</v>
      </c>
      <c r="F200" s="214" t="s">
        <v>110</v>
      </c>
      <c r="G200" s="214" t="s">
        <v>1112</v>
      </c>
      <c r="H200" s="217" t="s">
        <v>947</v>
      </c>
      <c r="I200" s="217" t="s">
        <v>954</v>
      </c>
      <c r="J200" s="214" t="s">
        <v>961</v>
      </c>
      <c r="K200" s="214" t="s">
        <v>733</v>
      </c>
      <c r="L200" s="214" t="s">
        <v>733</v>
      </c>
      <c r="M200" s="214" t="s">
        <v>796</v>
      </c>
      <c r="N200" s="214" t="s">
        <v>642</v>
      </c>
      <c r="O200" s="214">
        <v>1</v>
      </c>
      <c r="P200" s="214" t="s">
        <v>276</v>
      </c>
      <c r="Q200" s="223" t="s">
        <v>108</v>
      </c>
      <c r="R200" s="229">
        <v>8590000</v>
      </c>
      <c r="S200" s="229">
        <f>Product_Name[[#This Row],[Đơn giá
Unit Price]]*Product_Name[[#This Row],[Số lượng
Quantity]]</f>
        <v>8590000</v>
      </c>
      <c r="T200" s="230">
        <v>44403</v>
      </c>
      <c r="U200" s="227">
        <v>44434</v>
      </c>
      <c r="V200" s="231">
        <v>44490</v>
      </c>
      <c r="W200" s="214" t="s">
        <v>2813</v>
      </c>
      <c r="X200" s="214" t="s">
        <v>16</v>
      </c>
      <c r="Y200" s="220"/>
      <c r="Z200" s="216"/>
      <c r="AA200" s="216"/>
      <c r="AB200" s="227"/>
      <c r="AC200" s="295"/>
    </row>
    <row r="201" spans="1:29" s="71" customFormat="1" ht="15.5" x14ac:dyDescent="0.35">
      <c r="A201" s="214" t="s">
        <v>110</v>
      </c>
      <c r="B201" s="214" t="s">
        <v>1458</v>
      </c>
      <c r="C201" s="214" t="s">
        <v>110</v>
      </c>
      <c r="D201" s="215">
        <v>1342</v>
      </c>
      <c r="E201" s="215">
        <v>3136</v>
      </c>
      <c r="F201" s="214" t="s">
        <v>110</v>
      </c>
      <c r="G201" s="214" t="s">
        <v>1112</v>
      </c>
      <c r="H201" s="217" t="s">
        <v>948</v>
      </c>
      <c r="I201" s="217" t="s">
        <v>955</v>
      </c>
      <c r="J201" s="214" t="s">
        <v>962</v>
      </c>
      <c r="K201" s="214" t="s">
        <v>733</v>
      </c>
      <c r="L201" s="214" t="s">
        <v>733</v>
      </c>
      <c r="M201" s="214" t="s">
        <v>796</v>
      </c>
      <c r="N201" s="214" t="s">
        <v>642</v>
      </c>
      <c r="O201" s="214">
        <v>1</v>
      </c>
      <c r="P201" s="214" t="s">
        <v>276</v>
      </c>
      <c r="Q201" s="223" t="s">
        <v>108</v>
      </c>
      <c r="R201" s="229">
        <v>12750000</v>
      </c>
      <c r="S201" s="229">
        <f>Product_Name[[#This Row],[Đơn giá
Unit Price]]*Product_Name[[#This Row],[Số lượng
Quantity]]</f>
        <v>12750000</v>
      </c>
      <c r="T201" s="230">
        <v>44403</v>
      </c>
      <c r="U201" s="227">
        <v>44434</v>
      </c>
      <c r="V201" s="231">
        <v>44490</v>
      </c>
      <c r="W201" s="214" t="s">
        <v>2813</v>
      </c>
      <c r="X201" s="214" t="s">
        <v>16</v>
      </c>
      <c r="Y201" s="220"/>
      <c r="Z201" s="216"/>
      <c r="AA201" s="216"/>
      <c r="AB201" s="227"/>
      <c r="AC201" s="295"/>
    </row>
    <row r="202" spans="1:29" s="71" customFormat="1" ht="31" x14ac:dyDescent="0.35">
      <c r="A202" s="223" t="s">
        <v>1230</v>
      </c>
      <c r="B202" s="223" t="s">
        <v>1231</v>
      </c>
      <c r="C202" s="223" t="s">
        <v>1216</v>
      </c>
      <c r="D202" s="215" t="s">
        <v>110</v>
      </c>
      <c r="E202" s="215" t="s">
        <v>110</v>
      </c>
      <c r="F202" s="214" t="s">
        <v>110</v>
      </c>
      <c r="G202" s="214" t="s">
        <v>110</v>
      </c>
      <c r="H202" s="225" t="s">
        <v>1129</v>
      </c>
      <c r="I202" s="217" t="s">
        <v>1459</v>
      </c>
      <c r="J202" s="214" t="s">
        <v>1121</v>
      </c>
      <c r="K202" s="211" t="s">
        <v>321</v>
      </c>
      <c r="L202" s="211" t="s">
        <v>321</v>
      </c>
      <c r="M202" s="211" t="s">
        <v>795</v>
      </c>
      <c r="N202" s="214" t="s">
        <v>14</v>
      </c>
      <c r="O202" s="214">
        <v>2</v>
      </c>
      <c r="P202" s="214" t="s">
        <v>276</v>
      </c>
      <c r="Q202" s="223" t="s">
        <v>108</v>
      </c>
      <c r="R202" s="229">
        <v>800000</v>
      </c>
      <c r="S202" s="229">
        <f>Product_Name[[#This Row],[Đơn giá
Unit Price]]*Product_Name[[#This Row],[Số lượng
Quantity]]</f>
        <v>1600000</v>
      </c>
      <c r="T202" s="230">
        <v>44406</v>
      </c>
      <c r="U202" s="227">
        <v>44414</v>
      </c>
      <c r="V202" s="231">
        <v>44414</v>
      </c>
      <c r="W202" s="214" t="s">
        <v>2577</v>
      </c>
      <c r="X202" s="214" t="s">
        <v>16</v>
      </c>
      <c r="Y202" s="220"/>
      <c r="Z202" s="216"/>
      <c r="AA202" s="216"/>
      <c r="AB202" s="227"/>
      <c r="AC202" s="295"/>
    </row>
    <row r="203" spans="1:29" s="71" customFormat="1" ht="15.5" x14ac:dyDescent="0.35">
      <c r="A203" s="214">
        <v>3152</v>
      </c>
      <c r="B203" s="214" t="s">
        <v>1342</v>
      </c>
      <c r="C203" s="214">
        <v>3367</v>
      </c>
      <c r="D203" s="215" t="s">
        <v>110</v>
      </c>
      <c r="E203" s="215" t="s">
        <v>110</v>
      </c>
      <c r="F203" s="214" t="s">
        <v>110</v>
      </c>
      <c r="G203" s="214" t="s">
        <v>110</v>
      </c>
      <c r="H203" s="217" t="s">
        <v>1077</v>
      </c>
      <c r="I203" s="217" t="s">
        <v>1078</v>
      </c>
      <c r="J203" s="214" t="s">
        <v>1079</v>
      </c>
      <c r="K203" s="214" t="s">
        <v>733</v>
      </c>
      <c r="L203" s="214" t="s">
        <v>733</v>
      </c>
      <c r="M203" s="214" t="s">
        <v>124</v>
      </c>
      <c r="N203" s="214" t="s">
        <v>14</v>
      </c>
      <c r="O203" s="214">
        <v>2</v>
      </c>
      <c r="P203" s="214" t="s">
        <v>276</v>
      </c>
      <c r="Q203" s="223" t="s">
        <v>108</v>
      </c>
      <c r="R203" s="229">
        <v>780000</v>
      </c>
      <c r="S203" s="229">
        <f>Product_Name[[#This Row],[Đơn giá
Unit Price]]*Product_Name[[#This Row],[Số lượng
Quantity]]</f>
        <v>1560000</v>
      </c>
      <c r="T203" s="230">
        <v>44406</v>
      </c>
      <c r="U203" s="227">
        <v>44414</v>
      </c>
      <c r="V203" s="231">
        <v>44456</v>
      </c>
      <c r="W203" s="214" t="s">
        <v>2577</v>
      </c>
      <c r="X203" s="214" t="s">
        <v>16</v>
      </c>
      <c r="Y203" s="220"/>
      <c r="Z203" s="216"/>
      <c r="AA203" s="216"/>
      <c r="AB203" s="227"/>
      <c r="AC203" s="295"/>
    </row>
    <row r="204" spans="1:29" s="71" customFormat="1" ht="15.5" x14ac:dyDescent="0.35">
      <c r="A204" s="214" t="s">
        <v>110</v>
      </c>
      <c r="B204" s="214" t="s">
        <v>1413</v>
      </c>
      <c r="C204" s="214" t="s">
        <v>110</v>
      </c>
      <c r="D204" s="215">
        <v>1355</v>
      </c>
      <c r="E204" s="215">
        <v>3162</v>
      </c>
      <c r="F204" s="214" t="s">
        <v>110</v>
      </c>
      <c r="G204" s="214" t="s">
        <v>1122</v>
      </c>
      <c r="H204" s="217" t="s">
        <v>1103</v>
      </c>
      <c r="I204" s="217" t="s">
        <v>1105</v>
      </c>
      <c r="J204" s="214" t="s">
        <v>1107</v>
      </c>
      <c r="K204" s="214" t="s">
        <v>1281</v>
      </c>
      <c r="L204" s="214" t="s">
        <v>1281</v>
      </c>
      <c r="M204" s="214" t="s">
        <v>796</v>
      </c>
      <c r="N204" s="214" t="s">
        <v>642</v>
      </c>
      <c r="O204" s="214">
        <v>4</v>
      </c>
      <c r="P204" s="214" t="s">
        <v>276</v>
      </c>
      <c r="Q204" s="223" t="s">
        <v>108</v>
      </c>
      <c r="R204" s="229">
        <v>3255000</v>
      </c>
      <c r="S204" s="229">
        <f>Product_Name[[#This Row],[Đơn giá
Unit Price]]*Product_Name[[#This Row],[Số lượng
Quantity]]</f>
        <v>13020000</v>
      </c>
      <c r="T204" s="230">
        <v>44407</v>
      </c>
      <c r="U204" s="227">
        <v>44445</v>
      </c>
      <c r="V204" s="231">
        <v>44477</v>
      </c>
      <c r="W204" s="214" t="s">
        <v>2813</v>
      </c>
      <c r="X204" s="214" t="s">
        <v>16</v>
      </c>
      <c r="Y204" s="220"/>
      <c r="Z204" s="216"/>
      <c r="AA204" s="216"/>
      <c r="AB204" s="227"/>
      <c r="AC204" s="295"/>
    </row>
    <row r="205" spans="1:29" s="71" customFormat="1" ht="15.5" x14ac:dyDescent="0.35">
      <c r="A205" s="214" t="s">
        <v>110</v>
      </c>
      <c r="B205" s="214" t="s">
        <v>1413</v>
      </c>
      <c r="C205" s="214" t="s">
        <v>110</v>
      </c>
      <c r="D205" s="215">
        <v>1355</v>
      </c>
      <c r="E205" s="215">
        <v>3162</v>
      </c>
      <c r="F205" s="214" t="s">
        <v>110</v>
      </c>
      <c r="G205" s="214" t="s">
        <v>1122</v>
      </c>
      <c r="H205" s="217" t="s">
        <v>1104</v>
      </c>
      <c r="I205" s="217" t="s">
        <v>1106</v>
      </c>
      <c r="J205" s="214" t="s">
        <v>1108</v>
      </c>
      <c r="K205" s="214" t="s">
        <v>1281</v>
      </c>
      <c r="L205" s="214" t="s">
        <v>1281</v>
      </c>
      <c r="M205" s="214" t="s">
        <v>796</v>
      </c>
      <c r="N205" s="214" t="s">
        <v>642</v>
      </c>
      <c r="O205" s="214">
        <v>4</v>
      </c>
      <c r="P205" s="214" t="s">
        <v>276</v>
      </c>
      <c r="Q205" s="223" t="s">
        <v>108</v>
      </c>
      <c r="R205" s="229">
        <v>216000</v>
      </c>
      <c r="S205" s="229">
        <f>Product_Name[[#This Row],[Đơn giá
Unit Price]]*Product_Name[[#This Row],[Số lượng
Quantity]]</f>
        <v>864000</v>
      </c>
      <c r="T205" s="230">
        <v>44407</v>
      </c>
      <c r="U205" s="227">
        <v>44445</v>
      </c>
      <c r="V205" s="231">
        <v>44477</v>
      </c>
      <c r="W205" s="214" t="s">
        <v>2813</v>
      </c>
      <c r="X205" s="214" t="s">
        <v>16</v>
      </c>
      <c r="Y205" s="220"/>
      <c r="Z205" s="216"/>
      <c r="AA205" s="216"/>
      <c r="AB205" s="227"/>
      <c r="AC205" s="295"/>
    </row>
    <row r="206" spans="1:29" ht="15.5" x14ac:dyDescent="0.35">
      <c r="A206" s="211">
        <v>3188</v>
      </c>
      <c r="B206" s="214" t="s">
        <v>1425</v>
      </c>
      <c r="C206" s="211">
        <v>3424</v>
      </c>
      <c r="D206" s="215" t="s">
        <v>110</v>
      </c>
      <c r="E206" s="215" t="s">
        <v>110</v>
      </c>
      <c r="F206" s="214" t="s">
        <v>110</v>
      </c>
      <c r="G206" s="214" t="s">
        <v>110</v>
      </c>
      <c r="H206" s="216" t="s">
        <v>1080</v>
      </c>
      <c r="I206" s="217" t="s">
        <v>1081</v>
      </c>
      <c r="J206" s="211" t="s">
        <v>1088</v>
      </c>
      <c r="K206" s="211" t="s">
        <v>1426</v>
      </c>
      <c r="L206" s="211" t="s">
        <v>102</v>
      </c>
      <c r="M206" s="211" t="s">
        <v>123</v>
      </c>
      <c r="N206" s="214" t="s">
        <v>14</v>
      </c>
      <c r="O206" s="211">
        <v>3</v>
      </c>
      <c r="P206" s="211" t="s">
        <v>1092</v>
      </c>
      <c r="Q206" s="213" t="s">
        <v>108</v>
      </c>
      <c r="R206" s="218">
        <v>1450000</v>
      </c>
      <c r="S206" s="229">
        <f>Product_Name[[#This Row],[Đơn giá
Unit Price]]*Product_Name[[#This Row],[Số lượng
Quantity]]</f>
        <v>4350000</v>
      </c>
      <c r="T206" s="219">
        <v>44413</v>
      </c>
      <c r="U206" s="220">
        <v>44445</v>
      </c>
      <c r="V206" s="221">
        <v>44482</v>
      </c>
      <c r="W206" s="211" t="s">
        <v>2813</v>
      </c>
      <c r="X206" s="211" t="s">
        <v>16</v>
      </c>
      <c r="Y206" s="220"/>
      <c r="Z206" s="216"/>
      <c r="AA206" s="216"/>
      <c r="AB206" s="227"/>
      <c r="AC206" s="295"/>
    </row>
    <row r="207" spans="1:29" ht="15.5" x14ac:dyDescent="0.35">
      <c r="A207" s="211">
        <v>3188</v>
      </c>
      <c r="B207" s="214" t="s">
        <v>1425</v>
      </c>
      <c r="C207" s="211">
        <v>3424</v>
      </c>
      <c r="D207" s="215" t="s">
        <v>110</v>
      </c>
      <c r="E207" s="215" t="s">
        <v>110</v>
      </c>
      <c r="F207" s="214" t="s">
        <v>110</v>
      </c>
      <c r="G207" s="214" t="s">
        <v>110</v>
      </c>
      <c r="H207" s="216" t="s">
        <v>1082</v>
      </c>
      <c r="I207" s="217" t="s">
        <v>1083</v>
      </c>
      <c r="J207" s="211" t="s">
        <v>1089</v>
      </c>
      <c r="K207" s="211" t="s">
        <v>1426</v>
      </c>
      <c r="L207" s="211" t="s">
        <v>102</v>
      </c>
      <c r="M207" s="211" t="s">
        <v>123</v>
      </c>
      <c r="N207" s="214" t="s">
        <v>14</v>
      </c>
      <c r="O207" s="211">
        <v>3</v>
      </c>
      <c r="P207" s="211" t="s">
        <v>1092</v>
      </c>
      <c r="Q207" s="213" t="s">
        <v>108</v>
      </c>
      <c r="R207" s="218">
        <v>2039000</v>
      </c>
      <c r="S207" s="229">
        <f>Product_Name[[#This Row],[Đơn giá
Unit Price]]*Product_Name[[#This Row],[Số lượng
Quantity]]</f>
        <v>6117000</v>
      </c>
      <c r="T207" s="219">
        <v>44413</v>
      </c>
      <c r="U207" s="220">
        <v>44445</v>
      </c>
      <c r="V207" s="221">
        <v>44482</v>
      </c>
      <c r="W207" s="211" t="s">
        <v>2813</v>
      </c>
      <c r="X207" s="211" t="s">
        <v>16</v>
      </c>
      <c r="Y207" s="220"/>
      <c r="Z207" s="216"/>
      <c r="AA207" s="216"/>
      <c r="AB207" s="227"/>
      <c r="AC207" s="295"/>
    </row>
    <row r="208" spans="1:29" ht="15.5" x14ac:dyDescent="0.35">
      <c r="A208" s="211">
        <v>3188</v>
      </c>
      <c r="B208" s="214" t="s">
        <v>1425</v>
      </c>
      <c r="C208" s="211">
        <v>3424</v>
      </c>
      <c r="D208" s="215" t="s">
        <v>110</v>
      </c>
      <c r="E208" s="215" t="s">
        <v>110</v>
      </c>
      <c r="F208" s="214" t="s">
        <v>110</v>
      </c>
      <c r="G208" s="214" t="s">
        <v>110</v>
      </c>
      <c r="H208" s="216" t="s">
        <v>1084</v>
      </c>
      <c r="I208" s="217" t="s">
        <v>1085</v>
      </c>
      <c r="J208" s="211" t="s">
        <v>1090</v>
      </c>
      <c r="K208" s="211" t="s">
        <v>1426</v>
      </c>
      <c r="L208" s="211" t="s">
        <v>102</v>
      </c>
      <c r="M208" s="211" t="s">
        <v>123</v>
      </c>
      <c r="N208" s="214" t="s">
        <v>14</v>
      </c>
      <c r="O208" s="211">
        <v>3</v>
      </c>
      <c r="P208" s="211" t="s">
        <v>1092</v>
      </c>
      <c r="Q208" s="213" t="s">
        <v>108</v>
      </c>
      <c r="R208" s="218">
        <v>1806000</v>
      </c>
      <c r="S208" s="229">
        <f>Product_Name[[#This Row],[Đơn giá
Unit Price]]*Product_Name[[#This Row],[Số lượng
Quantity]]</f>
        <v>5418000</v>
      </c>
      <c r="T208" s="219">
        <v>44413</v>
      </c>
      <c r="U208" s="220">
        <v>44445</v>
      </c>
      <c r="V208" s="221">
        <v>44482</v>
      </c>
      <c r="W208" s="211" t="s">
        <v>2813</v>
      </c>
      <c r="X208" s="211" t="s">
        <v>16</v>
      </c>
      <c r="Y208" s="220"/>
      <c r="Z208" s="216"/>
      <c r="AA208" s="216"/>
      <c r="AB208" s="227"/>
      <c r="AC208" s="295"/>
    </row>
    <row r="209" spans="1:29" ht="15.5" x14ac:dyDescent="0.35">
      <c r="A209" s="211">
        <v>3188</v>
      </c>
      <c r="B209" s="214" t="s">
        <v>1425</v>
      </c>
      <c r="C209" s="211">
        <v>3424</v>
      </c>
      <c r="D209" s="215" t="s">
        <v>110</v>
      </c>
      <c r="E209" s="215" t="s">
        <v>110</v>
      </c>
      <c r="F209" s="214" t="s">
        <v>110</v>
      </c>
      <c r="G209" s="214" t="s">
        <v>110</v>
      </c>
      <c r="H209" s="216" t="s">
        <v>1086</v>
      </c>
      <c r="I209" s="217" t="s">
        <v>1087</v>
      </c>
      <c r="J209" s="211" t="s">
        <v>1091</v>
      </c>
      <c r="K209" s="211" t="s">
        <v>1426</v>
      </c>
      <c r="L209" s="211" t="s">
        <v>102</v>
      </c>
      <c r="M209" s="211" t="s">
        <v>123</v>
      </c>
      <c r="N209" s="214" t="s">
        <v>14</v>
      </c>
      <c r="O209" s="211">
        <v>3</v>
      </c>
      <c r="P209" s="211" t="s">
        <v>276</v>
      </c>
      <c r="Q209" s="213" t="s">
        <v>108</v>
      </c>
      <c r="R209" s="218">
        <v>774000</v>
      </c>
      <c r="S209" s="229">
        <f>Product_Name[[#This Row],[Đơn giá
Unit Price]]*Product_Name[[#This Row],[Số lượng
Quantity]]</f>
        <v>2322000</v>
      </c>
      <c r="T209" s="219">
        <v>44413</v>
      </c>
      <c r="U209" s="220">
        <v>44445</v>
      </c>
      <c r="V209" s="221">
        <v>44482</v>
      </c>
      <c r="W209" s="211" t="s">
        <v>2813</v>
      </c>
      <c r="X209" s="211" t="s">
        <v>16</v>
      </c>
      <c r="Y209" s="220"/>
      <c r="Z209" s="216"/>
      <c r="AA209" s="216"/>
      <c r="AB209" s="227"/>
      <c r="AC209" s="295"/>
    </row>
    <row r="210" spans="1:29" ht="15.5" x14ac:dyDescent="0.35">
      <c r="A210" s="211">
        <v>3189</v>
      </c>
      <c r="B210" s="214" t="s">
        <v>1417</v>
      </c>
      <c r="C210" s="211">
        <v>3425</v>
      </c>
      <c r="D210" s="215" t="s">
        <v>110</v>
      </c>
      <c r="E210" s="215" t="s">
        <v>110</v>
      </c>
      <c r="F210" s="214" t="s">
        <v>110</v>
      </c>
      <c r="G210" s="214" t="s">
        <v>110</v>
      </c>
      <c r="H210" s="216" t="s">
        <v>1127</v>
      </c>
      <c r="I210" s="217" t="s">
        <v>1114</v>
      </c>
      <c r="J210" s="211" t="s">
        <v>1113</v>
      </c>
      <c r="K210" s="211"/>
      <c r="L210" s="211" t="s">
        <v>1100</v>
      </c>
      <c r="M210" s="211" t="s">
        <v>123</v>
      </c>
      <c r="N210" s="214" t="s">
        <v>14</v>
      </c>
      <c r="O210" s="211">
        <v>3</v>
      </c>
      <c r="P210" s="211" t="s">
        <v>276</v>
      </c>
      <c r="Q210" s="213" t="s">
        <v>108</v>
      </c>
      <c r="R210" s="218">
        <v>1815000</v>
      </c>
      <c r="S210" s="229">
        <f>Product_Name[[#This Row],[Đơn giá
Unit Price]]*Product_Name[[#This Row],[Số lượng
Quantity]]</f>
        <v>5445000</v>
      </c>
      <c r="T210" s="219">
        <v>44413</v>
      </c>
      <c r="U210" s="220">
        <v>44445</v>
      </c>
      <c r="V210" s="221">
        <v>44481</v>
      </c>
      <c r="W210" s="211" t="s">
        <v>2813</v>
      </c>
      <c r="X210" s="211" t="s">
        <v>16</v>
      </c>
      <c r="Y210" s="220"/>
      <c r="Z210" s="216"/>
      <c r="AA210" s="216"/>
      <c r="AB210" s="227"/>
      <c r="AC210" s="295"/>
    </row>
    <row r="211" spans="1:29" ht="15.5" x14ac:dyDescent="0.35">
      <c r="A211" s="215" t="s">
        <v>110</v>
      </c>
      <c r="B211" s="214" t="s">
        <v>1324</v>
      </c>
      <c r="C211" s="215" t="s">
        <v>110</v>
      </c>
      <c r="D211" s="215">
        <v>1397</v>
      </c>
      <c r="E211" s="215">
        <v>3256</v>
      </c>
      <c r="F211" s="214" t="s">
        <v>110</v>
      </c>
      <c r="G211" s="211" t="s">
        <v>1133</v>
      </c>
      <c r="H211" s="216" t="s">
        <v>1070</v>
      </c>
      <c r="I211" s="217" t="s">
        <v>1062</v>
      </c>
      <c r="J211" s="211" t="s">
        <v>1066</v>
      </c>
      <c r="K211" s="211"/>
      <c r="L211" s="211" t="s">
        <v>99</v>
      </c>
      <c r="M211" s="214" t="s">
        <v>796</v>
      </c>
      <c r="N211" s="211" t="s">
        <v>642</v>
      </c>
      <c r="O211" s="211">
        <v>2</v>
      </c>
      <c r="P211" s="211" t="s">
        <v>276</v>
      </c>
      <c r="Q211" s="213" t="s">
        <v>108</v>
      </c>
      <c r="R211" s="218">
        <v>4407000</v>
      </c>
      <c r="S211" s="229">
        <f>Product_Name[[#This Row],[Đơn giá
Unit Price]]*Product_Name[[#This Row],[Số lượng
Quantity]]</f>
        <v>8814000</v>
      </c>
      <c r="T211" s="219">
        <v>44419</v>
      </c>
      <c r="U211" s="220">
        <v>44452</v>
      </c>
      <c r="V211" s="221">
        <v>44454</v>
      </c>
      <c r="W211" s="211" t="s">
        <v>2814</v>
      </c>
      <c r="X211" s="211" t="s">
        <v>16</v>
      </c>
      <c r="Y211" s="220"/>
      <c r="Z211" s="216"/>
      <c r="AA211" s="216"/>
      <c r="AB211" s="227"/>
      <c r="AC211" s="295"/>
    </row>
    <row r="212" spans="1:29" ht="15.5" x14ac:dyDescent="0.35">
      <c r="A212" s="215" t="s">
        <v>110</v>
      </c>
      <c r="B212" s="214" t="s">
        <v>1324</v>
      </c>
      <c r="C212" s="215" t="s">
        <v>110</v>
      </c>
      <c r="D212" s="215">
        <v>1397</v>
      </c>
      <c r="E212" s="215">
        <v>3256</v>
      </c>
      <c r="F212" s="211"/>
      <c r="G212" s="211" t="s">
        <v>1133</v>
      </c>
      <c r="H212" s="216" t="s">
        <v>1075</v>
      </c>
      <c r="I212" s="217" t="s">
        <v>1076</v>
      </c>
      <c r="J212" s="211" t="s">
        <v>1135</v>
      </c>
      <c r="K212" s="211"/>
      <c r="L212" s="211" t="s">
        <v>99</v>
      </c>
      <c r="M212" s="214" t="s">
        <v>796</v>
      </c>
      <c r="N212" s="211" t="s">
        <v>642</v>
      </c>
      <c r="O212" s="211">
        <v>3</v>
      </c>
      <c r="P212" s="211" t="s">
        <v>276</v>
      </c>
      <c r="Q212" s="213" t="s">
        <v>108</v>
      </c>
      <c r="R212" s="218">
        <v>2442000</v>
      </c>
      <c r="S212" s="229">
        <f>Product_Name[[#This Row],[Đơn giá
Unit Price]]*Product_Name[[#This Row],[Số lượng
Quantity]]</f>
        <v>7326000</v>
      </c>
      <c r="T212" s="219">
        <v>44419</v>
      </c>
      <c r="U212" s="220">
        <v>44452</v>
      </c>
      <c r="V212" s="221">
        <v>44454</v>
      </c>
      <c r="W212" s="211" t="s">
        <v>2814</v>
      </c>
      <c r="X212" s="211" t="s">
        <v>16</v>
      </c>
      <c r="Y212" s="220"/>
      <c r="Z212" s="216"/>
      <c r="AA212" s="216"/>
      <c r="AB212" s="227"/>
      <c r="AC212" s="295"/>
    </row>
    <row r="213" spans="1:29" ht="31" x14ac:dyDescent="0.35">
      <c r="A213" s="213" t="s">
        <v>1227</v>
      </c>
      <c r="B213" s="223" t="s">
        <v>1228</v>
      </c>
      <c r="C213" s="213" t="s">
        <v>1215</v>
      </c>
      <c r="D213" s="215" t="s">
        <v>110</v>
      </c>
      <c r="E213" s="215" t="s">
        <v>110</v>
      </c>
      <c r="F213" s="214" t="s">
        <v>110</v>
      </c>
      <c r="G213" s="214" t="s">
        <v>110</v>
      </c>
      <c r="H213" s="216" t="s">
        <v>1115</v>
      </c>
      <c r="I213" s="217" t="s">
        <v>1116</v>
      </c>
      <c r="J213" s="211" t="s">
        <v>1136</v>
      </c>
      <c r="K213" s="211" t="s">
        <v>321</v>
      </c>
      <c r="L213" s="211" t="s">
        <v>321</v>
      </c>
      <c r="M213" s="211" t="s">
        <v>795</v>
      </c>
      <c r="N213" s="211" t="s">
        <v>14</v>
      </c>
      <c r="O213" s="211">
        <v>2</v>
      </c>
      <c r="P213" s="211" t="s">
        <v>799</v>
      </c>
      <c r="Q213" s="213" t="s">
        <v>108</v>
      </c>
      <c r="R213" s="218">
        <v>4200000</v>
      </c>
      <c r="S213" s="229">
        <f>Product_Name[[#This Row],[Đơn giá
Unit Price]]*Product_Name[[#This Row],[Số lượng
Quantity]]</f>
        <v>8400000</v>
      </c>
      <c r="T213" s="219">
        <v>44415</v>
      </c>
      <c r="U213" s="220">
        <v>44421</v>
      </c>
      <c r="V213" s="221">
        <v>44421</v>
      </c>
      <c r="W213" s="214" t="s">
        <v>2577</v>
      </c>
      <c r="X213" s="211" t="s">
        <v>16</v>
      </c>
      <c r="Y213" s="220"/>
      <c r="Z213" s="216"/>
      <c r="AA213" s="216"/>
      <c r="AB213" s="227"/>
      <c r="AC213" s="295"/>
    </row>
    <row r="214" spans="1:29" ht="15.5" x14ac:dyDescent="0.35">
      <c r="A214" s="215" t="s">
        <v>110</v>
      </c>
      <c r="B214" s="214" t="s">
        <v>1217</v>
      </c>
      <c r="C214" s="215" t="s">
        <v>110</v>
      </c>
      <c r="D214" s="215">
        <v>1387</v>
      </c>
      <c r="E214" s="215">
        <v>3226</v>
      </c>
      <c r="F214" s="214" t="s">
        <v>110</v>
      </c>
      <c r="G214" s="214" t="s">
        <v>110</v>
      </c>
      <c r="H214" s="216" t="s">
        <v>1117</v>
      </c>
      <c r="I214" s="217" t="s">
        <v>1128</v>
      </c>
      <c r="J214" s="211" t="s">
        <v>1137</v>
      </c>
      <c r="K214" s="211"/>
      <c r="L214" s="211" t="s">
        <v>255</v>
      </c>
      <c r="M214" s="211" t="s">
        <v>1118</v>
      </c>
      <c r="N214" s="211" t="s">
        <v>642</v>
      </c>
      <c r="O214" s="211">
        <v>10</v>
      </c>
      <c r="P214" s="211" t="s">
        <v>276</v>
      </c>
      <c r="Q214" s="213" t="s">
        <v>108</v>
      </c>
      <c r="R214" s="218">
        <v>10000</v>
      </c>
      <c r="S214" s="229">
        <f>Product_Name[[#This Row],[Đơn giá
Unit Price]]*Product_Name[[#This Row],[Số lượng
Quantity]]</f>
        <v>100000</v>
      </c>
      <c r="T214" s="219">
        <v>44415</v>
      </c>
      <c r="U214" s="220">
        <v>44421</v>
      </c>
      <c r="V214" s="221">
        <v>44431</v>
      </c>
      <c r="W214" s="214" t="s">
        <v>2577</v>
      </c>
      <c r="X214" s="211" t="s">
        <v>16</v>
      </c>
      <c r="Y214" s="220"/>
      <c r="Z214" s="216"/>
      <c r="AA214" s="216"/>
      <c r="AB214" s="227"/>
      <c r="AC214" s="295"/>
    </row>
    <row r="215" spans="1:29" ht="15.5" x14ac:dyDescent="0.35">
      <c r="A215" s="211">
        <v>3234</v>
      </c>
      <c r="B215" s="214" t="s">
        <v>1428</v>
      </c>
      <c r="C215" s="211">
        <v>3471</v>
      </c>
      <c r="D215" s="215" t="s">
        <v>110</v>
      </c>
      <c r="E215" s="215" t="s">
        <v>110</v>
      </c>
      <c r="F215" s="214" t="s">
        <v>110</v>
      </c>
      <c r="G215" s="214" t="s">
        <v>110</v>
      </c>
      <c r="H215" s="216" t="s">
        <v>1123</v>
      </c>
      <c r="I215" s="217" t="s">
        <v>1141</v>
      </c>
      <c r="J215" s="211" t="s">
        <v>1142</v>
      </c>
      <c r="K215" s="211"/>
      <c r="L215" s="211" t="s">
        <v>102</v>
      </c>
      <c r="M215" s="211" t="s">
        <v>123</v>
      </c>
      <c r="N215" s="211" t="s">
        <v>14</v>
      </c>
      <c r="O215" s="211">
        <v>30</v>
      </c>
      <c r="P215" s="211" t="s">
        <v>1124</v>
      </c>
      <c r="Q215" s="213" t="s">
        <v>108</v>
      </c>
      <c r="R215" s="218">
        <v>800000</v>
      </c>
      <c r="S215" s="229">
        <f>Product_Name[[#This Row],[Đơn giá
Unit Price]]*Product_Name[[#This Row],[Số lượng
Quantity]]</f>
        <v>24000000</v>
      </c>
      <c r="T215" s="219">
        <v>44418</v>
      </c>
      <c r="U215" s="220">
        <v>44449</v>
      </c>
      <c r="V215" s="221">
        <v>44482</v>
      </c>
      <c r="W215" s="211" t="s">
        <v>2814</v>
      </c>
      <c r="X215" s="211" t="s">
        <v>16</v>
      </c>
      <c r="Y215" s="220"/>
      <c r="Z215" s="241" t="s">
        <v>328</v>
      </c>
      <c r="AA215" s="216" t="s">
        <v>2290</v>
      </c>
      <c r="AB215" s="242" t="s">
        <v>110</v>
      </c>
      <c r="AC215" s="295"/>
    </row>
    <row r="216" spans="1:29" ht="15.5" x14ac:dyDescent="0.35">
      <c r="A216" s="211">
        <v>3257</v>
      </c>
      <c r="B216" s="214" t="s">
        <v>1214</v>
      </c>
      <c r="C216" s="211">
        <v>3492</v>
      </c>
      <c r="D216" s="215" t="s">
        <v>110</v>
      </c>
      <c r="E216" s="215" t="s">
        <v>110</v>
      </c>
      <c r="F216" s="214" t="s">
        <v>110</v>
      </c>
      <c r="G216" s="214" t="s">
        <v>110</v>
      </c>
      <c r="H216" s="217" t="s">
        <v>1125</v>
      </c>
      <c r="I216" s="217" t="s">
        <v>1126</v>
      </c>
      <c r="J216" s="211" t="s">
        <v>1151</v>
      </c>
      <c r="K216" s="211"/>
      <c r="L216" s="211" t="s">
        <v>218</v>
      </c>
      <c r="M216" s="211" t="s">
        <v>123</v>
      </c>
      <c r="N216" s="211" t="s">
        <v>14</v>
      </c>
      <c r="O216" s="211">
        <v>4</v>
      </c>
      <c r="P216" s="211" t="s">
        <v>107</v>
      </c>
      <c r="Q216" s="213" t="s">
        <v>108</v>
      </c>
      <c r="R216" s="218">
        <v>1890000</v>
      </c>
      <c r="S216" s="229">
        <f>Product_Name[[#This Row],[Đơn giá
Unit Price]]*Product_Name[[#This Row],[Số lượng
Quantity]]</f>
        <v>7560000</v>
      </c>
      <c r="T216" s="219">
        <v>44420</v>
      </c>
      <c r="U216" s="220">
        <v>44428</v>
      </c>
      <c r="V216" s="221">
        <v>44431</v>
      </c>
      <c r="W216" s="211" t="s">
        <v>2813</v>
      </c>
      <c r="X216" s="211" t="s">
        <v>16</v>
      </c>
      <c r="Y216" s="220"/>
      <c r="Z216" s="241" t="s">
        <v>328</v>
      </c>
      <c r="AA216" s="216"/>
      <c r="AB216" s="241"/>
      <c r="AC216" s="295"/>
    </row>
    <row r="217" spans="1:29" ht="15.5" x14ac:dyDescent="0.35">
      <c r="A217" s="215" t="s">
        <v>110</v>
      </c>
      <c r="B217" s="214" t="s">
        <v>1233</v>
      </c>
      <c r="C217" s="215" t="s">
        <v>110</v>
      </c>
      <c r="D217" s="215">
        <v>1406</v>
      </c>
      <c r="E217" s="215">
        <v>3287</v>
      </c>
      <c r="F217" s="214" t="s">
        <v>1182</v>
      </c>
      <c r="G217" s="214" t="s">
        <v>1183</v>
      </c>
      <c r="H217" s="217" t="s">
        <v>991</v>
      </c>
      <c r="I217" s="217" t="s">
        <v>993</v>
      </c>
      <c r="J217" s="214" t="s">
        <v>992</v>
      </c>
      <c r="K217" s="214" t="s">
        <v>1184</v>
      </c>
      <c r="L217" s="214" t="s">
        <v>1184</v>
      </c>
      <c r="M217" s="214" t="s">
        <v>796</v>
      </c>
      <c r="N217" s="214" t="s">
        <v>642</v>
      </c>
      <c r="O217" s="214">
        <v>50</v>
      </c>
      <c r="P217" s="214" t="s">
        <v>276</v>
      </c>
      <c r="Q217" s="223" t="s">
        <v>108</v>
      </c>
      <c r="R217" s="229">
        <v>547000</v>
      </c>
      <c r="S217" s="229">
        <f>Product_Name[[#This Row],[Đơn giá
Unit Price]]*Product_Name[[#This Row],[Số lượng
Quantity]]</f>
        <v>27350000</v>
      </c>
      <c r="T217" s="230">
        <v>44426</v>
      </c>
      <c r="U217" s="227">
        <v>44433</v>
      </c>
      <c r="V217" s="231">
        <v>44436</v>
      </c>
      <c r="W217" s="214" t="s">
        <v>51</v>
      </c>
      <c r="X217" s="214" t="s">
        <v>16</v>
      </c>
      <c r="Y217" s="220"/>
      <c r="Z217" s="241"/>
      <c r="AA217" s="216"/>
      <c r="AB217" s="241"/>
      <c r="AC217" s="295"/>
    </row>
    <row r="218" spans="1:29" s="122" customFormat="1" ht="15.5" x14ac:dyDescent="0.35">
      <c r="A218" s="214" t="s">
        <v>110</v>
      </c>
      <c r="B218" s="214" t="s">
        <v>1469</v>
      </c>
      <c r="C218" s="214" t="s">
        <v>110</v>
      </c>
      <c r="D218" s="215">
        <v>1405</v>
      </c>
      <c r="E218" s="215">
        <v>3286</v>
      </c>
      <c r="F218" s="214" t="s">
        <v>1181</v>
      </c>
      <c r="G218" s="214" t="s">
        <v>1180</v>
      </c>
      <c r="H218" s="217" t="s">
        <v>735</v>
      </c>
      <c r="I218" s="217" t="s">
        <v>736</v>
      </c>
      <c r="J218" s="214" t="s">
        <v>737</v>
      </c>
      <c r="K218" s="214" t="s">
        <v>2959</v>
      </c>
      <c r="L218" s="214" t="s">
        <v>1100</v>
      </c>
      <c r="M218" s="214" t="s">
        <v>796</v>
      </c>
      <c r="N218" s="214" t="s">
        <v>642</v>
      </c>
      <c r="O218" s="214">
        <v>1</v>
      </c>
      <c r="P218" s="214" t="s">
        <v>276</v>
      </c>
      <c r="Q218" s="223" t="s">
        <v>108</v>
      </c>
      <c r="R218" s="229">
        <v>9700000</v>
      </c>
      <c r="S218" s="229">
        <f>Product_Name[[#This Row],[Đơn giá
Unit Price]]*Product_Name[[#This Row],[Số lượng
Quantity]]</f>
        <v>9700000</v>
      </c>
      <c r="T218" s="230">
        <v>44426</v>
      </c>
      <c r="U218" s="227">
        <v>44454</v>
      </c>
      <c r="V218" s="231">
        <v>44490</v>
      </c>
      <c r="W218" s="214" t="s">
        <v>2813</v>
      </c>
      <c r="X218" s="214" t="s">
        <v>16</v>
      </c>
      <c r="Y218" s="220"/>
      <c r="Z218" s="235"/>
      <c r="AA218" s="216"/>
      <c r="AB218" s="235"/>
      <c r="AC218" s="295"/>
    </row>
    <row r="219" spans="1:29" ht="15.5" x14ac:dyDescent="0.35">
      <c r="A219" s="211">
        <v>3304</v>
      </c>
      <c r="B219" s="214" t="s">
        <v>1348</v>
      </c>
      <c r="C219" s="211">
        <v>3551</v>
      </c>
      <c r="D219" s="215" t="s">
        <v>110</v>
      </c>
      <c r="E219" s="215" t="s">
        <v>110</v>
      </c>
      <c r="F219" s="214" t="s">
        <v>110</v>
      </c>
      <c r="G219" s="214" t="s">
        <v>110</v>
      </c>
      <c r="H219" s="216" t="s">
        <v>1202</v>
      </c>
      <c r="I219" s="217" t="s">
        <v>1203</v>
      </c>
      <c r="J219" s="211" t="s">
        <v>1201</v>
      </c>
      <c r="K219" s="211" t="s">
        <v>1150</v>
      </c>
      <c r="L219" s="211" t="s">
        <v>218</v>
      </c>
      <c r="M219" s="211" t="s">
        <v>123</v>
      </c>
      <c r="N219" s="211" t="s">
        <v>14</v>
      </c>
      <c r="O219" s="211">
        <v>100</v>
      </c>
      <c r="P219" s="211" t="s">
        <v>47</v>
      </c>
      <c r="Q219" s="213" t="s">
        <v>108</v>
      </c>
      <c r="R219" s="218">
        <v>40000</v>
      </c>
      <c r="S219" s="229">
        <f>Product_Name[[#This Row],[Đơn giá
Unit Price]]*Product_Name[[#This Row],[Số lượng
Quantity]]</f>
        <v>4000000</v>
      </c>
      <c r="T219" s="219">
        <v>44431</v>
      </c>
      <c r="U219" s="220">
        <v>44440</v>
      </c>
      <c r="V219" s="221">
        <v>44460</v>
      </c>
      <c r="W219" s="211" t="s">
        <v>2813</v>
      </c>
      <c r="X219" s="211" t="s">
        <v>16</v>
      </c>
      <c r="Y219" s="220"/>
      <c r="Z219" s="241" t="s">
        <v>328</v>
      </c>
      <c r="AA219" s="216"/>
      <c r="AB219" s="241"/>
      <c r="AC219" s="295"/>
    </row>
    <row r="220" spans="1:29" ht="15.5" x14ac:dyDescent="0.35">
      <c r="A220" s="211">
        <v>3323</v>
      </c>
      <c r="B220" s="214" t="s">
        <v>1395</v>
      </c>
      <c r="C220" s="211">
        <v>3572</v>
      </c>
      <c r="D220" s="215" t="s">
        <v>110</v>
      </c>
      <c r="E220" s="215" t="s">
        <v>110</v>
      </c>
      <c r="F220" s="214" t="s">
        <v>110</v>
      </c>
      <c r="G220" s="214" t="s">
        <v>110</v>
      </c>
      <c r="H220" s="216" t="s">
        <v>1171</v>
      </c>
      <c r="I220" s="217" t="s">
        <v>1172</v>
      </c>
      <c r="J220" s="211" t="s">
        <v>1173</v>
      </c>
      <c r="K220" s="211" t="s">
        <v>1153</v>
      </c>
      <c r="L220" s="211" t="s">
        <v>1153</v>
      </c>
      <c r="M220" s="211" t="s">
        <v>124</v>
      </c>
      <c r="N220" s="214" t="s">
        <v>14</v>
      </c>
      <c r="O220" s="211">
        <v>1</v>
      </c>
      <c r="P220" s="211" t="s">
        <v>276</v>
      </c>
      <c r="Q220" s="213" t="s">
        <v>108</v>
      </c>
      <c r="R220" s="218">
        <v>1500000</v>
      </c>
      <c r="S220" s="229">
        <f>Product_Name[[#This Row],[Đơn giá
Unit Price]]*Product_Name[[#This Row],[Số lượng
Quantity]]</f>
        <v>1500000</v>
      </c>
      <c r="T220" s="219">
        <v>44433</v>
      </c>
      <c r="U220" s="220">
        <v>44447</v>
      </c>
      <c r="V220" s="221">
        <v>44475</v>
      </c>
      <c r="W220" s="214" t="s">
        <v>2577</v>
      </c>
      <c r="X220" s="211" t="s">
        <v>16</v>
      </c>
      <c r="Y220" s="220"/>
      <c r="Z220" s="216"/>
      <c r="AA220" s="216"/>
      <c r="AB220" s="227"/>
      <c r="AC220" s="295"/>
    </row>
    <row r="221" spans="1:29" ht="15.5" x14ac:dyDescent="0.35">
      <c r="A221" s="211" t="s">
        <v>110</v>
      </c>
      <c r="B221" s="214" t="s">
        <v>1386</v>
      </c>
      <c r="C221" s="211" t="s">
        <v>110</v>
      </c>
      <c r="D221" s="215">
        <v>1427</v>
      </c>
      <c r="E221" s="215">
        <v>3329</v>
      </c>
      <c r="F221" s="214" t="s">
        <v>1208</v>
      </c>
      <c r="G221" s="214" t="s">
        <v>1219</v>
      </c>
      <c r="H221" s="217" t="s">
        <v>938</v>
      </c>
      <c r="I221" s="217" t="s">
        <v>937</v>
      </c>
      <c r="J221" s="214" t="s">
        <v>1152</v>
      </c>
      <c r="K221" s="211" t="s">
        <v>1153</v>
      </c>
      <c r="L221" s="214" t="s">
        <v>1153</v>
      </c>
      <c r="M221" s="214" t="s">
        <v>63</v>
      </c>
      <c r="N221" s="214" t="s">
        <v>642</v>
      </c>
      <c r="O221" s="214">
        <v>3</v>
      </c>
      <c r="P221" s="214" t="s">
        <v>37</v>
      </c>
      <c r="Q221" s="223" t="s">
        <v>108</v>
      </c>
      <c r="R221" s="229">
        <v>41800000</v>
      </c>
      <c r="S221" s="229">
        <f>Product_Name[[#This Row],[Đơn giá
Unit Price]]*Product_Name[[#This Row],[Số lượng
Quantity]]</f>
        <v>125400000</v>
      </c>
      <c r="T221" s="230">
        <v>44433</v>
      </c>
      <c r="U221" s="227">
        <v>44455</v>
      </c>
      <c r="V221" s="231">
        <v>44475</v>
      </c>
      <c r="W221" s="214" t="s">
        <v>2813</v>
      </c>
      <c r="X221" s="214" t="s">
        <v>16</v>
      </c>
      <c r="Y221" s="220"/>
      <c r="Z221" s="216"/>
      <c r="AA221" s="216"/>
      <c r="AB221" s="227"/>
      <c r="AC221" s="295"/>
    </row>
    <row r="222" spans="1:29" ht="15.5" x14ac:dyDescent="0.35">
      <c r="A222" s="211" t="s">
        <v>110</v>
      </c>
      <c r="B222" s="214" t="s">
        <v>1577</v>
      </c>
      <c r="C222" s="211" t="s">
        <v>110</v>
      </c>
      <c r="D222" s="215">
        <v>1429</v>
      </c>
      <c r="E222" s="215">
        <v>3327</v>
      </c>
      <c r="F222" s="214" t="s">
        <v>1209</v>
      </c>
      <c r="G222" s="214" t="s">
        <v>1220</v>
      </c>
      <c r="H222" s="217" t="s">
        <v>1223</v>
      </c>
      <c r="I222" s="217" t="s">
        <v>1178</v>
      </c>
      <c r="J222" s="214" t="s">
        <v>1222</v>
      </c>
      <c r="K222" s="214" t="s">
        <v>1179</v>
      </c>
      <c r="L222" s="214" t="s">
        <v>1179</v>
      </c>
      <c r="M222" s="214" t="s">
        <v>796</v>
      </c>
      <c r="N222" s="214" t="s">
        <v>642</v>
      </c>
      <c r="O222" s="214">
        <v>8</v>
      </c>
      <c r="P222" s="214" t="s">
        <v>44</v>
      </c>
      <c r="Q222" s="223" t="s">
        <v>108</v>
      </c>
      <c r="R222" s="229">
        <v>5200000</v>
      </c>
      <c r="S222" s="229">
        <f>Product_Name[[#This Row],[Đơn giá
Unit Price]]*Product_Name[[#This Row],[Số lượng
Quantity]]</f>
        <v>41600000</v>
      </c>
      <c r="T222" s="230">
        <v>44433</v>
      </c>
      <c r="U222" s="227">
        <v>44462</v>
      </c>
      <c r="V222" s="231">
        <v>44532</v>
      </c>
      <c r="W222" s="214" t="s">
        <v>2813</v>
      </c>
      <c r="X222" s="214" t="s">
        <v>16</v>
      </c>
      <c r="Y222" s="220"/>
      <c r="Z222" s="216"/>
      <c r="AA222" s="216"/>
      <c r="AB222" s="227"/>
      <c r="AC222" s="295"/>
    </row>
    <row r="223" spans="1:29" ht="15.5" x14ac:dyDescent="0.35">
      <c r="A223" s="211">
        <v>3328</v>
      </c>
      <c r="B223" s="214" t="s">
        <v>1351</v>
      </c>
      <c r="C223" s="211">
        <v>3576</v>
      </c>
      <c r="D223" s="215" t="s">
        <v>110</v>
      </c>
      <c r="E223" s="215" t="s">
        <v>110</v>
      </c>
      <c r="F223" s="214" t="s">
        <v>1210</v>
      </c>
      <c r="G223" s="214" t="s">
        <v>1221</v>
      </c>
      <c r="H223" s="217" t="s">
        <v>1176</v>
      </c>
      <c r="I223" s="217" t="s">
        <v>1175</v>
      </c>
      <c r="J223" s="214" t="s">
        <v>1174</v>
      </c>
      <c r="K223" s="211" t="s">
        <v>1177</v>
      </c>
      <c r="L223" s="211" t="s">
        <v>1177</v>
      </c>
      <c r="M223" s="211" t="s">
        <v>124</v>
      </c>
      <c r="N223" s="214" t="s">
        <v>14</v>
      </c>
      <c r="O223" s="214">
        <v>100</v>
      </c>
      <c r="P223" s="214" t="s">
        <v>276</v>
      </c>
      <c r="Q223" s="223" t="s">
        <v>108</v>
      </c>
      <c r="R223" s="229">
        <v>64000</v>
      </c>
      <c r="S223" s="229">
        <f>Product_Name[[#This Row],[Đơn giá
Unit Price]]*Product_Name[[#This Row],[Số lượng
Quantity]]</f>
        <v>6400000</v>
      </c>
      <c r="T223" s="230">
        <v>44433</v>
      </c>
      <c r="U223" s="227">
        <v>44455</v>
      </c>
      <c r="V223" s="231">
        <v>44461</v>
      </c>
      <c r="W223" s="214" t="s">
        <v>2813</v>
      </c>
      <c r="X223" s="214" t="s">
        <v>16</v>
      </c>
      <c r="Y223" s="220"/>
      <c r="Z223" s="216"/>
      <c r="AA223" s="216"/>
      <c r="AB223" s="227">
        <v>44791</v>
      </c>
      <c r="AC223" s="295"/>
    </row>
    <row r="224" spans="1:29" ht="15.5" x14ac:dyDescent="0.35">
      <c r="A224" s="211" t="s">
        <v>110</v>
      </c>
      <c r="B224" s="214" t="s">
        <v>1347</v>
      </c>
      <c r="C224" s="211" t="s">
        <v>110</v>
      </c>
      <c r="D224" s="215">
        <v>1430</v>
      </c>
      <c r="E224" s="215">
        <v>3332</v>
      </c>
      <c r="F224" s="211" t="s">
        <v>110</v>
      </c>
      <c r="G224" s="211" t="s">
        <v>110</v>
      </c>
      <c r="H224" s="216" t="s">
        <v>1045</v>
      </c>
      <c r="I224" s="217" t="s">
        <v>1055</v>
      </c>
      <c r="J224" s="211" t="s">
        <v>1225</v>
      </c>
      <c r="K224" s="211" t="s">
        <v>1226</v>
      </c>
      <c r="L224" s="211" t="s">
        <v>176</v>
      </c>
      <c r="M224" s="214" t="s">
        <v>796</v>
      </c>
      <c r="N224" s="211" t="s">
        <v>642</v>
      </c>
      <c r="O224" s="211">
        <v>1</v>
      </c>
      <c r="P224" s="211" t="s">
        <v>276</v>
      </c>
      <c r="Q224" s="223" t="s">
        <v>108</v>
      </c>
      <c r="R224" s="218">
        <v>1788000</v>
      </c>
      <c r="S224" s="229">
        <f>Product_Name[[#This Row],[Đơn giá
Unit Price]]*Product_Name[[#This Row],[Số lượng
Quantity]]</f>
        <v>1788000</v>
      </c>
      <c r="T224" s="219">
        <v>44434</v>
      </c>
      <c r="U224" s="220">
        <v>44463</v>
      </c>
      <c r="V224" s="221">
        <v>44459</v>
      </c>
      <c r="W224" s="211" t="s">
        <v>21</v>
      </c>
      <c r="X224" s="214" t="s">
        <v>16</v>
      </c>
      <c r="Y224" s="220">
        <v>44253</v>
      </c>
      <c r="Z224" s="216"/>
      <c r="AA224" s="216"/>
      <c r="AB224" s="227"/>
      <c r="AC224" s="295"/>
    </row>
    <row r="225" spans="1:29" ht="11.65" customHeight="1" x14ac:dyDescent="0.35">
      <c r="A225" s="211">
        <v>3357</v>
      </c>
      <c r="B225" s="214" t="s">
        <v>1298</v>
      </c>
      <c r="C225" s="211">
        <v>3605</v>
      </c>
      <c r="D225" s="215" t="s">
        <v>110</v>
      </c>
      <c r="E225" s="215" t="s">
        <v>110</v>
      </c>
      <c r="F225" s="214" t="s">
        <v>110</v>
      </c>
      <c r="G225" s="214" t="s">
        <v>110</v>
      </c>
      <c r="H225" s="216" t="s">
        <v>1016</v>
      </c>
      <c r="I225" s="217" t="s">
        <v>1017</v>
      </c>
      <c r="J225" s="211" t="s">
        <v>1018</v>
      </c>
      <c r="K225" s="211" t="s">
        <v>1237</v>
      </c>
      <c r="L225" s="211" t="s">
        <v>1238</v>
      </c>
      <c r="M225" s="211" t="s">
        <v>795</v>
      </c>
      <c r="N225" s="211" t="s">
        <v>14</v>
      </c>
      <c r="O225" s="211">
        <v>18</v>
      </c>
      <c r="P225" s="211" t="s">
        <v>1015</v>
      </c>
      <c r="Q225" s="213" t="s">
        <v>108</v>
      </c>
      <c r="R225" s="218">
        <v>248320</v>
      </c>
      <c r="S225" s="229">
        <f>Product_Name[[#This Row],[Đơn giá
Unit Price]]*Product_Name[[#This Row],[Số lượng
Quantity]]</f>
        <v>4469760</v>
      </c>
      <c r="T225" s="219">
        <v>44438</v>
      </c>
      <c r="U225" s="220">
        <v>44459</v>
      </c>
      <c r="V225" s="221">
        <v>44449</v>
      </c>
      <c r="W225" s="214" t="s">
        <v>2577</v>
      </c>
      <c r="X225" s="214" t="s">
        <v>16</v>
      </c>
      <c r="Y225" s="220"/>
      <c r="Z225" s="216"/>
      <c r="AA225" s="216"/>
      <c r="AB225" s="227"/>
      <c r="AC225" s="295"/>
    </row>
    <row r="226" spans="1:29" ht="15.5" x14ac:dyDescent="0.35">
      <c r="A226" s="211">
        <v>3357</v>
      </c>
      <c r="B226" s="214" t="s">
        <v>1298</v>
      </c>
      <c r="C226" s="211">
        <v>3605</v>
      </c>
      <c r="D226" s="215" t="s">
        <v>110</v>
      </c>
      <c r="E226" s="215" t="s">
        <v>110</v>
      </c>
      <c r="F226" s="214" t="s">
        <v>110</v>
      </c>
      <c r="G226" s="214" t="s">
        <v>110</v>
      </c>
      <c r="H226" s="216" t="s">
        <v>1019</v>
      </c>
      <c r="I226" s="217" t="s">
        <v>1020</v>
      </c>
      <c r="J226" s="211" t="s">
        <v>1235</v>
      </c>
      <c r="K226" s="211" t="s">
        <v>1237</v>
      </c>
      <c r="L226" s="211" t="s">
        <v>1238</v>
      </c>
      <c r="M226" s="211" t="s">
        <v>795</v>
      </c>
      <c r="N226" s="211" t="s">
        <v>14</v>
      </c>
      <c r="O226" s="211">
        <v>18</v>
      </c>
      <c r="P226" s="211" t="s">
        <v>1015</v>
      </c>
      <c r="Q226" s="213" t="s">
        <v>108</v>
      </c>
      <c r="R226" s="218">
        <v>776000</v>
      </c>
      <c r="S226" s="229">
        <f>Product_Name[[#This Row],[Đơn giá
Unit Price]]*Product_Name[[#This Row],[Số lượng
Quantity]]</f>
        <v>13968000</v>
      </c>
      <c r="T226" s="219">
        <v>44438</v>
      </c>
      <c r="U226" s="220">
        <v>44459</v>
      </c>
      <c r="V226" s="221">
        <v>44449</v>
      </c>
      <c r="W226" s="214" t="s">
        <v>2577</v>
      </c>
      <c r="X226" s="214" t="s">
        <v>16</v>
      </c>
      <c r="Y226" s="220"/>
      <c r="Z226" s="216"/>
      <c r="AA226" s="216"/>
      <c r="AB226" s="227"/>
      <c r="AC226" s="295"/>
    </row>
    <row r="227" spans="1:29" ht="15.5" x14ac:dyDescent="0.35">
      <c r="A227" s="211">
        <v>3357</v>
      </c>
      <c r="B227" s="214" t="s">
        <v>1298</v>
      </c>
      <c r="C227" s="211">
        <v>3605</v>
      </c>
      <c r="D227" s="215" t="s">
        <v>110</v>
      </c>
      <c r="E227" s="215" t="s">
        <v>110</v>
      </c>
      <c r="F227" s="214" t="s">
        <v>110</v>
      </c>
      <c r="G227" s="214" t="s">
        <v>110</v>
      </c>
      <c r="H227" s="216" t="s">
        <v>1021</v>
      </c>
      <c r="I227" s="217" t="s">
        <v>1022</v>
      </c>
      <c r="J227" s="211" t="s">
        <v>1023</v>
      </c>
      <c r="K227" s="211" t="s">
        <v>1237</v>
      </c>
      <c r="L227" s="211" t="s">
        <v>1238</v>
      </c>
      <c r="M227" s="211" t="s">
        <v>795</v>
      </c>
      <c r="N227" s="211" t="s">
        <v>14</v>
      </c>
      <c r="O227" s="211">
        <v>5</v>
      </c>
      <c r="P227" s="211" t="s">
        <v>1015</v>
      </c>
      <c r="Q227" s="213" t="s">
        <v>108</v>
      </c>
      <c r="R227" s="218">
        <v>2056400</v>
      </c>
      <c r="S227" s="229">
        <f>Product_Name[[#This Row],[Đơn giá
Unit Price]]*Product_Name[[#This Row],[Số lượng
Quantity]]</f>
        <v>10282000</v>
      </c>
      <c r="T227" s="219">
        <v>44438</v>
      </c>
      <c r="U227" s="220">
        <v>44459</v>
      </c>
      <c r="V227" s="221">
        <v>44449</v>
      </c>
      <c r="W227" s="214" t="s">
        <v>2577</v>
      </c>
      <c r="X227" s="214" t="s">
        <v>16</v>
      </c>
      <c r="Y227" s="220"/>
      <c r="Z227" s="216"/>
      <c r="AA227" s="216"/>
      <c r="AB227" s="227"/>
      <c r="AC227" s="295"/>
    </row>
    <row r="228" spans="1:29" ht="15.5" x14ac:dyDescent="0.35">
      <c r="A228" s="211">
        <v>3357</v>
      </c>
      <c r="B228" s="214" t="s">
        <v>1298</v>
      </c>
      <c r="C228" s="211">
        <v>3605</v>
      </c>
      <c r="D228" s="215" t="s">
        <v>110</v>
      </c>
      <c r="E228" s="215" t="s">
        <v>110</v>
      </c>
      <c r="F228" s="214" t="s">
        <v>110</v>
      </c>
      <c r="G228" s="214" t="s">
        <v>110</v>
      </c>
      <c r="H228" s="216" t="s">
        <v>1024</v>
      </c>
      <c r="I228" s="217" t="s">
        <v>1025</v>
      </c>
      <c r="J228" s="211" t="s">
        <v>1026</v>
      </c>
      <c r="K228" s="211" t="s">
        <v>1237</v>
      </c>
      <c r="L228" s="211" t="s">
        <v>1238</v>
      </c>
      <c r="M228" s="211" t="s">
        <v>795</v>
      </c>
      <c r="N228" s="211" t="s">
        <v>14</v>
      </c>
      <c r="O228" s="211">
        <v>5</v>
      </c>
      <c r="P228" s="211" t="s">
        <v>1015</v>
      </c>
      <c r="Q228" s="213" t="s">
        <v>108</v>
      </c>
      <c r="R228" s="218">
        <v>2390080</v>
      </c>
      <c r="S228" s="229">
        <f>Product_Name[[#This Row],[Đơn giá
Unit Price]]*Product_Name[[#This Row],[Số lượng
Quantity]]</f>
        <v>11950400</v>
      </c>
      <c r="T228" s="219">
        <v>44438</v>
      </c>
      <c r="U228" s="220">
        <v>44459</v>
      </c>
      <c r="V228" s="221">
        <v>44449</v>
      </c>
      <c r="W228" s="214" t="s">
        <v>2577</v>
      </c>
      <c r="X228" s="214" t="s">
        <v>16</v>
      </c>
      <c r="Y228" s="220"/>
      <c r="Z228" s="216"/>
      <c r="AA228" s="216"/>
      <c r="AB228" s="227"/>
      <c r="AC228" s="295"/>
    </row>
    <row r="229" spans="1:29" ht="11.65" customHeight="1" x14ac:dyDescent="0.35">
      <c r="A229" s="211">
        <v>3357</v>
      </c>
      <c r="B229" s="214" t="s">
        <v>1298</v>
      </c>
      <c r="C229" s="211">
        <v>3605</v>
      </c>
      <c r="D229" s="215" t="s">
        <v>110</v>
      </c>
      <c r="E229" s="215" t="s">
        <v>110</v>
      </c>
      <c r="F229" s="214" t="s">
        <v>110</v>
      </c>
      <c r="G229" s="214" t="s">
        <v>110</v>
      </c>
      <c r="H229" s="216" t="s">
        <v>1027</v>
      </c>
      <c r="I229" s="217" t="s">
        <v>1028</v>
      </c>
      <c r="J229" s="211" t="s">
        <v>1029</v>
      </c>
      <c r="K229" s="211" t="s">
        <v>1237</v>
      </c>
      <c r="L229" s="211" t="s">
        <v>1238</v>
      </c>
      <c r="M229" s="211" t="s">
        <v>795</v>
      </c>
      <c r="N229" s="211" t="s">
        <v>14</v>
      </c>
      <c r="O229" s="211">
        <v>20</v>
      </c>
      <c r="P229" s="211" t="s">
        <v>798</v>
      </c>
      <c r="Q229" s="213" t="s">
        <v>108</v>
      </c>
      <c r="R229" s="218">
        <v>181390</v>
      </c>
      <c r="S229" s="229">
        <f>Product_Name[[#This Row],[Đơn giá
Unit Price]]*Product_Name[[#This Row],[Số lượng
Quantity]]</f>
        <v>3627800</v>
      </c>
      <c r="T229" s="219">
        <v>44438</v>
      </c>
      <c r="U229" s="220">
        <v>44459</v>
      </c>
      <c r="V229" s="221">
        <v>44449</v>
      </c>
      <c r="W229" s="214" t="s">
        <v>2577</v>
      </c>
      <c r="X229" s="214" t="s">
        <v>16</v>
      </c>
      <c r="Y229" s="220"/>
      <c r="Z229" s="216"/>
      <c r="AA229" s="216"/>
      <c r="AB229" s="227"/>
      <c r="AC229" s="295"/>
    </row>
    <row r="230" spans="1:29" ht="15.5" x14ac:dyDescent="0.35">
      <c r="A230" s="211">
        <v>3357</v>
      </c>
      <c r="B230" s="214" t="s">
        <v>1298</v>
      </c>
      <c r="C230" s="211">
        <v>3605</v>
      </c>
      <c r="D230" s="215" t="s">
        <v>110</v>
      </c>
      <c r="E230" s="215" t="s">
        <v>110</v>
      </c>
      <c r="F230" s="214" t="s">
        <v>110</v>
      </c>
      <c r="G230" s="214" t="s">
        <v>110</v>
      </c>
      <c r="H230" s="216" t="s">
        <v>1240</v>
      </c>
      <c r="I230" s="217" t="s">
        <v>1239</v>
      </c>
      <c r="J230" s="211" t="s">
        <v>1236</v>
      </c>
      <c r="K230" s="211" t="s">
        <v>1237</v>
      </c>
      <c r="L230" s="211" t="s">
        <v>1238</v>
      </c>
      <c r="M230" s="211" t="s">
        <v>795</v>
      </c>
      <c r="N230" s="211" t="s">
        <v>14</v>
      </c>
      <c r="O230" s="211">
        <v>20</v>
      </c>
      <c r="P230" s="211" t="s">
        <v>798</v>
      </c>
      <c r="Q230" s="213" t="s">
        <v>108</v>
      </c>
      <c r="R230" s="218">
        <v>82450</v>
      </c>
      <c r="S230" s="229">
        <f>Product_Name[[#This Row],[Đơn giá
Unit Price]]*Product_Name[[#This Row],[Số lượng
Quantity]]</f>
        <v>1649000</v>
      </c>
      <c r="T230" s="219">
        <v>44438</v>
      </c>
      <c r="U230" s="220">
        <v>44459</v>
      </c>
      <c r="V230" s="221">
        <v>44449</v>
      </c>
      <c r="W230" s="214" t="s">
        <v>2577</v>
      </c>
      <c r="X230" s="214" t="s">
        <v>16</v>
      </c>
      <c r="Y230" s="220"/>
      <c r="Z230" s="216"/>
      <c r="AA230" s="216"/>
      <c r="AB230" s="227"/>
      <c r="AC230" s="295"/>
    </row>
    <row r="231" spans="1:29" ht="15.5" x14ac:dyDescent="0.35">
      <c r="A231" s="211">
        <v>3357</v>
      </c>
      <c r="B231" s="214" t="s">
        <v>1298</v>
      </c>
      <c r="C231" s="211">
        <v>3605</v>
      </c>
      <c r="D231" s="215" t="s">
        <v>110</v>
      </c>
      <c r="E231" s="215" t="s">
        <v>110</v>
      </c>
      <c r="F231" s="214" t="s">
        <v>110</v>
      </c>
      <c r="G231" s="214" t="s">
        <v>110</v>
      </c>
      <c r="H231" s="216" t="s">
        <v>1033</v>
      </c>
      <c r="I231" s="217" t="s">
        <v>1034</v>
      </c>
      <c r="J231" s="211" t="s">
        <v>1035</v>
      </c>
      <c r="K231" s="211" t="s">
        <v>1237</v>
      </c>
      <c r="L231" s="211" t="s">
        <v>1238</v>
      </c>
      <c r="M231" s="211" t="s">
        <v>795</v>
      </c>
      <c r="N231" s="211" t="s">
        <v>14</v>
      </c>
      <c r="O231" s="211">
        <v>40</v>
      </c>
      <c r="P231" s="211" t="s">
        <v>798</v>
      </c>
      <c r="Q231" s="213" t="s">
        <v>108</v>
      </c>
      <c r="R231" s="218">
        <v>79540</v>
      </c>
      <c r="S231" s="229">
        <f>Product_Name[[#This Row],[Đơn giá
Unit Price]]*Product_Name[[#This Row],[Số lượng
Quantity]]</f>
        <v>3181600</v>
      </c>
      <c r="T231" s="219">
        <v>44438</v>
      </c>
      <c r="U231" s="220">
        <v>44459</v>
      </c>
      <c r="V231" s="221">
        <v>44449</v>
      </c>
      <c r="W231" s="214" t="s">
        <v>2577</v>
      </c>
      <c r="X231" s="214" t="s">
        <v>16</v>
      </c>
      <c r="Y231" s="220"/>
      <c r="Z231" s="216"/>
      <c r="AA231" s="216"/>
      <c r="AB231" s="227"/>
      <c r="AC231" s="295"/>
    </row>
    <row r="232" spans="1:29" ht="15.5" x14ac:dyDescent="0.35">
      <c r="A232" s="211">
        <v>3358</v>
      </c>
      <c r="B232" s="214" t="s">
        <v>1296</v>
      </c>
      <c r="C232" s="211">
        <v>3607</v>
      </c>
      <c r="D232" s="215" t="s">
        <v>110</v>
      </c>
      <c r="E232" s="215" t="s">
        <v>110</v>
      </c>
      <c r="F232" s="215" t="s">
        <v>110</v>
      </c>
      <c r="G232" s="215" t="s">
        <v>110</v>
      </c>
      <c r="H232" s="216" t="s">
        <v>717</v>
      </c>
      <c r="I232" s="217" t="s">
        <v>1489</v>
      </c>
      <c r="J232" s="211" t="s">
        <v>2966</v>
      </c>
      <c r="K232" s="211" t="s">
        <v>1241</v>
      </c>
      <c r="L232" s="211" t="s">
        <v>718</v>
      </c>
      <c r="M232" s="211" t="s">
        <v>327</v>
      </c>
      <c r="N232" s="211" t="s">
        <v>14</v>
      </c>
      <c r="O232" s="211">
        <v>40</v>
      </c>
      <c r="P232" s="211" t="s">
        <v>719</v>
      </c>
      <c r="Q232" s="213" t="s">
        <v>108</v>
      </c>
      <c r="R232" s="218">
        <v>422500</v>
      </c>
      <c r="S232" s="229">
        <f>Product_Name[[#This Row],[Đơn giá
Unit Price]]*Product_Name[[#This Row],[Số lượng
Quantity]]</f>
        <v>16900000</v>
      </c>
      <c r="T232" s="230">
        <v>44439</v>
      </c>
      <c r="U232" s="220">
        <v>44446</v>
      </c>
      <c r="V232" s="221">
        <v>44449</v>
      </c>
      <c r="W232" s="214" t="s">
        <v>21</v>
      </c>
      <c r="X232" s="211" t="s">
        <v>16</v>
      </c>
      <c r="Y232" s="220"/>
      <c r="Z232" s="216" t="s">
        <v>328</v>
      </c>
      <c r="AA232" s="216" t="s">
        <v>2076</v>
      </c>
      <c r="AB232" s="227"/>
      <c r="AC232" s="295"/>
    </row>
    <row r="233" spans="1:29" ht="15.5" x14ac:dyDescent="0.35">
      <c r="A233" s="214">
        <v>3382</v>
      </c>
      <c r="B233" s="214" t="s">
        <v>1401</v>
      </c>
      <c r="C233" s="214">
        <v>3614</v>
      </c>
      <c r="D233" s="215" t="s">
        <v>110</v>
      </c>
      <c r="E233" s="215" t="s">
        <v>110</v>
      </c>
      <c r="F233" s="215" t="s">
        <v>110</v>
      </c>
      <c r="G233" s="215" t="s">
        <v>110</v>
      </c>
      <c r="H233" s="217" t="s">
        <v>1213</v>
      </c>
      <c r="I233" s="217" t="s">
        <v>1400</v>
      </c>
      <c r="J233" s="214" t="s">
        <v>1211</v>
      </c>
      <c r="K233" s="214" t="s">
        <v>1212</v>
      </c>
      <c r="L233" s="211" t="s">
        <v>99</v>
      </c>
      <c r="M233" s="211" t="s">
        <v>123</v>
      </c>
      <c r="N233" s="214" t="s">
        <v>14</v>
      </c>
      <c r="O233" s="214">
        <v>10</v>
      </c>
      <c r="P233" s="211" t="s">
        <v>276</v>
      </c>
      <c r="Q233" s="223" t="s">
        <v>108</v>
      </c>
      <c r="R233" s="229">
        <v>117000</v>
      </c>
      <c r="S233" s="229">
        <f>Product_Name[[#This Row],[Đơn giá
Unit Price]]*Product_Name[[#This Row],[Số lượng
Quantity]]</f>
        <v>1170000</v>
      </c>
      <c r="T233" s="230">
        <v>44440</v>
      </c>
      <c r="U233" s="227">
        <v>44473</v>
      </c>
      <c r="V233" s="231">
        <v>44477</v>
      </c>
      <c r="W233" s="214" t="s">
        <v>51</v>
      </c>
      <c r="X233" s="214" t="s">
        <v>16</v>
      </c>
      <c r="Y233" s="220"/>
      <c r="Z233" s="216"/>
      <c r="AA233" s="216"/>
      <c r="AB233" s="227"/>
      <c r="AC233" s="295"/>
    </row>
    <row r="234" spans="1:29" ht="15.5" x14ac:dyDescent="0.35">
      <c r="A234" s="211" t="s">
        <v>110</v>
      </c>
      <c r="B234" s="214" t="s">
        <v>1780</v>
      </c>
      <c r="C234" s="211"/>
      <c r="D234" s="215">
        <v>1448</v>
      </c>
      <c r="E234" s="215">
        <v>3377</v>
      </c>
      <c r="F234" s="211" t="s">
        <v>1261</v>
      </c>
      <c r="G234" s="211" t="s">
        <v>1260</v>
      </c>
      <c r="H234" s="217" t="s">
        <v>1198</v>
      </c>
      <c r="I234" s="217" t="s">
        <v>1199</v>
      </c>
      <c r="J234" s="211" t="s">
        <v>1200</v>
      </c>
      <c r="K234" s="211" t="s">
        <v>1185</v>
      </c>
      <c r="L234" s="211" t="s">
        <v>1488</v>
      </c>
      <c r="M234" s="214" t="s">
        <v>796</v>
      </c>
      <c r="N234" s="211" t="s">
        <v>642</v>
      </c>
      <c r="O234" s="211">
        <v>6</v>
      </c>
      <c r="P234" s="211" t="s">
        <v>276</v>
      </c>
      <c r="Q234" s="213" t="s">
        <v>108</v>
      </c>
      <c r="R234" s="218">
        <v>11300000</v>
      </c>
      <c r="S234" s="229">
        <f>Product_Name[[#This Row],[Đơn giá
Unit Price]]*Product_Name[[#This Row],[Số lượng
Quantity]]</f>
        <v>67800000</v>
      </c>
      <c r="T234" s="219">
        <v>44445</v>
      </c>
      <c r="U234" s="220">
        <v>44515</v>
      </c>
      <c r="V234" s="221">
        <v>44601</v>
      </c>
      <c r="W234" s="211" t="s">
        <v>2814</v>
      </c>
      <c r="X234" s="211" t="s">
        <v>16</v>
      </c>
      <c r="Y234" s="220"/>
      <c r="Z234" s="216"/>
      <c r="AA234" s="216"/>
      <c r="AB234" s="227"/>
      <c r="AC234" s="295"/>
    </row>
    <row r="235" spans="1:29" ht="15.5" x14ac:dyDescent="0.35">
      <c r="A235" s="211" t="s">
        <v>110</v>
      </c>
      <c r="B235" s="214" t="s">
        <v>1780</v>
      </c>
      <c r="C235" s="211"/>
      <c r="D235" s="215">
        <v>1448</v>
      </c>
      <c r="E235" s="215">
        <v>3377</v>
      </c>
      <c r="F235" s="211" t="s">
        <v>1261</v>
      </c>
      <c r="G235" s="211" t="s">
        <v>1260</v>
      </c>
      <c r="H235" s="217" t="s">
        <v>1189</v>
      </c>
      <c r="I235" s="217" t="s">
        <v>1192</v>
      </c>
      <c r="J235" s="211" t="s">
        <v>1186</v>
      </c>
      <c r="K235" s="211" t="s">
        <v>1185</v>
      </c>
      <c r="L235" s="211" t="s">
        <v>1488</v>
      </c>
      <c r="M235" s="214" t="s">
        <v>796</v>
      </c>
      <c r="N235" s="211" t="s">
        <v>642</v>
      </c>
      <c r="O235" s="211">
        <v>9</v>
      </c>
      <c r="P235" s="211" t="s">
        <v>276</v>
      </c>
      <c r="Q235" s="213" t="s">
        <v>108</v>
      </c>
      <c r="R235" s="218">
        <v>880000</v>
      </c>
      <c r="S235" s="229">
        <f>Product_Name[[#This Row],[Đơn giá
Unit Price]]*Product_Name[[#This Row],[Số lượng
Quantity]]</f>
        <v>7920000</v>
      </c>
      <c r="T235" s="219">
        <v>44445</v>
      </c>
      <c r="U235" s="220">
        <v>44515</v>
      </c>
      <c r="V235" s="221">
        <v>44601</v>
      </c>
      <c r="W235" s="211" t="s">
        <v>2814</v>
      </c>
      <c r="X235" s="211" t="s">
        <v>16</v>
      </c>
      <c r="Y235" s="220"/>
      <c r="Z235" s="216"/>
      <c r="AA235" s="216"/>
      <c r="AB235" s="227"/>
      <c r="AC235" s="295"/>
    </row>
    <row r="236" spans="1:29" ht="15.5" x14ac:dyDescent="0.35">
      <c r="A236" s="211" t="s">
        <v>110</v>
      </c>
      <c r="B236" s="214" t="s">
        <v>1780</v>
      </c>
      <c r="C236" s="211"/>
      <c r="D236" s="215">
        <v>1448</v>
      </c>
      <c r="E236" s="215">
        <v>3377</v>
      </c>
      <c r="F236" s="211" t="s">
        <v>1261</v>
      </c>
      <c r="G236" s="211" t="s">
        <v>1260</v>
      </c>
      <c r="H236" s="217" t="s">
        <v>1196</v>
      </c>
      <c r="I236" s="217" t="s">
        <v>1197</v>
      </c>
      <c r="J236" s="211" t="s">
        <v>1195</v>
      </c>
      <c r="K236" s="211" t="s">
        <v>1185</v>
      </c>
      <c r="L236" s="211" t="s">
        <v>1488</v>
      </c>
      <c r="M236" s="214" t="s">
        <v>796</v>
      </c>
      <c r="N236" s="211" t="s">
        <v>642</v>
      </c>
      <c r="O236" s="211">
        <v>9</v>
      </c>
      <c r="P236" s="211" t="s">
        <v>276</v>
      </c>
      <c r="Q236" s="213" t="s">
        <v>108</v>
      </c>
      <c r="R236" s="218">
        <v>880000</v>
      </c>
      <c r="S236" s="229">
        <f>Product_Name[[#This Row],[Đơn giá
Unit Price]]*Product_Name[[#This Row],[Số lượng
Quantity]]</f>
        <v>7920000</v>
      </c>
      <c r="T236" s="219">
        <v>44445</v>
      </c>
      <c r="U236" s="220">
        <v>44515</v>
      </c>
      <c r="V236" s="221">
        <v>44601</v>
      </c>
      <c r="W236" s="211" t="s">
        <v>2814</v>
      </c>
      <c r="X236" s="211" t="s">
        <v>16</v>
      </c>
      <c r="Y236" s="220"/>
      <c r="Z236" s="216"/>
      <c r="AA236" s="216"/>
      <c r="AB236" s="227"/>
      <c r="AC236" s="295"/>
    </row>
    <row r="237" spans="1:29" ht="15.5" x14ac:dyDescent="0.35">
      <c r="A237" s="211" t="s">
        <v>110</v>
      </c>
      <c r="B237" s="214" t="s">
        <v>1780</v>
      </c>
      <c r="C237" s="211"/>
      <c r="D237" s="215">
        <v>1448</v>
      </c>
      <c r="E237" s="215">
        <v>3377</v>
      </c>
      <c r="F237" s="211" t="s">
        <v>1261</v>
      </c>
      <c r="G237" s="211" t="s">
        <v>1260</v>
      </c>
      <c r="H237" s="217" t="s">
        <v>1190</v>
      </c>
      <c r="I237" s="217" t="s">
        <v>1193</v>
      </c>
      <c r="J237" s="211" t="s">
        <v>1187</v>
      </c>
      <c r="K237" s="211" t="s">
        <v>1185</v>
      </c>
      <c r="L237" s="211" t="s">
        <v>1488</v>
      </c>
      <c r="M237" s="214" t="s">
        <v>796</v>
      </c>
      <c r="N237" s="211" t="s">
        <v>642</v>
      </c>
      <c r="O237" s="211">
        <v>9</v>
      </c>
      <c r="P237" s="211" t="s">
        <v>276</v>
      </c>
      <c r="Q237" s="213" t="s">
        <v>108</v>
      </c>
      <c r="R237" s="218">
        <v>880000</v>
      </c>
      <c r="S237" s="229">
        <f>Product_Name[[#This Row],[Đơn giá
Unit Price]]*Product_Name[[#This Row],[Số lượng
Quantity]]</f>
        <v>7920000</v>
      </c>
      <c r="T237" s="219">
        <v>44445</v>
      </c>
      <c r="U237" s="220">
        <v>44515</v>
      </c>
      <c r="V237" s="221">
        <v>44601</v>
      </c>
      <c r="W237" s="211" t="s">
        <v>2814</v>
      </c>
      <c r="X237" s="211" t="s">
        <v>16</v>
      </c>
      <c r="Y237" s="220"/>
      <c r="Z237" s="216"/>
      <c r="AA237" s="216"/>
      <c r="AB237" s="227"/>
      <c r="AC237" s="295"/>
    </row>
    <row r="238" spans="1:29" ht="15.5" x14ac:dyDescent="0.35">
      <c r="A238" s="211" t="s">
        <v>110</v>
      </c>
      <c r="B238" s="214" t="s">
        <v>1780</v>
      </c>
      <c r="C238" s="211"/>
      <c r="D238" s="215">
        <v>1448</v>
      </c>
      <c r="E238" s="215">
        <v>3377</v>
      </c>
      <c r="F238" s="211" t="s">
        <v>1261</v>
      </c>
      <c r="G238" s="211" t="s">
        <v>1260</v>
      </c>
      <c r="H238" s="217" t="s">
        <v>1191</v>
      </c>
      <c r="I238" s="217" t="s">
        <v>1194</v>
      </c>
      <c r="J238" s="211" t="s">
        <v>1188</v>
      </c>
      <c r="K238" s="211" t="s">
        <v>1185</v>
      </c>
      <c r="L238" s="211" t="s">
        <v>1488</v>
      </c>
      <c r="M238" s="214" t="s">
        <v>796</v>
      </c>
      <c r="N238" s="211" t="s">
        <v>642</v>
      </c>
      <c r="O238" s="211">
        <v>10</v>
      </c>
      <c r="P238" s="211" t="s">
        <v>276</v>
      </c>
      <c r="Q238" s="213" t="s">
        <v>108</v>
      </c>
      <c r="R238" s="218">
        <v>440000</v>
      </c>
      <c r="S238" s="229">
        <f>Product_Name[[#This Row],[Đơn giá
Unit Price]]*Product_Name[[#This Row],[Số lượng
Quantity]]</f>
        <v>4400000</v>
      </c>
      <c r="T238" s="219">
        <v>44445</v>
      </c>
      <c r="U238" s="220">
        <v>44515</v>
      </c>
      <c r="V238" s="221">
        <v>44601</v>
      </c>
      <c r="W238" s="211" t="s">
        <v>2814</v>
      </c>
      <c r="X238" s="211" t="s">
        <v>16</v>
      </c>
      <c r="Y238" s="220"/>
      <c r="Z238" s="216"/>
      <c r="AA238" s="216"/>
      <c r="AB238" s="227"/>
      <c r="AC238" s="295"/>
    </row>
    <row r="239" spans="1:29" ht="15.5" x14ac:dyDescent="0.35">
      <c r="A239" s="214">
        <v>3396</v>
      </c>
      <c r="B239" s="214"/>
      <c r="C239" s="214">
        <v>3633</v>
      </c>
      <c r="D239" s="215" t="s">
        <v>110</v>
      </c>
      <c r="E239" s="215" t="s">
        <v>110</v>
      </c>
      <c r="F239" s="211" t="s">
        <v>1257</v>
      </c>
      <c r="G239" s="211" t="s">
        <v>1256</v>
      </c>
      <c r="H239" s="216" t="s">
        <v>1039</v>
      </c>
      <c r="I239" s="217" t="s">
        <v>1047</v>
      </c>
      <c r="J239" s="211" t="s">
        <v>1036</v>
      </c>
      <c r="K239" s="211" t="s">
        <v>1224</v>
      </c>
      <c r="L239" s="211" t="s">
        <v>99</v>
      </c>
      <c r="M239" s="211" t="s">
        <v>124</v>
      </c>
      <c r="N239" s="211" t="s">
        <v>14</v>
      </c>
      <c r="O239" s="211">
        <v>2</v>
      </c>
      <c r="P239" s="211" t="s">
        <v>276</v>
      </c>
      <c r="Q239" s="223" t="s">
        <v>108</v>
      </c>
      <c r="R239" s="218">
        <v>2497000</v>
      </c>
      <c r="S239" s="229">
        <f>Product_Name[[#This Row],[Đơn giá
Unit Price]]*Product_Name[[#This Row],[Số lượng
Quantity]]</f>
        <v>4994000</v>
      </c>
      <c r="T239" s="219">
        <v>44445</v>
      </c>
      <c r="U239" s="220">
        <v>44463</v>
      </c>
      <c r="V239" s="221"/>
      <c r="W239" s="214" t="s">
        <v>2577</v>
      </c>
      <c r="X239" s="214" t="s">
        <v>16</v>
      </c>
      <c r="Y239" s="220"/>
      <c r="Z239" s="216"/>
      <c r="AA239" s="216"/>
      <c r="AB239" s="227"/>
      <c r="AC239" s="295"/>
    </row>
    <row r="240" spans="1:29" ht="15.5" x14ac:dyDescent="0.35">
      <c r="A240" s="215" t="s">
        <v>110</v>
      </c>
      <c r="B240" s="214" t="s">
        <v>1497</v>
      </c>
      <c r="C240" s="215" t="s">
        <v>110</v>
      </c>
      <c r="D240" s="215">
        <v>1449</v>
      </c>
      <c r="E240" s="215">
        <v>3397</v>
      </c>
      <c r="F240" s="211" t="s">
        <v>1259</v>
      </c>
      <c r="G240" s="211" t="s">
        <v>1258</v>
      </c>
      <c r="H240" s="216" t="s">
        <v>1046</v>
      </c>
      <c r="I240" s="217" t="s">
        <v>1056</v>
      </c>
      <c r="J240" s="211" t="s">
        <v>1038</v>
      </c>
      <c r="K240" s="211" t="s">
        <v>176</v>
      </c>
      <c r="L240" s="211" t="s">
        <v>176</v>
      </c>
      <c r="M240" s="214" t="s">
        <v>796</v>
      </c>
      <c r="N240" s="211" t="s">
        <v>642</v>
      </c>
      <c r="O240" s="211">
        <v>5</v>
      </c>
      <c r="P240" s="211" t="s">
        <v>276</v>
      </c>
      <c r="Q240" s="223" t="s">
        <v>108</v>
      </c>
      <c r="R240" s="218">
        <v>960000</v>
      </c>
      <c r="S240" s="229">
        <f>Product_Name[[#This Row],[Đơn giá
Unit Price]]*Product_Name[[#This Row],[Số lượng
Quantity]]</f>
        <v>4800000</v>
      </c>
      <c r="T240" s="219">
        <v>44445</v>
      </c>
      <c r="U240" s="220">
        <v>44463</v>
      </c>
      <c r="V240" s="221">
        <v>44505</v>
      </c>
      <c r="W240" s="214" t="s">
        <v>2577</v>
      </c>
      <c r="X240" s="214" t="s">
        <v>16</v>
      </c>
      <c r="Y240" s="220"/>
      <c r="Z240" s="216"/>
      <c r="AA240" s="216"/>
      <c r="AB240" s="227"/>
      <c r="AC240" s="295"/>
    </row>
    <row r="241" spans="1:29" ht="15.5" x14ac:dyDescent="0.35">
      <c r="A241" s="211" t="s">
        <v>110</v>
      </c>
      <c r="B241" s="214" t="s">
        <v>1593</v>
      </c>
      <c r="C241" s="211" t="s">
        <v>110</v>
      </c>
      <c r="D241" s="215">
        <v>1475</v>
      </c>
      <c r="E241" s="215">
        <v>3400</v>
      </c>
      <c r="F241" s="211" t="s">
        <v>1234</v>
      </c>
      <c r="G241" s="211" t="s">
        <v>1264</v>
      </c>
      <c r="H241" s="238" t="s">
        <v>1161</v>
      </c>
      <c r="I241" s="217" t="s">
        <v>1162</v>
      </c>
      <c r="J241" s="211" t="s">
        <v>1232</v>
      </c>
      <c r="K241" s="211" t="s">
        <v>733</v>
      </c>
      <c r="L241" s="211" t="s">
        <v>733</v>
      </c>
      <c r="M241" s="214" t="s">
        <v>796</v>
      </c>
      <c r="N241" s="211" t="s">
        <v>642</v>
      </c>
      <c r="O241" s="211">
        <v>1</v>
      </c>
      <c r="P241" s="211" t="s">
        <v>276</v>
      </c>
      <c r="Q241" s="213" t="s">
        <v>108</v>
      </c>
      <c r="R241" s="218">
        <v>2980000</v>
      </c>
      <c r="S241" s="229">
        <f>Product_Name[[#This Row],[Đơn giá
Unit Price]]*Product_Name[[#This Row],[Số lượng
Quantity]]</f>
        <v>2980000</v>
      </c>
      <c r="T241" s="219">
        <v>44448</v>
      </c>
      <c r="U241" s="220">
        <v>44466</v>
      </c>
      <c r="V241" s="221">
        <v>44470</v>
      </c>
      <c r="W241" s="214" t="s">
        <v>2577</v>
      </c>
      <c r="X241" s="211" t="s">
        <v>16</v>
      </c>
      <c r="Y241" s="220"/>
      <c r="Z241" s="216"/>
      <c r="AA241" s="216"/>
      <c r="AB241" s="227"/>
      <c r="AC241" s="295"/>
    </row>
    <row r="242" spans="1:29" ht="15.5" x14ac:dyDescent="0.35">
      <c r="A242" s="211">
        <v>3418</v>
      </c>
      <c r="B242" s="214" t="s">
        <v>1333</v>
      </c>
      <c r="C242" s="214">
        <v>3665</v>
      </c>
      <c r="D242" s="215" t="s">
        <v>110</v>
      </c>
      <c r="E242" s="215" t="s">
        <v>110</v>
      </c>
      <c r="F242" s="214" t="s">
        <v>110</v>
      </c>
      <c r="G242" s="214" t="s">
        <v>110</v>
      </c>
      <c r="H242" s="217" t="s">
        <v>1252</v>
      </c>
      <c r="I242" s="217" t="s">
        <v>1251</v>
      </c>
      <c r="J242" s="214" t="s">
        <v>1253</v>
      </c>
      <c r="K242" s="214" t="s">
        <v>1270</v>
      </c>
      <c r="L242" s="214" t="s">
        <v>321</v>
      </c>
      <c r="M242" s="214" t="s">
        <v>795</v>
      </c>
      <c r="N242" s="214" t="s">
        <v>14</v>
      </c>
      <c r="O242" s="214">
        <v>2</v>
      </c>
      <c r="P242" s="214" t="s">
        <v>799</v>
      </c>
      <c r="Q242" s="223" t="s">
        <v>108</v>
      </c>
      <c r="R242" s="229">
        <v>338400</v>
      </c>
      <c r="S242" s="229">
        <f>Product_Name[[#This Row],[Đơn giá
Unit Price]]*Product_Name[[#This Row],[Số lượng
Quantity]]</f>
        <v>676800</v>
      </c>
      <c r="T242" s="230">
        <v>44449</v>
      </c>
      <c r="U242" s="227">
        <v>44455</v>
      </c>
      <c r="V242" s="231">
        <v>44450</v>
      </c>
      <c r="W242" s="214" t="s">
        <v>2814</v>
      </c>
      <c r="X242" s="214" t="s">
        <v>16</v>
      </c>
      <c r="Y242" s="220"/>
      <c r="Z242" s="216"/>
      <c r="AA242" s="216"/>
      <c r="AB242" s="227"/>
      <c r="AC242" s="295"/>
    </row>
    <row r="243" spans="1:29" ht="15.5" x14ac:dyDescent="0.35">
      <c r="A243" s="211" t="s">
        <v>1714</v>
      </c>
      <c r="B243" s="214" t="s">
        <v>1715</v>
      </c>
      <c r="C243" s="211" t="s">
        <v>1644</v>
      </c>
      <c r="D243" s="215" t="s">
        <v>110</v>
      </c>
      <c r="E243" s="215" t="s">
        <v>110</v>
      </c>
      <c r="F243" s="215" t="s">
        <v>110</v>
      </c>
      <c r="G243" s="215" t="s">
        <v>110</v>
      </c>
      <c r="H243" s="216" t="s">
        <v>1642</v>
      </c>
      <c r="I243" s="217" t="s">
        <v>1280</v>
      </c>
      <c r="J243" s="211" t="s">
        <v>1641</v>
      </c>
      <c r="K243" s="211" t="s">
        <v>1281</v>
      </c>
      <c r="L243" s="211" t="s">
        <v>1281</v>
      </c>
      <c r="M243" s="211" t="s">
        <v>1282</v>
      </c>
      <c r="N243" s="211" t="s">
        <v>14</v>
      </c>
      <c r="O243" s="211">
        <v>1</v>
      </c>
      <c r="P243" s="211" t="s">
        <v>1643</v>
      </c>
      <c r="Q243" s="229" t="s">
        <v>108</v>
      </c>
      <c r="R243" s="218">
        <v>742000</v>
      </c>
      <c r="S243" s="229">
        <f>Product_Name[[#This Row],[Đơn giá
Unit Price]]*Product_Name[[#This Row],[Số lượng
Quantity]]</f>
        <v>742000</v>
      </c>
      <c r="T243" s="219">
        <v>44559</v>
      </c>
      <c r="U243" s="220">
        <v>44574</v>
      </c>
      <c r="V243" s="221">
        <v>44571</v>
      </c>
      <c r="W243" s="211" t="s">
        <v>51</v>
      </c>
      <c r="X243" s="211" t="s">
        <v>16</v>
      </c>
      <c r="Y243" s="220"/>
      <c r="Z243" s="216"/>
      <c r="AA243" s="216" t="s">
        <v>2155</v>
      </c>
      <c r="AB243" s="227"/>
      <c r="AC243" s="295"/>
    </row>
    <row r="244" spans="1:29" ht="15.5" x14ac:dyDescent="0.35">
      <c r="A244" s="211" t="s">
        <v>1714</v>
      </c>
      <c r="B244" s="214" t="s">
        <v>1715</v>
      </c>
      <c r="C244" s="211" t="s">
        <v>1644</v>
      </c>
      <c r="D244" s="215" t="s">
        <v>110</v>
      </c>
      <c r="E244" s="215" t="s">
        <v>110</v>
      </c>
      <c r="F244" s="215" t="s">
        <v>110</v>
      </c>
      <c r="G244" s="215" t="s">
        <v>110</v>
      </c>
      <c r="H244" s="216" t="s">
        <v>1288</v>
      </c>
      <c r="I244" s="217" t="s">
        <v>1289</v>
      </c>
      <c r="J244" s="211" t="s">
        <v>1287</v>
      </c>
      <c r="K244" s="211" t="s">
        <v>1281</v>
      </c>
      <c r="L244" s="211" t="s">
        <v>1281</v>
      </c>
      <c r="M244" s="211" t="s">
        <v>1282</v>
      </c>
      <c r="N244" s="211" t="s">
        <v>14</v>
      </c>
      <c r="O244" s="211">
        <v>10</v>
      </c>
      <c r="P244" s="214" t="s">
        <v>1074</v>
      </c>
      <c r="Q244" s="229" t="s">
        <v>108</v>
      </c>
      <c r="R244" s="218">
        <v>72000</v>
      </c>
      <c r="S244" s="229">
        <f>Product_Name[[#This Row],[Đơn giá
Unit Price]]*Product_Name[[#This Row],[Số lượng
Quantity]]</f>
        <v>720000</v>
      </c>
      <c r="T244" s="219">
        <v>44559</v>
      </c>
      <c r="U244" s="220">
        <v>44574</v>
      </c>
      <c r="V244" s="221">
        <v>44571</v>
      </c>
      <c r="W244" s="211" t="s">
        <v>51</v>
      </c>
      <c r="X244" s="211" t="s">
        <v>16</v>
      </c>
      <c r="Y244" s="220"/>
      <c r="Z244" s="216"/>
      <c r="AA244" s="216" t="s">
        <v>2155</v>
      </c>
      <c r="AB244" s="227"/>
      <c r="AC244" s="295"/>
    </row>
    <row r="245" spans="1:29" s="71" customFormat="1" ht="15.5" x14ac:dyDescent="0.35">
      <c r="A245" s="214" t="s">
        <v>110</v>
      </c>
      <c r="B245" s="214" t="s">
        <v>1456</v>
      </c>
      <c r="C245" s="214" t="s">
        <v>110</v>
      </c>
      <c r="D245" s="215">
        <v>1521</v>
      </c>
      <c r="E245" s="215">
        <v>3517</v>
      </c>
      <c r="F245" s="215" t="s">
        <v>110</v>
      </c>
      <c r="G245" s="215" t="s">
        <v>110</v>
      </c>
      <c r="H245" s="217" t="s">
        <v>1044</v>
      </c>
      <c r="I245" s="217" t="s">
        <v>1054</v>
      </c>
      <c r="J245" s="214" t="s">
        <v>1037</v>
      </c>
      <c r="K245" s="214"/>
      <c r="L245" s="214"/>
      <c r="M245" s="214" t="s">
        <v>796</v>
      </c>
      <c r="N245" s="214" t="s">
        <v>642</v>
      </c>
      <c r="O245" s="214">
        <v>1</v>
      </c>
      <c r="P245" s="214" t="s">
        <v>276</v>
      </c>
      <c r="Q245" s="223" t="s">
        <v>108</v>
      </c>
      <c r="R245" s="229">
        <v>840000</v>
      </c>
      <c r="S245" s="229">
        <f>Product_Name[[#This Row],[Đơn giá
Unit Price]]*Product_Name[[#This Row],[Số lượng
Quantity]]</f>
        <v>840000</v>
      </c>
      <c r="T245" s="230">
        <v>44467</v>
      </c>
      <c r="U245" s="227">
        <v>44481</v>
      </c>
      <c r="V245" s="231">
        <v>44487</v>
      </c>
      <c r="W245" s="214" t="s">
        <v>2577</v>
      </c>
      <c r="X245" s="214" t="s">
        <v>16</v>
      </c>
      <c r="Y245" s="220"/>
      <c r="Z245" s="216"/>
      <c r="AA245" s="216"/>
      <c r="AB245" s="227"/>
      <c r="AC245" s="295"/>
    </row>
    <row r="246" spans="1:29" ht="15.5" x14ac:dyDescent="0.35">
      <c r="A246" s="215" t="s">
        <v>110</v>
      </c>
      <c r="B246" s="214" t="s">
        <v>1402</v>
      </c>
      <c r="C246" s="215" t="s">
        <v>110</v>
      </c>
      <c r="D246" s="215">
        <v>1489</v>
      </c>
      <c r="E246" s="215">
        <v>3444</v>
      </c>
      <c r="F246" s="214" t="s">
        <v>1307</v>
      </c>
      <c r="G246" s="211" t="s">
        <v>1316</v>
      </c>
      <c r="H246" s="216" t="s">
        <v>1263</v>
      </c>
      <c r="I246" s="217" t="s">
        <v>1331</v>
      </c>
      <c r="J246" s="211" t="s">
        <v>1332</v>
      </c>
      <c r="K246" s="211" t="s">
        <v>210</v>
      </c>
      <c r="L246" s="211" t="s">
        <v>210</v>
      </c>
      <c r="M246" s="214" t="s">
        <v>796</v>
      </c>
      <c r="N246" s="211" t="s">
        <v>642</v>
      </c>
      <c r="O246" s="211">
        <v>1</v>
      </c>
      <c r="P246" s="211" t="s">
        <v>37</v>
      </c>
      <c r="Q246" s="223" t="s">
        <v>108</v>
      </c>
      <c r="R246" s="218">
        <v>2500000</v>
      </c>
      <c r="S246" s="229">
        <f>Product_Name[[#This Row],[Đơn giá
Unit Price]]*Product_Name[[#This Row],[Số lượng
Quantity]]</f>
        <v>2500000</v>
      </c>
      <c r="T246" s="219">
        <v>44455</v>
      </c>
      <c r="U246" s="220">
        <v>44462</v>
      </c>
      <c r="V246" s="221">
        <v>44470</v>
      </c>
      <c r="W246" s="211" t="s">
        <v>2814</v>
      </c>
      <c r="X246" s="214" t="s">
        <v>16</v>
      </c>
      <c r="Y246" s="220"/>
      <c r="Z246" s="216"/>
      <c r="AA246" s="216"/>
      <c r="AB246" s="227"/>
      <c r="AC246" s="295"/>
    </row>
    <row r="247" spans="1:29" s="71" customFormat="1" ht="15.5" x14ac:dyDescent="0.35">
      <c r="A247" s="215" t="s">
        <v>110</v>
      </c>
      <c r="B247" s="214" t="s">
        <v>1529</v>
      </c>
      <c r="C247" s="215" t="s">
        <v>110</v>
      </c>
      <c r="D247" s="215">
        <v>1487</v>
      </c>
      <c r="E247" s="215">
        <v>3439</v>
      </c>
      <c r="F247" s="214" t="s">
        <v>1306</v>
      </c>
      <c r="G247" s="211" t="s">
        <v>1317</v>
      </c>
      <c r="H247" s="217" t="s">
        <v>738</v>
      </c>
      <c r="I247" s="217" t="s">
        <v>739</v>
      </c>
      <c r="J247" s="214" t="s">
        <v>740</v>
      </c>
      <c r="K247" s="214" t="s">
        <v>176</v>
      </c>
      <c r="L247" s="214" t="s">
        <v>176</v>
      </c>
      <c r="M247" s="214" t="s">
        <v>797</v>
      </c>
      <c r="N247" s="214" t="s">
        <v>642</v>
      </c>
      <c r="O247" s="214">
        <v>2</v>
      </c>
      <c r="P247" s="214" t="s">
        <v>276</v>
      </c>
      <c r="Q247" s="229" t="s">
        <v>108</v>
      </c>
      <c r="R247" s="229">
        <v>2822400</v>
      </c>
      <c r="S247" s="229">
        <f>Product_Name[[#This Row],[Đơn giá
Unit Price]]*Product_Name[[#This Row],[Số lượng
Quantity]]</f>
        <v>5644800</v>
      </c>
      <c r="T247" s="230">
        <v>44454</v>
      </c>
      <c r="U247" s="227">
        <v>44474</v>
      </c>
      <c r="V247" s="221">
        <v>44516</v>
      </c>
      <c r="W247" s="214" t="s">
        <v>2813</v>
      </c>
      <c r="X247" s="214" t="s">
        <v>16</v>
      </c>
      <c r="Y247" s="220"/>
      <c r="Z247" s="216"/>
      <c r="AA247" s="216"/>
      <c r="AB247" s="227"/>
      <c r="AC247" s="295"/>
    </row>
    <row r="248" spans="1:29" ht="15.5" x14ac:dyDescent="0.35">
      <c r="A248" s="211" t="s">
        <v>110</v>
      </c>
      <c r="B248" s="214" t="s">
        <v>1414</v>
      </c>
      <c r="C248" s="211" t="s">
        <v>110</v>
      </c>
      <c r="D248" s="215">
        <v>1488</v>
      </c>
      <c r="E248" s="215">
        <v>3438</v>
      </c>
      <c r="F248" s="214" t="s">
        <v>1318</v>
      </c>
      <c r="G248" s="211" t="s">
        <v>1319</v>
      </c>
      <c r="H248" s="216" t="s">
        <v>1271</v>
      </c>
      <c r="I248" s="217" t="s">
        <v>1274</v>
      </c>
      <c r="J248" s="211" t="s">
        <v>1272</v>
      </c>
      <c r="K248" s="211" t="s">
        <v>1277</v>
      </c>
      <c r="L248" s="211" t="s">
        <v>99</v>
      </c>
      <c r="M248" s="214" t="s">
        <v>796</v>
      </c>
      <c r="N248" s="211" t="s">
        <v>642</v>
      </c>
      <c r="O248" s="211">
        <v>1</v>
      </c>
      <c r="P248" s="214" t="s">
        <v>276</v>
      </c>
      <c r="Q248" s="229" t="s">
        <v>108</v>
      </c>
      <c r="R248" s="218">
        <v>4108000</v>
      </c>
      <c r="S248" s="229">
        <f>Product_Name[[#This Row],[Đơn giá
Unit Price]]*Product_Name[[#This Row],[Số lượng
Quantity]]</f>
        <v>4108000</v>
      </c>
      <c r="T248" s="230">
        <v>44454</v>
      </c>
      <c r="U248" s="220">
        <v>44470</v>
      </c>
      <c r="V248" s="221">
        <v>44480</v>
      </c>
      <c r="W248" s="211" t="s">
        <v>51</v>
      </c>
      <c r="X248" s="214" t="s">
        <v>16</v>
      </c>
      <c r="Y248" s="220"/>
      <c r="Z248" s="216"/>
      <c r="AA248" s="216"/>
      <c r="AB248" s="227"/>
      <c r="AC248" s="295"/>
    </row>
    <row r="249" spans="1:29" ht="15.5" x14ac:dyDescent="0.35">
      <c r="A249" s="211" t="s">
        <v>110</v>
      </c>
      <c r="B249" s="214" t="s">
        <v>1414</v>
      </c>
      <c r="C249" s="211" t="s">
        <v>110</v>
      </c>
      <c r="D249" s="215">
        <v>1488</v>
      </c>
      <c r="E249" s="215">
        <v>3438</v>
      </c>
      <c r="F249" s="214" t="s">
        <v>1318</v>
      </c>
      <c r="G249" s="211" t="s">
        <v>1319</v>
      </c>
      <c r="H249" s="216" t="s">
        <v>1273</v>
      </c>
      <c r="I249" s="217" t="s">
        <v>1275</v>
      </c>
      <c r="J249" s="211" t="s">
        <v>1276</v>
      </c>
      <c r="K249" s="211" t="s">
        <v>1277</v>
      </c>
      <c r="L249" s="211" t="s">
        <v>99</v>
      </c>
      <c r="M249" s="214" t="s">
        <v>796</v>
      </c>
      <c r="N249" s="211" t="s">
        <v>642</v>
      </c>
      <c r="O249" s="211">
        <v>1</v>
      </c>
      <c r="P249" s="214" t="s">
        <v>276</v>
      </c>
      <c r="Q249" s="229" t="s">
        <v>108</v>
      </c>
      <c r="R249" s="218">
        <v>11333000</v>
      </c>
      <c r="S249" s="229">
        <f>Product_Name[[#This Row],[Đơn giá
Unit Price]]*Product_Name[[#This Row],[Số lượng
Quantity]]</f>
        <v>11333000</v>
      </c>
      <c r="T249" s="230">
        <v>44454</v>
      </c>
      <c r="U249" s="220">
        <v>44470</v>
      </c>
      <c r="V249" s="221">
        <v>44480</v>
      </c>
      <c r="W249" s="211" t="s">
        <v>51</v>
      </c>
      <c r="X249" s="214" t="s">
        <v>16</v>
      </c>
      <c r="Y249" s="220"/>
      <c r="Z249" s="216"/>
      <c r="AA249" s="216"/>
      <c r="AB249" s="227"/>
      <c r="AC249" s="295"/>
    </row>
    <row r="250" spans="1:29" ht="15.5" x14ac:dyDescent="0.35">
      <c r="A250" s="211" t="s">
        <v>110</v>
      </c>
      <c r="B250" s="214" t="s">
        <v>1414</v>
      </c>
      <c r="C250" s="211" t="s">
        <v>110</v>
      </c>
      <c r="D250" s="215">
        <v>1488</v>
      </c>
      <c r="E250" s="215">
        <v>3438</v>
      </c>
      <c r="F250" s="214" t="s">
        <v>1318</v>
      </c>
      <c r="G250" s="211" t="s">
        <v>1319</v>
      </c>
      <c r="H250" s="216" t="s">
        <v>1279</v>
      </c>
      <c r="I250" s="217" t="s">
        <v>1278</v>
      </c>
      <c r="J250" s="211" t="s">
        <v>1305</v>
      </c>
      <c r="K250" s="211" t="s">
        <v>1277</v>
      </c>
      <c r="L250" s="211" t="s">
        <v>99</v>
      </c>
      <c r="M250" s="214" t="s">
        <v>796</v>
      </c>
      <c r="N250" s="211" t="s">
        <v>642</v>
      </c>
      <c r="O250" s="211">
        <v>1</v>
      </c>
      <c r="P250" s="214" t="s">
        <v>276</v>
      </c>
      <c r="Q250" s="229" t="s">
        <v>108</v>
      </c>
      <c r="R250" s="218">
        <v>7914000</v>
      </c>
      <c r="S250" s="229">
        <f>Product_Name[[#This Row],[Đơn giá
Unit Price]]*Product_Name[[#This Row],[Số lượng
Quantity]]</f>
        <v>7914000</v>
      </c>
      <c r="T250" s="230">
        <v>44454</v>
      </c>
      <c r="U250" s="220">
        <v>44470</v>
      </c>
      <c r="V250" s="221">
        <v>44480</v>
      </c>
      <c r="W250" s="211" t="s">
        <v>51</v>
      </c>
      <c r="X250" s="214" t="s">
        <v>16</v>
      </c>
      <c r="Y250" s="220"/>
      <c r="Z250" s="216"/>
      <c r="AA250" s="216"/>
      <c r="AB250" s="227"/>
      <c r="AC250" s="295"/>
    </row>
    <row r="251" spans="1:29" ht="15.5" x14ac:dyDescent="0.35">
      <c r="A251" s="211" t="s">
        <v>110</v>
      </c>
      <c r="B251" s="214" t="s">
        <v>1416</v>
      </c>
      <c r="C251" s="211" t="s">
        <v>110</v>
      </c>
      <c r="D251" s="215">
        <v>1495</v>
      </c>
      <c r="E251" s="215">
        <v>3452</v>
      </c>
      <c r="F251" s="215" t="s">
        <v>110</v>
      </c>
      <c r="G251" s="215" t="s">
        <v>110</v>
      </c>
      <c r="H251" s="216" t="s">
        <v>1300</v>
      </c>
      <c r="I251" s="217" t="s">
        <v>1299</v>
      </c>
      <c r="J251" s="211" t="s">
        <v>1301</v>
      </c>
      <c r="K251" s="211" t="s">
        <v>1346</v>
      </c>
      <c r="L251" s="211" t="s">
        <v>1286</v>
      </c>
      <c r="M251" s="214" t="s">
        <v>796</v>
      </c>
      <c r="N251" s="211" t="s">
        <v>642</v>
      </c>
      <c r="O251" s="211">
        <v>2</v>
      </c>
      <c r="P251" s="214" t="s">
        <v>276</v>
      </c>
      <c r="Q251" s="229" t="s">
        <v>108</v>
      </c>
      <c r="R251" s="218">
        <v>220000</v>
      </c>
      <c r="S251" s="229">
        <f>Product_Name[[#This Row],[Đơn giá
Unit Price]]*Product_Name[[#This Row],[Số lượng
Quantity]]</f>
        <v>440000</v>
      </c>
      <c r="T251" s="219">
        <v>44459</v>
      </c>
      <c r="U251" s="220">
        <v>44470</v>
      </c>
      <c r="V251" s="221">
        <v>44481</v>
      </c>
      <c r="W251" s="211" t="s">
        <v>2814</v>
      </c>
      <c r="X251" s="214" t="s">
        <v>16</v>
      </c>
      <c r="Y251" s="220"/>
      <c r="Z251" s="216"/>
      <c r="AA251" s="216"/>
      <c r="AB251" s="227"/>
      <c r="AC251" s="295"/>
    </row>
    <row r="252" spans="1:29" ht="15.5" x14ac:dyDescent="0.35">
      <c r="A252" s="211" t="s">
        <v>110</v>
      </c>
      <c r="B252" s="214" t="s">
        <v>1416</v>
      </c>
      <c r="C252" s="211" t="s">
        <v>110</v>
      </c>
      <c r="D252" s="215">
        <v>1495</v>
      </c>
      <c r="E252" s="215">
        <v>3452</v>
      </c>
      <c r="F252" s="215" t="s">
        <v>110</v>
      </c>
      <c r="G252" s="215" t="s">
        <v>110</v>
      </c>
      <c r="H252" s="216" t="s">
        <v>1303</v>
      </c>
      <c r="I252" s="217" t="s">
        <v>1302</v>
      </c>
      <c r="J252" s="211" t="s">
        <v>1304</v>
      </c>
      <c r="K252" s="211" t="s">
        <v>1346</v>
      </c>
      <c r="L252" s="211" t="s">
        <v>1286</v>
      </c>
      <c r="M252" s="214" t="s">
        <v>796</v>
      </c>
      <c r="N252" s="211" t="s">
        <v>642</v>
      </c>
      <c r="O252" s="211">
        <v>4</v>
      </c>
      <c r="P252" s="214" t="s">
        <v>276</v>
      </c>
      <c r="Q252" s="229" t="s">
        <v>108</v>
      </c>
      <c r="R252" s="218">
        <v>196000</v>
      </c>
      <c r="S252" s="229">
        <f>Product_Name[[#This Row],[Đơn giá
Unit Price]]*Product_Name[[#This Row],[Số lượng
Quantity]]</f>
        <v>784000</v>
      </c>
      <c r="T252" s="219">
        <v>44459</v>
      </c>
      <c r="U252" s="220">
        <v>44470</v>
      </c>
      <c r="V252" s="221">
        <v>44481</v>
      </c>
      <c r="W252" s="211" t="s">
        <v>2814</v>
      </c>
      <c r="X252" s="214" t="s">
        <v>16</v>
      </c>
      <c r="Y252" s="220"/>
      <c r="Z252" s="216"/>
      <c r="AA252" s="216"/>
      <c r="AB252" s="227"/>
      <c r="AC252" s="295"/>
    </row>
    <row r="253" spans="1:29" ht="15.5" x14ac:dyDescent="0.35">
      <c r="A253" s="211" t="s">
        <v>110</v>
      </c>
      <c r="B253" s="214" t="s">
        <v>1403</v>
      </c>
      <c r="C253" s="211" t="s">
        <v>110</v>
      </c>
      <c r="D253" s="215">
        <v>1496</v>
      </c>
      <c r="E253" s="215">
        <v>3453</v>
      </c>
      <c r="F253" s="215" t="s">
        <v>110</v>
      </c>
      <c r="G253" s="215" t="s">
        <v>110</v>
      </c>
      <c r="H253" s="216" t="s">
        <v>1320</v>
      </c>
      <c r="I253" s="217" t="s">
        <v>1321</v>
      </c>
      <c r="J253" s="211" t="s">
        <v>1322</v>
      </c>
      <c r="K253" s="211" t="s">
        <v>210</v>
      </c>
      <c r="L253" s="211" t="s">
        <v>210</v>
      </c>
      <c r="M253" s="214" t="s">
        <v>796</v>
      </c>
      <c r="N253" s="211" t="s">
        <v>642</v>
      </c>
      <c r="O253" s="211">
        <v>2</v>
      </c>
      <c r="P253" s="211" t="s">
        <v>44</v>
      </c>
      <c r="Q253" s="229" t="s">
        <v>108</v>
      </c>
      <c r="R253" s="218">
        <v>400000</v>
      </c>
      <c r="S253" s="229">
        <f>Product_Name[[#This Row],[Đơn giá
Unit Price]]*Product_Name[[#This Row],[Số lượng
Quantity]]</f>
        <v>800000</v>
      </c>
      <c r="T253" s="219">
        <v>44459</v>
      </c>
      <c r="U253" s="220">
        <v>44463</v>
      </c>
      <c r="V253" s="221">
        <v>44470</v>
      </c>
      <c r="W253" s="211" t="s">
        <v>2814</v>
      </c>
      <c r="X253" s="214" t="s">
        <v>16</v>
      </c>
      <c r="Y253" s="220"/>
      <c r="Z253" s="216"/>
      <c r="AA253" s="216"/>
      <c r="AB253" s="227"/>
      <c r="AC253" s="295"/>
    </row>
    <row r="254" spans="1:29" ht="15.5" x14ac:dyDescent="0.35">
      <c r="A254" s="211" t="s">
        <v>110</v>
      </c>
      <c r="B254" s="214" t="s">
        <v>1480</v>
      </c>
      <c r="C254" s="211" t="s">
        <v>110</v>
      </c>
      <c r="D254" s="215">
        <v>1565</v>
      </c>
      <c r="E254" s="215">
        <v>3625</v>
      </c>
      <c r="F254" s="211" t="s">
        <v>1341</v>
      </c>
      <c r="G254" s="211" t="s">
        <v>1349</v>
      </c>
      <c r="H254" s="216" t="s">
        <v>1040</v>
      </c>
      <c r="I254" s="217" t="s">
        <v>1048</v>
      </c>
      <c r="J254" s="211" t="s">
        <v>1325</v>
      </c>
      <c r="K254" s="214" t="s">
        <v>1326</v>
      </c>
      <c r="L254" s="211" t="s">
        <v>1623</v>
      </c>
      <c r="M254" s="214" t="s">
        <v>1350</v>
      </c>
      <c r="N254" s="211" t="s">
        <v>642</v>
      </c>
      <c r="O254" s="211">
        <v>36</v>
      </c>
      <c r="P254" s="211" t="s">
        <v>1124</v>
      </c>
      <c r="Q254" s="213" t="s">
        <v>108</v>
      </c>
      <c r="R254" s="218">
        <v>414166</v>
      </c>
      <c r="S254" s="229">
        <f>Product_Name[[#This Row],[Đơn giá
Unit Price]]*Product_Name[[#This Row],[Số lượng
Quantity]]</f>
        <v>14909976</v>
      </c>
      <c r="T254" s="219">
        <v>44461</v>
      </c>
      <c r="U254" s="220">
        <v>44468</v>
      </c>
      <c r="V254" s="221">
        <v>44496</v>
      </c>
      <c r="W254" s="211" t="s">
        <v>21</v>
      </c>
      <c r="X254" s="214" t="s">
        <v>16</v>
      </c>
      <c r="Y254" s="220"/>
      <c r="Z254" s="216"/>
      <c r="AA254" s="216"/>
      <c r="AB254" s="227"/>
      <c r="AC254" s="295"/>
    </row>
    <row r="255" spans="1:29" ht="15.5" x14ac:dyDescent="0.35">
      <c r="A255" s="211" t="s">
        <v>110</v>
      </c>
      <c r="B255" s="214" t="s">
        <v>1479</v>
      </c>
      <c r="C255" s="211" t="s">
        <v>110</v>
      </c>
      <c r="D255" s="215">
        <v>1504</v>
      </c>
      <c r="E255" s="215">
        <v>3459</v>
      </c>
      <c r="F255" s="211" t="s">
        <v>1341</v>
      </c>
      <c r="G255" s="211" t="s">
        <v>1349</v>
      </c>
      <c r="H255" s="216" t="s">
        <v>1041</v>
      </c>
      <c r="I255" s="217" t="s">
        <v>1049</v>
      </c>
      <c r="J255" s="211" t="s">
        <v>1327</v>
      </c>
      <c r="K255" s="214" t="s">
        <v>1326</v>
      </c>
      <c r="L255" s="211" t="s">
        <v>1623</v>
      </c>
      <c r="M255" s="214" t="s">
        <v>1350</v>
      </c>
      <c r="N255" s="211" t="s">
        <v>642</v>
      </c>
      <c r="O255" s="211">
        <v>4</v>
      </c>
      <c r="P255" s="211" t="s">
        <v>799</v>
      </c>
      <c r="Q255" s="213" t="s">
        <v>108</v>
      </c>
      <c r="R255" s="218">
        <v>420000</v>
      </c>
      <c r="S255" s="229">
        <f>Product_Name[[#This Row],[Đơn giá
Unit Price]]*Product_Name[[#This Row],[Số lượng
Quantity]]</f>
        <v>1680000</v>
      </c>
      <c r="T255" s="219">
        <v>44461</v>
      </c>
      <c r="U255" s="220">
        <v>44468</v>
      </c>
      <c r="V255" s="221">
        <v>44496</v>
      </c>
      <c r="W255" s="211" t="s">
        <v>21</v>
      </c>
      <c r="X255" s="214" t="s">
        <v>16</v>
      </c>
      <c r="Y255" s="220"/>
      <c r="Z255" s="216"/>
      <c r="AA255" s="216"/>
      <c r="AB255" s="227"/>
      <c r="AC255" s="295"/>
    </row>
    <row r="256" spans="1:29" ht="15.5" x14ac:dyDescent="0.35">
      <c r="A256" s="211" t="s">
        <v>110</v>
      </c>
      <c r="B256" s="214" t="s">
        <v>1479</v>
      </c>
      <c r="C256" s="211" t="s">
        <v>110</v>
      </c>
      <c r="D256" s="215">
        <v>1504</v>
      </c>
      <c r="E256" s="215">
        <v>3459</v>
      </c>
      <c r="F256" s="211" t="s">
        <v>1341</v>
      </c>
      <c r="G256" s="211" t="s">
        <v>1349</v>
      </c>
      <c r="H256" s="216" t="s">
        <v>1042</v>
      </c>
      <c r="I256" s="217" t="s">
        <v>1050</v>
      </c>
      <c r="J256" s="211" t="s">
        <v>1336</v>
      </c>
      <c r="K256" s="214" t="s">
        <v>1326</v>
      </c>
      <c r="L256" s="211" t="s">
        <v>1623</v>
      </c>
      <c r="M256" s="214" t="s">
        <v>1350</v>
      </c>
      <c r="N256" s="211" t="s">
        <v>642</v>
      </c>
      <c r="O256" s="211">
        <v>6</v>
      </c>
      <c r="P256" s="211" t="s">
        <v>799</v>
      </c>
      <c r="Q256" s="213" t="s">
        <v>108</v>
      </c>
      <c r="R256" s="218">
        <v>420000</v>
      </c>
      <c r="S256" s="229">
        <f>Product_Name[[#This Row],[Đơn giá
Unit Price]]*Product_Name[[#This Row],[Số lượng
Quantity]]</f>
        <v>2520000</v>
      </c>
      <c r="T256" s="219">
        <v>44461</v>
      </c>
      <c r="U256" s="220">
        <v>44468</v>
      </c>
      <c r="V256" s="221">
        <v>44496</v>
      </c>
      <c r="W256" s="211" t="s">
        <v>21</v>
      </c>
      <c r="X256" s="214" t="s">
        <v>16</v>
      </c>
      <c r="Y256" s="220"/>
      <c r="Z256" s="216"/>
      <c r="AA256" s="216"/>
      <c r="AB256" s="227"/>
      <c r="AC256" s="295"/>
    </row>
    <row r="257" spans="1:29" ht="15.5" x14ac:dyDescent="0.35">
      <c r="A257" s="211" t="s">
        <v>110</v>
      </c>
      <c r="B257" s="214" t="s">
        <v>1479</v>
      </c>
      <c r="C257" s="211" t="s">
        <v>110</v>
      </c>
      <c r="D257" s="215">
        <v>1504</v>
      </c>
      <c r="E257" s="215">
        <v>3459</v>
      </c>
      <c r="F257" s="211" t="s">
        <v>1341</v>
      </c>
      <c r="G257" s="211" t="s">
        <v>1349</v>
      </c>
      <c r="H257" s="216" t="s">
        <v>1043</v>
      </c>
      <c r="I257" s="217" t="s">
        <v>1051</v>
      </c>
      <c r="J257" s="211" t="s">
        <v>1328</v>
      </c>
      <c r="K257" s="214" t="s">
        <v>1326</v>
      </c>
      <c r="L257" s="211" t="s">
        <v>1623</v>
      </c>
      <c r="M257" s="214" t="s">
        <v>1350</v>
      </c>
      <c r="N257" s="211" t="s">
        <v>642</v>
      </c>
      <c r="O257" s="211">
        <v>3</v>
      </c>
      <c r="P257" s="211" t="s">
        <v>799</v>
      </c>
      <c r="Q257" s="213" t="s">
        <v>108</v>
      </c>
      <c r="R257" s="218">
        <v>420000</v>
      </c>
      <c r="S257" s="229">
        <f>Product_Name[[#This Row],[Đơn giá
Unit Price]]*Product_Name[[#This Row],[Số lượng
Quantity]]</f>
        <v>1260000</v>
      </c>
      <c r="T257" s="219">
        <v>44461</v>
      </c>
      <c r="U257" s="220">
        <v>44468</v>
      </c>
      <c r="V257" s="221">
        <v>44496</v>
      </c>
      <c r="W257" s="211" t="s">
        <v>21</v>
      </c>
      <c r="X257" s="214" t="s">
        <v>16</v>
      </c>
      <c r="Y257" s="220"/>
      <c r="Z257" s="216"/>
      <c r="AA257" s="216"/>
      <c r="AB257" s="227"/>
      <c r="AC257" s="295"/>
    </row>
    <row r="258" spans="1:29" ht="15.5" x14ac:dyDescent="0.35">
      <c r="A258" s="211" t="s">
        <v>110</v>
      </c>
      <c r="B258" s="214" t="s">
        <v>1479</v>
      </c>
      <c r="C258" s="211" t="s">
        <v>110</v>
      </c>
      <c r="D258" s="215">
        <v>1504</v>
      </c>
      <c r="E258" s="215">
        <v>3459</v>
      </c>
      <c r="F258" s="211" t="s">
        <v>1341</v>
      </c>
      <c r="G258" s="211" t="s">
        <v>1349</v>
      </c>
      <c r="H258" s="216" t="s">
        <v>1335</v>
      </c>
      <c r="I258" s="217" t="s">
        <v>1052</v>
      </c>
      <c r="J258" s="211" t="s">
        <v>1329</v>
      </c>
      <c r="K258" s="214" t="s">
        <v>1326</v>
      </c>
      <c r="L258" s="211" t="s">
        <v>1623</v>
      </c>
      <c r="M258" s="214" t="s">
        <v>1350</v>
      </c>
      <c r="N258" s="211" t="s">
        <v>642</v>
      </c>
      <c r="O258" s="211">
        <v>21</v>
      </c>
      <c r="P258" s="211" t="s">
        <v>1124</v>
      </c>
      <c r="Q258" s="213" t="s">
        <v>108</v>
      </c>
      <c r="R258" s="218">
        <v>3450000</v>
      </c>
      <c r="S258" s="229">
        <f>Product_Name[[#This Row],[Đơn giá
Unit Price]]*Product_Name[[#This Row],[Số lượng
Quantity]]</f>
        <v>72450000</v>
      </c>
      <c r="T258" s="219">
        <v>44461</v>
      </c>
      <c r="U258" s="220">
        <v>44468</v>
      </c>
      <c r="V258" s="221">
        <v>44496</v>
      </c>
      <c r="W258" s="211" t="s">
        <v>21</v>
      </c>
      <c r="X258" s="214" t="s">
        <v>16</v>
      </c>
      <c r="Y258" s="220"/>
      <c r="Z258" s="216"/>
      <c r="AA258" s="216"/>
      <c r="AB258" s="227"/>
      <c r="AC258" s="295"/>
    </row>
    <row r="259" spans="1:29" ht="15.5" x14ac:dyDescent="0.35">
      <c r="A259" s="211"/>
      <c r="B259" s="214" t="s">
        <v>1479</v>
      </c>
      <c r="C259" s="211" t="s">
        <v>110</v>
      </c>
      <c r="D259" s="215">
        <v>1504</v>
      </c>
      <c r="E259" s="215">
        <v>3459</v>
      </c>
      <c r="F259" s="211" t="s">
        <v>1341</v>
      </c>
      <c r="G259" s="211" t="s">
        <v>1349</v>
      </c>
      <c r="H259" s="216" t="s">
        <v>1334</v>
      </c>
      <c r="I259" s="217" t="s">
        <v>1053</v>
      </c>
      <c r="J259" s="211" t="s">
        <v>1330</v>
      </c>
      <c r="K259" s="214" t="s">
        <v>1326</v>
      </c>
      <c r="L259" s="211" t="s">
        <v>1623</v>
      </c>
      <c r="M259" s="214" t="s">
        <v>1350</v>
      </c>
      <c r="N259" s="211" t="s">
        <v>642</v>
      </c>
      <c r="O259" s="211">
        <v>13</v>
      </c>
      <c r="P259" s="211" t="s">
        <v>1124</v>
      </c>
      <c r="Q259" s="213" t="s">
        <v>108</v>
      </c>
      <c r="R259" s="218">
        <v>1278475</v>
      </c>
      <c r="S259" s="229">
        <f>Product_Name[[#This Row],[Đơn giá
Unit Price]]*Product_Name[[#This Row],[Số lượng
Quantity]]</f>
        <v>16620175</v>
      </c>
      <c r="T259" s="219">
        <v>44461</v>
      </c>
      <c r="U259" s="220">
        <v>44468</v>
      </c>
      <c r="V259" s="221">
        <v>44496</v>
      </c>
      <c r="W259" s="211" t="s">
        <v>21</v>
      </c>
      <c r="X259" s="214" t="s">
        <v>16</v>
      </c>
      <c r="Y259" s="220"/>
      <c r="Z259" s="216"/>
      <c r="AA259" s="216"/>
      <c r="AB259" s="227"/>
      <c r="AC259" s="295"/>
    </row>
    <row r="260" spans="1:29" ht="15.5" x14ac:dyDescent="0.35">
      <c r="A260" s="211">
        <v>3472</v>
      </c>
      <c r="B260" s="214" t="s">
        <v>1517</v>
      </c>
      <c r="C260" s="211">
        <v>3717</v>
      </c>
      <c r="D260" s="215" t="s">
        <v>110</v>
      </c>
      <c r="E260" s="215" t="s">
        <v>110</v>
      </c>
      <c r="F260" s="214" t="s">
        <v>110</v>
      </c>
      <c r="G260" s="214" t="s">
        <v>110</v>
      </c>
      <c r="H260" s="216" t="s">
        <v>388</v>
      </c>
      <c r="I260" s="217"/>
      <c r="J260" s="211" t="s">
        <v>389</v>
      </c>
      <c r="K260" s="211" t="s">
        <v>1356</v>
      </c>
      <c r="L260" s="211" t="s">
        <v>30</v>
      </c>
      <c r="M260" s="211" t="s">
        <v>795</v>
      </c>
      <c r="N260" s="211" t="s">
        <v>14</v>
      </c>
      <c r="O260" s="211">
        <v>20</v>
      </c>
      <c r="P260" s="211" t="s">
        <v>719</v>
      </c>
      <c r="Q260" s="213" t="s">
        <v>390</v>
      </c>
      <c r="R260" s="237">
        <v>221.75</v>
      </c>
      <c r="S260" s="229">
        <f>Product_Name[[#This Row],[Đơn giá
Unit Price]]*Product_Name[[#This Row],[Số lượng
Quantity]]</f>
        <v>4435</v>
      </c>
      <c r="T260" s="230">
        <v>44462</v>
      </c>
      <c r="U260" s="220">
        <v>44531</v>
      </c>
      <c r="V260" s="221">
        <v>44516</v>
      </c>
      <c r="W260" s="211" t="s">
        <v>21</v>
      </c>
      <c r="X260" s="214" t="s">
        <v>16</v>
      </c>
      <c r="Y260" s="220"/>
      <c r="Z260" s="235" t="s">
        <v>328</v>
      </c>
      <c r="AA260" s="216"/>
      <c r="AB260" s="235"/>
      <c r="AC260" s="295"/>
    </row>
    <row r="261" spans="1:29" s="71" customFormat="1" ht="15.5" x14ac:dyDescent="0.35">
      <c r="A261" s="214">
        <v>3474</v>
      </c>
      <c r="B261" s="214" t="s">
        <v>1415</v>
      </c>
      <c r="C261" s="214">
        <v>3718</v>
      </c>
      <c r="D261" s="215" t="s">
        <v>110</v>
      </c>
      <c r="E261" s="215" t="s">
        <v>110</v>
      </c>
      <c r="F261" s="214" t="s">
        <v>110</v>
      </c>
      <c r="G261" s="214" t="s">
        <v>110</v>
      </c>
      <c r="H261" s="217" t="s">
        <v>415</v>
      </c>
      <c r="I261" s="217" t="s">
        <v>669</v>
      </c>
      <c r="J261" s="214" t="s">
        <v>417</v>
      </c>
      <c r="K261" s="214" t="s">
        <v>419</v>
      </c>
      <c r="L261" s="214" t="s">
        <v>419</v>
      </c>
      <c r="M261" s="211" t="s">
        <v>123</v>
      </c>
      <c r="N261" s="214" t="s">
        <v>14</v>
      </c>
      <c r="O261" s="214">
        <v>2</v>
      </c>
      <c r="P261" s="214" t="s">
        <v>37</v>
      </c>
      <c r="Q261" s="223" t="s">
        <v>108</v>
      </c>
      <c r="R261" s="229">
        <v>2200000</v>
      </c>
      <c r="S261" s="229">
        <f>Product_Name[[#This Row],[Đơn giá
Unit Price]]*Product_Name[[#This Row],[Số lượng
Quantity]]</f>
        <v>4400000</v>
      </c>
      <c r="T261" s="230">
        <v>44462</v>
      </c>
      <c r="U261" s="227">
        <v>44473</v>
      </c>
      <c r="V261" s="231">
        <v>44481</v>
      </c>
      <c r="W261" s="214" t="s">
        <v>2813</v>
      </c>
      <c r="X261" s="214" t="s">
        <v>16</v>
      </c>
      <c r="Y261" s="220"/>
      <c r="Z261" s="216"/>
      <c r="AA261" s="216"/>
      <c r="AB261" s="227"/>
      <c r="AC261" s="295"/>
    </row>
    <row r="262" spans="1:29" s="71" customFormat="1" ht="15.5" x14ac:dyDescent="0.35">
      <c r="A262" s="214">
        <v>3474</v>
      </c>
      <c r="B262" s="214" t="s">
        <v>1415</v>
      </c>
      <c r="C262" s="214">
        <v>3718</v>
      </c>
      <c r="D262" s="215" t="s">
        <v>110</v>
      </c>
      <c r="E262" s="215" t="s">
        <v>110</v>
      </c>
      <c r="F262" s="214" t="s">
        <v>110</v>
      </c>
      <c r="G262" s="214" t="s">
        <v>110</v>
      </c>
      <c r="H262" s="217" t="s">
        <v>416</v>
      </c>
      <c r="I262" s="217" t="s">
        <v>804</v>
      </c>
      <c r="J262" s="214" t="s">
        <v>418</v>
      </c>
      <c r="K262" s="214" t="s">
        <v>419</v>
      </c>
      <c r="L262" s="214" t="s">
        <v>419</v>
      </c>
      <c r="M262" s="211" t="s">
        <v>123</v>
      </c>
      <c r="N262" s="214" t="s">
        <v>14</v>
      </c>
      <c r="O262" s="214">
        <v>20</v>
      </c>
      <c r="P262" s="214" t="s">
        <v>46</v>
      </c>
      <c r="Q262" s="223" t="s">
        <v>108</v>
      </c>
      <c r="R262" s="229">
        <v>235000</v>
      </c>
      <c r="S262" s="229">
        <f>Product_Name[[#This Row],[Đơn giá
Unit Price]]*Product_Name[[#This Row],[Số lượng
Quantity]]</f>
        <v>4700000</v>
      </c>
      <c r="T262" s="230">
        <v>44462</v>
      </c>
      <c r="U262" s="227">
        <v>44473</v>
      </c>
      <c r="V262" s="231">
        <v>44481</v>
      </c>
      <c r="W262" s="214" t="s">
        <v>2813</v>
      </c>
      <c r="X262" s="214" t="s">
        <v>16</v>
      </c>
      <c r="Y262" s="220"/>
      <c r="Z262" s="216"/>
      <c r="AA262" s="216"/>
      <c r="AB262" s="227"/>
      <c r="AC262" s="295"/>
    </row>
    <row r="263" spans="1:29" s="71" customFormat="1" ht="15.5" x14ac:dyDescent="0.35">
      <c r="A263" s="211">
        <v>3505</v>
      </c>
      <c r="B263" s="214" t="s">
        <v>1396</v>
      </c>
      <c r="C263" s="211">
        <v>3744</v>
      </c>
      <c r="D263" s="215" t="s">
        <v>110</v>
      </c>
      <c r="E263" s="215" t="s">
        <v>110</v>
      </c>
      <c r="F263" s="211" t="s">
        <v>110</v>
      </c>
      <c r="G263" s="211" t="s">
        <v>110</v>
      </c>
      <c r="H263" s="217" t="s">
        <v>222</v>
      </c>
      <c r="I263" s="217" t="s">
        <v>1377</v>
      </c>
      <c r="J263" s="214" t="s">
        <v>220</v>
      </c>
      <c r="K263" s="214" t="s">
        <v>321</v>
      </c>
      <c r="L263" s="214" t="s">
        <v>321</v>
      </c>
      <c r="M263" s="214" t="s">
        <v>327</v>
      </c>
      <c r="N263" s="214" t="s">
        <v>14</v>
      </c>
      <c r="O263" s="214">
        <v>2</v>
      </c>
      <c r="P263" s="223" t="s">
        <v>105</v>
      </c>
      <c r="Q263" s="223" t="s">
        <v>108</v>
      </c>
      <c r="R263" s="229">
        <v>120000</v>
      </c>
      <c r="S263" s="229">
        <f>Product_Name[[#This Row],[Đơn giá
Unit Price]]*Product_Name[[#This Row],[Số lượng
Quantity]]</f>
        <v>240000</v>
      </c>
      <c r="T263" s="230">
        <v>44466</v>
      </c>
      <c r="U263" s="227">
        <v>44473</v>
      </c>
      <c r="V263" s="231">
        <v>44475</v>
      </c>
      <c r="W263" s="214" t="s">
        <v>2813</v>
      </c>
      <c r="X263" s="214" t="s">
        <v>16</v>
      </c>
      <c r="Y263" s="220"/>
      <c r="Z263" s="216"/>
      <c r="AA263" s="216"/>
      <c r="AB263" s="227"/>
      <c r="AC263" s="295"/>
    </row>
    <row r="264" spans="1:29" s="71" customFormat="1" ht="15.5" x14ac:dyDescent="0.35">
      <c r="A264" s="211">
        <v>3527</v>
      </c>
      <c r="B264" s="214" t="s">
        <v>1570</v>
      </c>
      <c r="C264" s="211">
        <v>3773</v>
      </c>
      <c r="D264" s="215" t="s">
        <v>110</v>
      </c>
      <c r="E264" s="215" t="s">
        <v>110</v>
      </c>
      <c r="F264" s="211" t="s">
        <v>110</v>
      </c>
      <c r="G264" s="211" t="s">
        <v>110</v>
      </c>
      <c r="H264" s="217" t="s">
        <v>1337</v>
      </c>
      <c r="I264" s="217" t="s">
        <v>1383</v>
      </c>
      <c r="J264" s="214">
        <v>120</v>
      </c>
      <c r="K264" s="214" t="s">
        <v>99</v>
      </c>
      <c r="L264" s="211" t="s">
        <v>99</v>
      </c>
      <c r="M264" s="211" t="s">
        <v>123</v>
      </c>
      <c r="N264" s="214" t="s">
        <v>14</v>
      </c>
      <c r="O264" s="214">
        <v>400</v>
      </c>
      <c r="P264" s="223" t="s">
        <v>47</v>
      </c>
      <c r="Q264" s="223" t="s">
        <v>108</v>
      </c>
      <c r="R264" s="229">
        <v>102000</v>
      </c>
      <c r="S264" s="229">
        <f>Product_Name[[#This Row],[Đơn giá
Unit Price]]*Product_Name[[#This Row],[Số lượng
Quantity]]</f>
        <v>40800000</v>
      </c>
      <c r="T264" s="230">
        <v>44470</v>
      </c>
      <c r="U264" s="227">
        <v>44487</v>
      </c>
      <c r="V264" s="231">
        <v>44532</v>
      </c>
      <c r="W264" s="214" t="s">
        <v>21</v>
      </c>
      <c r="X264" s="214" t="s">
        <v>16</v>
      </c>
      <c r="Y264" s="220"/>
      <c r="Z264" s="216"/>
      <c r="AA264" s="216"/>
      <c r="AB264" s="227"/>
      <c r="AC264" s="295"/>
    </row>
    <row r="265" spans="1:29" ht="15.5" x14ac:dyDescent="0.35">
      <c r="A265" s="211"/>
      <c r="B265" s="214"/>
      <c r="C265" s="211" t="s">
        <v>110</v>
      </c>
      <c r="D265" s="215">
        <v>1534</v>
      </c>
      <c r="E265" s="215">
        <v>3547</v>
      </c>
      <c r="F265" s="211" t="s">
        <v>110</v>
      </c>
      <c r="G265" s="213" t="s">
        <v>110</v>
      </c>
      <c r="H265" s="216" t="s">
        <v>1068</v>
      </c>
      <c r="I265" s="217" t="s">
        <v>1072</v>
      </c>
      <c r="J265" s="211" t="s">
        <v>1064</v>
      </c>
      <c r="K265" s="211"/>
      <c r="L265" s="211" t="s">
        <v>99</v>
      </c>
      <c r="M265" s="211" t="s">
        <v>1061</v>
      </c>
      <c r="N265" s="211" t="s">
        <v>642</v>
      </c>
      <c r="O265" s="211">
        <v>1</v>
      </c>
      <c r="P265" s="211" t="s">
        <v>276</v>
      </c>
      <c r="Q265" s="213" t="s">
        <v>108</v>
      </c>
      <c r="R265" s="218">
        <v>800000</v>
      </c>
      <c r="S265" s="229">
        <f>Product_Name[[#This Row],[Đơn giá
Unit Price]]*Product_Name[[#This Row],[Số lượng
Quantity]]</f>
        <v>800000</v>
      </c>
      <c r="T265" s="219">
        <v>44474</v>
      </c>
      <c r="U265" s="220">
        <v>44488</v>
      </c>
      <c r="V265" s="221"/>
      <c r="W265" s="211" t="s">
        <v>2814</v>
      </c>
      <c r="X265" s="214" t="s">
        <v>16</v>
      </c>
      <c r="Y265" s="220"/>
      <c r="Z265" s="216"/>
      <c r="AA265" s="216"/>
      <c r="AB265" s="227"/>
      <c r="AC265" s="295"/>
    </row>
    <row r="266" spans="1:29" s="71" customFormat="1" ht="15.5" x14ac:dyDescent="0.35">
      <c r="A266" s="211" t="s">
        <v>110</v>
      </c>
      <c r="B266" s="214" t="s">
        <v>1482</v>
      </c>
      <c r="C266" s="211" t="s">
        <v>110</v>
      </c>
      <c r="D266" s="215">
        <v>1540</v>
      </c>
      <c r="E266" s="215">
        <v>3556</v>
      </c>
      <c r="F266" s="211" t="s">
        <v>110</v>
      </c>
      <c r="G266" s="211" t="s">
        <v>110</v>
      </c>
      <c r="H266" s="217" t="s">
        <v>1379</v>
      </c>
      <c r="I266" s="217" t="s">
        <v>1380</v>
      </c>
      <c r="J266" s="214" t="s">
        <v>1378</v>
      </c>
      <c r="K266" s="214" t="s">
        <v>1381</v>
      </c>
      <c r="L266" s="214" t="s">
        <v>1399</v>
      </c>
      <c r="M266" s="214" t="s">
        <v>796</v>
      </c>
      <c r="N266" s="214" t="s">
        <v>642</v>
      </c>
      <c r="O266" s="214">
        <v>1</v>
      </c>
      <c r="P266" s="214" t="s">
        <v>276</v>
      </c>
      <c r="Q266" s="229" t="s">
        <v>108</v>
      </c>
      <c r="R266" s="229">
        <v>1848000</v>
      </c>
      <c r="S266" s="229">
        <f>Product_Name[[#This Row],[Đơn giá
Unit Price]]*Product_Name[[#This Row],[Số lượng
Quantity]]</f>
        <v>1848000</v>
      </c>
      <c r="T266" s="230">
        <v>44477</v>
      </c>
      <c r="U266" s="227">
        <v>44428</v>
      </c>
      <c r="V266" s="231">
        <v>44491</v>
      </c>
      <c r="W266" s="214" t="s">
        <v>2813</v>
      </c>
      <c r="X266" s="214" t="s">
        <v>16</v>
      </c>
      <c r="Y266" s="220"/>
      <c r="Z266" s="216"/>
      <c r="AA266" s="216"/>
      <c r="AB266" s="227"/>
      <c r="AC266" s="295"/>
    </row>
    <row r="267" spans="1:29" s="71" customFormat="1" ht="15.5" x14ac:dyDescent="0.35">
      <c r="A267" s="214" t="s">
        <v>110</v>
      </c>
      <c r="B267" s="214" t="s">
        <v>1598</v>
      </c>
      <c r="C267" s="214" t="s">
        <v>110</v>
      </c>
      <c r="D267" s="215">
        <v>1549</v>
      </c>
      <c r="E267" s="215">
        <v>3579</v>
      </c>
      <c r="F267" s="214" t="s">
        <v>1432</v>
      </c>
      <c r="G267" s="214" t="s">
        <v>1433</v>
      </c>
      <c r="H267" s="217" t="s">
        <v>1314</v>
      </c>
      <c r="I267" s="217" t="s">
        <v>1315</v>
      </c>
      <c r="J267" s="214" t="s">
        <v>1385</v>
      </c>
      <c r="K267" s="214" t="s">
        <v>1155</v>
      </c>
      <c r="L267" s="211" t="s">
        <v>1488</v>
      </c>
      <c r="M267" s="214" t="s">
        <v>796</v>
      </c>
      <c r="N267" s="214" t="s">
        <v>642</v>
      </c>
      <c r="O267" s="214">
        <v>1</v>
      </c>
      <c r="P267" s="214" t="s">
        <v>276</v>
      </c>
      <c r="Q267" s="229" t="s">
        <v>108</v>
      </c>
      <c r="R267" s="229">
        <v>25000000</v>
      </c>
      <c r="S267" s="229">
        <f>Product_Name[[#This Row],[Đơn giá
Unit Price]]*Product_Name[[#This Row],[Số lượng
Quantity]]</f>
        <v>25000000</v>
      </c>
      <c r="T267" s="230">
        <v>44484</v>
      </c>
      <c r="U267" s="227">
        <v>44515</v>
      </c>
      <c r="V267" s="231">
        <v>44538</v>
      </c>
      <c r="W267" s="214" t="s">
        <v>2577</v>
      </c>
      <c r="X267" s="214" t="s">
        <v>16</v>
      </c>
      <c r="Y267" s="220"/>
      <c r="Z267" s="216"/>
      <c r="AA267" s="216"/>
      <c r="AB267" s="227"/>
      <c r="AC267" s="295"/>
    </row>
    <row r="268" spans="1:29" s="71" customFormat="1" ht="15.5" x14ac:dyDescent="0.35">
      <c r="A268" s="214" t="s">
        <v>110</v>
      </c>
      <c r="B268" s="214" t="s">
        <v>1574</v>
      </c>
      <c r="C268" s="214" t="s">
        <v>110</v>
      </c>
      <c r="D268" s="215">
        <v>1550</v>
      </c>
      <c r="E268" s="215">
        <v>3578</v>
      </c>
      <c r="F268" s="214" t="s">
        <v>1430</v>
      </c>
      <c r="G268" s="214" t="s">
        <v>1431</v>
      </c>
      <c r="H268" s="217" t="s">
        <v>1340</v>
      </c>
      <c r="I268" s="217" t="s">
        <v>1338</v>
      </c>
      <c r="J268" s="214" t="s">
        <v>1339</v>
      </c>
      <c r="K268" s="214" t="s">
        <v>733</v>
      </c>
      <c r="L268" s="214" t="s">
        <v>733</v>
      </c>
      <c r="M268" s="214" t="s">
        <v>797</v>
      </c>
      <c r="N268" s="214" t="s">
        <v>642</v>
      </c>
      <c r="O268" s="214">
        <v>1</v>
      </c>
      <c r="P268" s="214" t="s">
        <v>276</v>
      </c>
      <c r="Q268" s="229" t="s">
        <v>108</v>
      </c>
      <c r="R268" s="229">
        <v>11100000</v>
      </c>
      <c r="S268" s="229">
        <f>Product_Name[[#This Row],[Đơn giá
Unit Price]]*Product_Name[[#This Row],[Số lượng
Quantity]]</f>
        <v>11100000</v>
      </c>
      <c r="T268" s="230">
        <v>44484</v>
      </c>
      <c r="U268" s="227">
        <v>44529</v>
      </c>
      <c r="V268" s="231">
        <v>44531</v>
      </c>
      <c r="W268" s="214" t="s">
        <v>2577</v>
      </c>
      <c r="X268" s="214" t="s">
        <v>16</v>
      </c>
      <c r="Y268" s="220"/>
      <c r="Z268" s="216"/>
      <c r="AA268" s="216"/>
      <c r="AB268" s="227"/>
      <c r="AC268" s="295"/>
    </row>
    <row r="269" spans="1:29" s="71" customFormat="1" ht="15.5" x14ac:dyDescent="0.35">
      <c r="A269" s="214">
        <v>3574</v>
      </c>
      <c r="B269" s="214" t="s">
        <v>1556</v>
      </c>
      <c r="C269" s="214">
        <v>3841</v>
      </c>
      <c r="D269" s="215" t="s">
        <v>110</v>
      </c>
      <c r="E269" s="215" t="s">
        <v>110</v>
      </c>
      <c r="F269" s="214" t="s">
        <v>110</v>
      </c>
      <c r="G269" s="214" t="s">
        <v>110</v>
      </c>
      <c r="H269" s="217" t="s">
        <v>995</v>
      </c>
      <c r="I269" s="217" t="s">
        <v>997</v>
      </c>
      <c r="J269" s="214" t="s">
        <v>996</v>
      </c>
      <c r="K269" s="211" t="s">
        <v>176</v>
      </c>
      <c r="L269" s="214" t="s">
        <v>176</v>
      </c>
      <c r="M269" s="211" t="s">
        <v>123</v>
      </c>
      <c r="N269" s="214" t="s">
        <v>14</v>
      </c>
      <c r="O269" s="214">
        <v>10</v>
      </c>
      <c r="P269" s="214" t="s">
        <v>276</v>
      </c>
      <c r="Q269" s="223" t="s">
        <v>108</v>
      </c>
      <c r="R269" s="229">
        <v>149000</v>
      </c>
      <c r="S269" s="229">
        <f>Product_Name[[#This Row],[Đơn giá
Unit Price]]*Product_Name[[#This Row],[Số lượng
Quantity]]</f>
        <v>1490000</v>
      </c>
      <c r="T269" s="230">
        <v>44484</v>
      </c>
      <c r="U269" s="227">
        <v>44515</v>
      </c>
      <c r="V269" s="231">
        <v>44524</v>
      </c>
      <c r="W269" s="214" t="s">
        <v>2814</v>
      </c>
      <c r="X269" s="214" t="s">
        <v>16</v>
      </c>
      <c r="Y269" s="220"/>
      <c r="Z269" s="241" t="s">
        <v>328</v>
      </c>
      <c r="AA269" s="216"/>
      <c r="AB269" s="241"/>
      <c r="AC269" s="295"/>
    </row>
    <row r="270" spans="1:29" ht="15.5" x14ac:dyDescent="0.35">
      <c r="A270" s="214">
        <v>3658</v>
      </c>
      <c r="B270" s="214" t="s">
        <v>1490</v>
      </c>
      <c r="C270" s="214" t="s">
        <v>1481</v>
      </c>
      <c r="D270" s="215" t="s">
        <v>110</v>
      </c>
      <c r="E270" s="215" t="s">
        <v>110</v>
      </c>
      <c r="F270" s="214" t="s">
        <v>110</v>
      </c>
      <c r="G270" s="214" t="s">
        <v>110</v>
      </c>
      <c r="H270" s="217" t="s">
        <v>717</v>
      </c>
      <c r="I270" s="217" t="s">
        <v>1489</v>
      </c>
      <c r="J270" s="211" t="s">
        <v>2966</v>
      </c>
      <c r="K270" s="214" t="s">
        <v>1241</v>
      </c>
      <c r="L270" s="214" t="s">
        <v>718</v>
      </c>
      <c r="M270" s="214" t="s">
        <v>327</v>
      </c>
      <c r="N270" s="214" t="s">
        <v>14</v>
      </c>
      <c r="O270" s="214">
        <v>80</v>
      </c>
      <c r="P270" s="214" t="s">
        <v>719</v>
      </c>
      <c r="Q270" s="223" t="s">
        <v>108</v>
      </c>
      <c r="R270" s="229">
        <v>602500</v>
      </c>
      <c r="S270" s="229">
        <f>Product_Name[[#This Row],[Đơn giá
Unit Price]]*Product_Name[[#This Row],[Số lượng
Quantity]]</f>
        <v>48200000</v>
      </c>
      <c r="T270" s="230">
        <v>44487</v>
      </c>
      <c r="U270" s="227">
        <v>44498</v>
      </c>
      <c r="V270" s="231">
        <v>44503</v>
      </c>
      <c r="W270" s="214" t="s">
        <v>21</v>
      </c>
      <c r="X270" s="214" t="s">
        <v>16</v>
      </c>
      <c r="Y270" s="220"/>
      <c r="Z270" s="216" t="s">
        <v>328</v>
      </c>
      <c r="AA270" s="216" t="s">
        <v>2076</v>
      </c>
      <c r="AB270" s="227"/>
      <c r="AC270" s="295"/>
    </row>
    <row r="271" spans="1:29" s="71" customFormat="1" ht="15.5" x14ac:dyDescent="0.35">
      <c r="A271" s="214" t="s">
        <v>110</v>
      </c>
      <c r="B271" s="214" t="s">
        <v>1496</v>
      </c>
      <c r="C271" s="214" t="s">
        <v>110</v>
      </c>
      <c r="D271" s="215">
        <v>1566</v>
      </c>
      <c r="E271" s="215">
        <v>3622</v>
      </c>
      <c r="F271" s="214" t="s">
        <v>1457</v>
      </c>
      <c r="G271" s="214" t="s">
        <v>1464</v>
      </c>
      <c r="H271" s="217" t="s">
        <v>1044</v>
      </c>
      <c r="I271" s="217" t="s">
        <v>1054</v>
      </c>
      <c r="J271" s="214" t="s">
        <v>1037</v>
      </c>
      <c r="K271" s="214" t="s">
        <v>99</v>
      </c>
      <c r="L271" s="211" t="s">
        <v>99</v>
      </c>
      <c r="M271" s="214" t="s">
        <v>796</v>
      </c>
      <c r="N271" s="214" t="s">
        <v>642</v>
      </c>
      <c r="O271" s="214">
        <v>7</v>
      </c>
      <c r="P271" s="214" t="s">
        <v>276</v>
      </c>
      <c r="Q271" s="223" t="s">
        <v>108</v>
      </c>
      <c r="R271" s="229">
        <v>840000</v>
      </c>
      <c r="S271" s="229">
        <f>Product_Name[[#This Row],[Đơn giá
Unit Price]]*Product_Name[[#This Row],[Số lượng
Quantity]]</f>
        <v>5880000</v>
      </c>
      <c r="T271" s="230">
        <v>44491</v>
      </c>
      <c r="U271" s="227">
        <v>44505</v>
      </c>
      <c r="V271" s="231">
        <v>44505</v>
      </c>
      <c r="W271" s="214" t="s">
        <v>2577</v>
      </c>
      <c r="X271" s="214" t="s">
        <v>16</v>
      </c>
      <c r="Y271" s="220"/>
      <c r="Z271" s="216"/>
      <c r="AA271" s="216"/>
      <c r="AB271" s="227"/>
      <c r="AC271" s="295"/>
    </row>
    <row r="272" spans="1:29" ht="31" x14ac:dyDescent="0.35">
      <c r="A272" s="211">
        <v>3627</v>
      </c>
      <c r="B272" s="223" t="s">
        <v>1822</v>
      </c>
      <c r="C272" s="211">
        <v>3873</v>
      </c>
      <c r="D272" s="215" t="s">
        <v>110</v>
      </c>
      <c r="E272" s="215" t="s">
        <v>110</v>
      </c>
      <c r="F272" s="214" t="s">
        <v>110</v>
      </c>
      <c r="G272" s="214" t="s">
        <v>110</v>
      </c>
      <c r="H272" s="216" t="s">
        <v>1410</v>
      </c>
      <c r="I272" s="217" t="s">
        <v>1408</v>
      </c>
      <c r="J272" s="211" t="s">
        <v>1407</v>
      </c>
      <c r="K272" s="211" t="s">
        <v>1461</v>
      </c>
      <c r="L272" s="211" t="s">
        <v>30</v>
      </c>
      <c r="M272" s="211" t="s">
        <v>795</v>
      </c>
      <c r="N272" s="211" t="s">
        <v>14</v>
      </c>
      <c r="O272" s="211">
        <v>50</v>
      </c>
      <c r="P272" s="214" t="s">
        <v>276</v>
      </c>
      <c r="Q272" s="213" t="s">
        <v>390</v>
      </c>
      <c r="R272" s="237">
        <v>67.69</v>
      </c>
      <c r="S272" s="229">
        <f>Product_Name[[#This Row],[Đơn giá
Unit Price]]*Product_Name[[#This Row],[Số lượng
Quantity]]</f>
        <v>3384.5</v>
      </c>
      <c r="T272" s="219">
        <v>44494</v>
      </c>
      <c r="U272" s="220">
        <v>44589</v>
      </c>
      <c r="V272" s="234" t="s">
        <v>1823</v>
      </c>
      <c r="W272" s="211" t="s">
        <v>51</v>
      </c>
      <c r="X272" s="214" t="s">
        <v>16</v>
      </c>
      <c r="Y272" s="220"/>
      <c r="Z272" s="216"/>
      <c r="AA272" s="216" t="s">
        <v>2056</v>
      </c>
      <c r="AB272" s="227"/>
      <c r="AC272" s="295"/>
    </row>
    <row r="273" spans="1:29" ht="46" customHeight="1" x14ac:dyDescent="0.35">
      <c r="A273" s="211">
        <v>3626</v>
      </c>
      <c r="B273" s="214" t="s">
        <v>1718</v>
      </c>
      <c r="C273" s="211">
        <v>3875</v>
      </c>
      <c r="D273" s="215" t="s">
        <v>110</v>
      </c>
      <c r="E273" s="215" t="s">
        <v>110</v>
      </c>
      <c r="F273" s="214" t="s">
        <v>110</v>
      </c>
      <c r="G273" s="214" t="s">
        <v>110</v>
      </c>
      <c r="H273" s="216" t="s">
        <v>1411</v>
      </c>
      <c r="I273" s="217" t="s">
        <v>1409</v>
      </c>
      <c r="J273" s="211" t="s">
        <v>1412</v>
      </c>
      <c r="K273" s="211" t="s">
        <v>1462</v>
      </c>
      <c r="L273" s="211" t="s">
        <v>100</v>
      </c>
      <c r="M273" s="211" t="s">
        <v>795</v>
      </c>
      <c r="N273" s="211" t="s">
        <v>14</v>
      </c>
      <c r="O273" s="211">
        <v>10</v>
      </c>
      <c r="P273" s="211" t="s">
        <v>106</v>
      </c>
      <c r="Q273" s="213" t="s">
        <v>108</v>
      </c>
      <c r="R273" s="218">
        <v>6750000</v>
      </c>
      <c r="S273" s="229">
        <f>Product_Name[[#This Row],[Đơn giá
Unit Price]]*Product_Name[[#This Row],[Số lượng
Quantity]]</f>
        <v>67500000</v>
      </c>
      <c r="T273" s="219">
        <v>44494</v>
      </c>
      <c r="U273" s="220">
        <v>44557</v>
      </c>
      <c r="V273" s="221">
        <v>44574</v>
      </c>
      <c r="W273" s="211" t="s">
        <v>51</v>
      </c>
      <c r="X273" s="214" t="s">
        <v>16</v>
      </c>
      <c r="Y273" s="220"/>
      <c r="Z273" s="216"/>
      <c r="AA273" s="216"/>
      <c r="AB273" s="227"/>
      <c r="AC273" s="295"/>
    </row>
    <row r="274" spans="1:29" ht="31" x14ac:dyDescent="0.35">
      <c r="A274" s="211">
        <v>3628</v>
      </c>
      <c r="B274" s="214" t="s">
        <v>1827</v>
      </c>
      <c r="C274" s="211">
        <v>3882</v>
      </c>
      <c r="D274" s="215" t="s">
        <v>110</v>
      </c>
      <c r="E274" s="215" t="s">
        <v>110</v>
      </c>
      <c r="F274" s="211" t="s">
        <v>1454</v>
      </c>
      <c r="G274" s="213" t="s">
        <v>1465</v>
      </c>
      <c r="H274" s="216" t="s">
        <v>894</v>
      </c>
      <c r="I274" s="217" t="s">
        <v>909</v>
      </c>
      <c r="J274" s="214" t="s">
        <v>835</v>
      </c>
      <c r="K274" s="214" t="s">
        <v>1445</v>
      </c>
      <c r="L274" s="214" t="s">
        <v>1451</v>
      </c>
      <c r="M274" s="214" t="s">
        <v>124</v>
      </c>
      <c r="N274" s="214" t="s">
        <v>14</v>
      </c>
      <c r="O274" s="211">
        <v>1</v>
      </c>
      <c r="P274" s="214" t="s">
        <v>276</v>
      </c>
      <c r="Q274" s="213" t="s">
        <v>108</v>
      </c>
      <c r="R274" s="218">
        <v>84870500</v>
      </c>
      <c r="S274" s="229">
        <f>Product_Name[[#This Row],[Đơn giá
Unit Price]]*Product_Name[[#This Row],[Số lượng
Quantity]]</f>
        <v>84870500</v>
      </c>
      <c r="T274" s="219">
        <v>44495</v>
      </c>
      <c r="U274" s="220">
        <v>44600</v>
      </c>
      <c r="V274" s="221">
        <v>44629</v>
      </c>
      <c r="W274" s="211" t="s">
        <v>51</v>
      </c>
      <c r="X274" s="214" t="s">
        <v>16</v>
      </c>
      <c r="Y274" s="220"/>
      <c r="Z274" s="216"/>
      <c r="AA274" s="216" t="s">
        <v>2102</v>
      </c>
      <c r="AB274" s="227"/>
      <c r="AC274" s="295"/>
    </row>
    <row r="275" spans="1:29" ht="31" x14ac:dyDescent="0.35">
      <c r="A275" s="211">
        <v>3628</v>
      </c>
      <c r="B275" s="214" t="s">
        <v>1827</v>
      </c>
      <c r="C275" s="211">
        <v>3882</v>
      </c>
      <c r="D275" s="215" t="s">
        <v>110</v>
      </c>
      <c r="E275" s="215" t="s">
        <v>110</v>
      </c>
      <c r="F275" s="211" t="s">
        <v>1454</v>
      </c>
      <c r="G275" s="213" t="s">
        <v>1465</v>
      </c>
      <c r="H275" s="216" t="s">
        <v>895</v>
      </c>
      <c r="I275" s="217" t="s">
        <v>910</v>
      </c>
      <c r="J275" s="214" t="s">
        <v>836</v>
      </c>
      <c r="K275" s="214" t="s">
        <v>1445</v>
      </c>
      <c r="L275" s="214" t="s">
        <v>1451</v>
      </c>
      <c r="M275" s="214" t="s">
        <v>124</v>
      </c>
      <c r="N275" s="214" t="s">
        <v>14</v>
      </c>
      <c r="O275" s="211">
        <v>1</v>
      </c>
      <c r="P275" s="214" t="s">
        <v>276</v>
      </c>
      <c r="Q275" s="213" t="s">
        <v>108</v>
      </c>
      <c r="R275" s="218">
        <v>59009600</v>
      </c>
      <c r="S275" s="229">
        <f>Product_Name[[#This Row],[Đơn giá
Unit Price]]*Product_Name[[#This Row],[Số lượng
Quantity]]</f>
        <v>59009600</v>
      </c>
      <c r="T275" s="219">
        <v>44495</v>
      </c>
      <c r="U275" s="220">
        <v>44600</v>
      </c>
      <c r="V275" s="221">
        <v>44629</v>
      </c>
      <c r="W275" s="211" t="s">
        <v>51</v>
      </c>
      <c r="X275" s="214" t="s">
        <v>16</v>
      </c>
      <c r="Y275" s="220"/>
      <c r="Z275" s="216"/>
      <c r="AA275" s="216" t="s">
        <v>2102</v>
      </c>
      <c r="AB275" s="227"/>
      <c r="AC275" s="295"/>
    </row>
    <row r="276" spans="1:29" ht="31" x14ac:dyDescent="0.35">
      <c r="A276" s="211">
        <v>3628</v>
      </c>
      <c r="B276" s="214" t="s">
        <v>1827</v>
      </c>
      <c r="C276" s="211">
        <v>3882</v>
      </c>
      <c r="D276" s="215" t="s">
        <v>110</v>
      </c>
      <c r="E276" s="215" t="s">
        <v>110</v>
      </c>
      <c r="F276" s="211" t="s">
        <v>1454</v>
      </c>
      <c r="G276" s="213" t="s">
        <v>1465</v>
      </c>
      <c r="H276" s="216" t="s">
        <v>893</v>
      </c>
      <c r="I276" s="217" t="s">
        <v>908</v>
      </c>
      <c r="J276" s="214" t="s">
        <v>854</v>
      </c>
      <c r="K276" s="214" t="s">
        <v>1445</v>
      </c>
      <c r="L276" s="214" t="s">
        <v>1451</v>
      </c>
      <c r="M276" s="214" t="s">
        <v>124</v>
      </c>
      <c r="N276" s="214" t="s">
        <v>14</v>
      </c>
      <c r="O276" s="211">
        <v>1</v>
      </c>
      <c r="P276" s="214" t="s">
        <v>276</v>
      </c>
      <c r="Q276" s="213" t="s">
        <v>108</v>
      </c>
      <c r="R276" s="218">
        <v>2774200</v>
      </c>
      <c r="S276" s="229">
        <f>Product_Name[[#This Row],[Đơn giá
Unit Price]]*Product_Name[[#This Row],[Số lượng
Quantity]]</f>
        <v>2774200</v>
      </c>
      <c r="T276" s="219">
        <v>44495</v>
      </c>
      <c r="U276" s="220">
        <v>44600</v>
      </c>
      <c r="V276" s="221">
        <v>44629</v>
      </c>
      <c r="W276" s="211" t="s">
        <v>51</v>
      </c>
      <c r="X276" s="214" t="s">
        <v>16</v>
      </c>
      <c r="Y276" s="220"/>
      <c r="Z276" s="216"/>
      <c r="AA276" s="216" t="s">
        <v>2102</v>
      </c>
      <c r="AB276" s="227"/>
      <c r="AC276" s="295"/>
    </row>
    <row r="277" spans="1:29" ht="31" x14ac:dyDescent="0.35">
      <c r="A277" s="211">
        <v>3628</v>
      </c>
      <c r="B277" s="214" t="s">
        <v>1827</v>
      </c>
      <c r="C277" s="211">
        <v>3882</v>
      </c>
      <c r="D277" s="215" t="s">
        <v>110</v>
      </c>
      <c r="E277" s="215" t="s">
        <v>110</v>
      </c>
      <c r="F277" s="211" t="s">
        <v>1454</v>
      </c>
      <c r="G277" s="213" t="s">
        <v>1465</v>
      </c>
      <c r="H277" s="216" t="s">
        <v>893</v>
      </c>
      <c r="I277" s="217" t="s">
        <v>908</v>
      </c>
      <c r="J277" s="214" t="s">
        <v>855</v>
      </c>
      <c r="K277" s="214" t="s">
        <v>1445</v>
      </c>
      <c r="L277" s="214" t="s">
        <v>1451</v>
      </c>
      <c r="M277" s="214" t="s">
        <v>124</v>
      </c>
      <c r="N277" s="214" t="s">
        <v>14</v>
      </c>
      <c r="O277" s="211">
        <v>1</v>
      </c>
      <c r="P277" s="214" t="s">
        <v>276</v>
      </c>
      <c r="Q277" s="213" t="s">
        <v>108</v>
      </c>
      <c r="R277" s="218">
        <v>3984500</v>
      </c>
      <c r="S277" s="229">
        <f>Product_Name[[#This Row],[Đơn giá
Unit Price]]*Product_Name[[#This Row],[Số lượng
Quantity]]</f>
        <v>3984500</v>
      </c>
      <c r="T277" s="219">
        <v>44495</v>
      </c>
      <c r="U277" s="220">
        <v>44600</v>
      </c>
      <c r="V277" s="221">
        <v>44629</v>
      </c>
      <c r="W277" s="211" t="s">
        <v>51</v>
      </c>
      <c r="X277" s="214" t="s">
        <v>16</v>
      </c>
      <c r="Y277" s="220"/>
      <c r="Z277" s="216"/>
      <c r="AA277" s="216" t="s">
        <v>2102</v>
      </c>
      <c r="AB277" s="227"/>
      <c r="AC277" s="295"/>
    </row>
    <row r="278" spans="1:29" ht="31" x14ac:dyDescent="0.35">
      <c r="A278" s="211">
        <v>3628</v>
      </c>
      <c r="B278" s="214" t="s">
        <v>1827</v>
      </c>
      <c r="C278" s="211">
        <v>3882</v>
      </c>
      <c r="D278" s="215" t="s">
        <v>110</v>
      </c>
      <c r="E278" s="215" t="s">
        <v>110</v>
      </c>
      <c r="F278" s="211" t="s">
        <v>1454</v>
      </c>
      <c r="G278" s="213" t="s">
        <v>1465</v>
      </c>
      <c r="H278" s="216" t="s">
        <v>893</v>
      </c>
      <c r="I278" s="217" t="s">
        <v>908</v>
      </c>
      <c r="J278" s="214" t="s">
        <v>856</v>
      </c>
      <c r="K278" s="214" t="s">
        <v>1445</v>
      </c>
      <c r="L278" s="214" t="s">
        <v>1451</v>
      </c>
      <c r="M278" s="214" t="s">
        <v>124</v>
      </c>
      <c r="N278" s="214" t="s">
        <v>14</v>
      </c>
      <c r="O278" s="211">
        <v>1</v>
      </c>
      <c r="P278" s="214" t="s">
        <v>276</v>
      </c>
      <c r="Q278" s="213" t="s">
        <v>108</v>
      </c>
      <c r="R278" s="218">
        <v>2454400</v>
      </c>
      <c r="S278" s="229">
        <f>Product_Name[[#This Row],[Đơn giá
Unit Price]]*Product_Name[[#This Row],[Số lượng
Quantity]]</f>
        <v>2454400</v>
      </c>
      <c r="T278" s="219">
        <v>44495</v>
      </c>
      <c r="U278" s="220">
        <v>44600</v>
      </c>
      <c r="V278" s="221">
        <v>44629</v>
      </c>
      <c r="W278" s="211" t="s">
        <v>51</v>
      </c>
      <c r="X278" s="214" t="s">
        <v>16</v>
      </c>
      <c r="Y278" s="220"/>
      <c r="Z278" s="216"/>
      <c r="AA278" s="216" t="s">
        <v>2102</v>
      </c>
      <c r="AB278" s="227"/>
      <c r="AC278" s="295"/>
    </row>
    <row r="279" spans="1:29" ht="31" x14ac:dyDescent="0.35">
      <c r="A279" s="211">
        <v>3628</v>
      </c>
      <c r="B279" s="214" t="s">
        <v>1827</v>
      </c>
      <c r="C279" s="211">
        <v>3882</v>
      </c>
      <c r="D279" s="215" t="s">
        <v>110</v>
      </c>
      <c r="E279" s="215" t="s">
        <v>110</v>
      </c>
      <c r="F279" s="211" t="s">
        <v>1454</v>
      </c>
      <c r="G279" s="213" t="s">
        <v>1465</v>
      </c>
      <c r="H279" s="216" t="s">
        <v>893</v>
      </c>
      <c r="I279" s="217" t="s">
        <v>908</v>
      </c>
      <c r="J279" s="214" t="s">
        <v>857</v>
      </c>
      <c r="K279" s="214" t="s">
        <v>1445</v>
      </c>
      <c r="L279" s="214" t="s">
        <v>1451</v>
      </c>
      <c r="M279" s="214" t="s">
        <v>124</v>
      </c>
      <c r="N279" s="214" t="s">
        <v>14</v>
      </c>
      <c r="O279" s="211">
        <v>1</v>
      </c>
      <c r="P279" s="214" t="s">
        <v>276</v>
      </c>
      <c r="Q279" s="213" t="s">
        <v>108</v>
      </c>
      <c r="R279" s="218">
        <v>5093400</v>
      </c>
      <c r="S279" s="229">
        <f>Product_Name[[#This Row],[Đơn giá
Unit Price]]*Product_Name[[#This Row],[Số lượng
Quantity]]</f>
        <v>5093400</v>
      </c>
      <c r="T279" s="219">
        <v>44495</v>
      </c>
      <c r="U279" s="220">
        <v>44600</v>
      </c>
      <c r="V279" s="221">
        <v>44629</v>
      </c>
      <c r="W279" s="211" t="s">
        <v>51</v>
      </c>
      <c r="X279" s="214" t="s">
        <v>16</v>
      </c>
      <c r="Y279" s="220"/>
      <c r="Z279" s="216"/>
      <c r="AA279" s="216" t="s">
        <v>2102</v>
      </c>
      <c r="AB279" s="227"/>
      <c r="AC279" s="295"/>
    </row>
    <row r="280" spans="1:29" ht="31" x14ac:dyDescent="0.35">
      <c r="A280" s="211">
        <v>3628</v>
      </c>
      <c r="B280" s="214" t="s">
        <v>1827</v>
      </c>
      <c r="C280" s="211">
        <v>3882</v>
      </c>
      <c r="D280" s="215" t="s">
        <v>110</v>
      </c>
      <c r="E280" s="215" t="s">
        <v>110</v>
      </c>
      <c r="F280" s="211" t="s">
        <v>1454</v>
      </c>
      <c r="G280" s="213" t="s">
        <v>1465</v>
      </c>
      <c r="H280" s="216" t="s">
        <v>893</v>
      </c>
      <c r="I280" s="217" t="s">
        <v>908</v>
      </c>
      <c r="J280" s="214" t="s">
        <v>858</v>
      </c>
      <c r="K280" s="214" t="s">
        <v>1445</v>
      </c>
      <c r="L280" s="214" t="s">
        <v>1451</v>
      </c>
      <c r="M280" s="214" t="s">
        <v>124</v>
      </c>
      <c r="N280" s="214" t="s">
        <v>14</v>
      </c>
      <c r="O280" s="211">
        <v>1</v>
      </c>
      <c r="P280" s="214" t="s">
        <v>276</v>
      </c>
      <c r="Q280" s="213" t="s">
        <v>108</v>
      </c>
      <c r="R280" s="218">
        <v>18661500</v>
      </c>
      <c r="S280" s="229">
        <f>Product_Name[[#This Row],[Đơn giá
Unit Price]]*Product_Name[[#This Row],[Số lượng
Quantity]]</f>
        <v>18661500</v>
      </c>
      <c r="T280" s="219">
        <v>44495</v>
      </c>
      <c r="U280" s="220">
        <v>44600</v>
      </c>
      <c r="V280" s="221">
        <v>44629</v>
      </c>
      <c r="W280" s="211" t="s">
        <v>51</v>
      </c>
      <c r="X280" s="214" t="s">
        <v>16</v>
      </c>
      <c r="Y280" s="220"/>
      <c r="Z280" s="216"/>
      <c r="AA280" s="216" t="s">
        <v>2102</v>
      </c>
      <c r="AB280" s="227"/>
      <c r="AC280" s="295"/>
    </row>
    <row r="281" spans="1:29" ht="31" x14ac:dyDescent="0.35">
      <c r="A281" s="211">
        <v>3628</v>
      </c>
      <c r="B281" s="214" t="s">
        <v>2159</v>
      </c>
      <c r="C281" s="211">
        <v>3882</v>
      </c>
      <c r="D281" s="215" t="s">
        <v>110</v>
      </c>
      <c r="E281" s="215" t="s">
        <v>110</v>
      </c>
      <c r="F281" s="211" t="s">
        <v>1454</v>
      </c>
      <c r="G281" s="213" t="s">
        <v>1465</v>
      </c>
      <c r="H281" s="216" t="s">
        <v>893</v>
      </c>
      <c r="I281" s="217" t="s">
        <v>908</v>
      </c>
      <c r="J281" s="214" t="s">
        <v>859</v>
      </c>
      <c r="K281" s="214" t="s">
        <v>1445</v>
      </c>
      <c r="L281" s="214" t="s">
        <v>1451</v>
      </c>
      <c r="M281" s="214" t="s">
        <v>124</v>
      </c>
      <c r="N281" s="214" t="s">
        <v>14</v>
      </c>
      <c r="O281" s="211">
        <v>1</v>
      </c>
      <c r="P281" s="214" t="s">
        <v>276</v>
      </c>
      <c r="Q281" s="213" t="s">
        <v>108</v>
      </c>
      <c r="R281" s="218">
        <v>15635100</v>
      </c>
      <c r="S281" s="229">
        <f>Product_Name[[#This Row],[Đơn giá
Unit Price]]*Product_Name[[#This Row],[Số lượng
Quantity]]</f>
        <v>15635100</v>
      </c>
      <c r="T281" s="219">
        <v>44495</v>
      </c>
      <c r="U281" s="220">
        <v>44600</v>
      </c>
      <c r="V281" s="221">
        <v>44693</v>
      </c>
      <c r="W281" s="211" t="s">
        <v>51</v>
      </c>
      <c r="X281" s="214" t="s">
        <v>16</v>
      </c>
      <c r="Y281" s="220"/>
      <c r="Z281" s="216"/>
      <c r="AA281" s="216" t="s">
        <v>2102</v>
      </c>
      <c r="AB281" s="227"/>
      <c r="AC281" s="295"/>
    </row>
    <row r="282" spans="1:29" ht="31" x14ac:dyDescent="0.35">
      <c r="A282" s="211">
        <v>3628</v>
      </c>
      <c r="B282" s="214" t="s">
        <v>2159</v>
      </c>
      <c r="C282" s="211">
        <v>3882</v>
      </c>
      <c r="D282" s="215" t="s">
        <v>110</v>
      </c>
      <c r="E282" s="215" t="s">
        <v>110</v>
      </c>
      <c r="F282" s="211" t="s">
        <v>1454</v>
      </c>
      <c r="G282" s="213" t="s">
        <v>1465</v>
      </c>
      <c r="H282" s="216" t="s">
        <v>893</v>
      </c>
      <c r="I282" s="217" t="s">
        <v>908</v>
      </c>
      <c r="J282" s="214" t="s">
        <v>860</v>
      </c>
      <c r="K282" s="214" t="s">
        <v>1445</v>
      </c>
      <c r="L282" s="214" t="s">
        <v>1451</v>
      </c>
      <c r="M282" s="214" t="s">
        <v>124</v>
      </c>
      <c r="N282" s="214" t="s">
        <v>14</v>
      </c>
      <c r="O282" s="211">
        <v>1</v>
      </c>
      <c r="P282" s="214" t="s">
        <v>276</v>
      </c>
      <c r="Q282" s="213" t="s">
        <v>108</v>
      </c>
      <c r="R282" s="218">
        <v>18661500</v>
      </c>
      <c r="S282" s="229">
        <f>Product_Name[[#This Row],[Đơn giá
Unit Price]]*Product_Name[[#This Row],[Số lượng
Quantity]]</f>
        <v>18661500</v>
      </c>
      <c r="T282" s="219">
        <v>44495</v>
      </c>
      <c r="U282" s="220">
        <v>44600</v>
      </c>
      <c r="V282" s="221">
        <v>44693</v>
      </c>
      <c r="W282" s="211" t="s">
        <v>51</v>
      </c>
      <c r="X282" s="214" t="s">
        <v>16</v>
      </c>
      <c r="Y282" s="220"/>
      <c r="Z282" s="216"/>
      <c r="AA282" s="216" t="s">
        <v>2102</v>
      </c>
      <c r="AB282" s="227"/>
      <c r="AC282" s="295"/>
    </row>
    <row r="283" spans="1:29" ht="31" x14ac:dyDescent="0.35">
      <c r="A283" s="211">
        <v>3628</v>
      </c>
      <c r="B283" s="214" t="s">
        <v>1827</v>
      </c>
      <c r="C283" s="211">
        <v>3882</v>
      </c>
      <c r="D283" s="215" t="s">
        <v>110</v>
      </c>
      <c r="E283" s="215" t="s">
        <v>110</v>
      </c>
      <c r="F283" s="211" t="s">
        <v>1454</v>
      </c>
      <c r="G283" s="213" t="s">
        <v>1465</v>
      </c>
      <c r="H283" s="216" t="s">
        <v>893</v>
      </c>
      <c r="I283" s="217" t="s">
        <v>908</v>
      </c>
      <c r="J283" s="214" t="s">
        <v>861</v>
      </c>
      <c r="K283" s="214" t="s">
        <v>1445</v>
      </c>
      <c r="L283" s="214" t="s">
        <v>1451</v>
      </c>
      <c r="M283" s="214" t="s">
        <v>124</v>
      </c>
      <c r="N283" s="214" t="s">
        <v>14</v>
      </c>
      <c r="O283" s="211">
        <v>1</v>
      </c>
      <c r="P283" s="214" t="s">
        <v>276</v>
      </c>
      <c r="Q283" s="213" t="s">
        <v>108</v>
      </c>
      <c r="R283" s="218">
        <v>12121200</v>
      </c>
      <c r="S283" s="229">
        <f>Product_Name[[#This Row],[Đơn giá
Unit Price]]*Product_Name[[#This Row],[Số lượng
Quantity]]</f>
        <v>12121200</v>
      </c>
      <c r="T283" s="219">
        <v>44495</v>
      </c>
      <c r="U283" s="220">
        <v>44600</v>
      </c>
      <c r="V283" s="221">
        <v>44629</v>
      </c>
      <c r="W283" s="211" t="s">
        <v>51</v>
      </c>
      <c r="X283" s="214" t="s">
        <v>16</v>
      </c>
      <c r="Y283" s="220"/>
      <c r="Z283" s="216"/>
      <c r="AA283" s="216" t="s">
        <v>2102</v>
      </c>
      <c r="AB283" s="227"/>
      <c r="AC283" s="295"/>
    </row>
    <row r="284" spans="1:29" ht="31" x14ac:dyDescent="0.35">
      <c r="A284" s="211">
        <v>3628</v>
      </c>
      <c r="B284" s="214" t="s">
        <v>1827</v>
      </c>
      <c r="C284" s="211">
        <v>3882</v>
      </c>
      <c r="D284" s="215" t="s">
        <v>110</v>
      </c>
      <c r="E284" s="215" t="s">
        <v>110</v>
      </c>
      <c r="F284" s="211" t="s">
        <v>1454</v>
      </c>
      <c r="G284" s="213" t="s">
        <v>1465</v>
      </c>
      <c r="H284" s="216" t="s">
        <v>893</v>
      </c>
      <c r="I284" s="217" t="s">
        <v>908</v>
      </c>
      <c r="J284" s="214" t="s">
        <v>862</v>
      </c>
      <c r="K284" s="214" t="s">
        <v>1445</v>
      </c>
      <c r="L284" s="214" t="s">
        <v>1451</v>
      </c>
      <c r="M284" s="214" t="s">
        <v>124</v>
      </c>
      <c r="N284" s="214" t="s">
        <v>14</v>
      </c>
      <c r="O284" s="211">
        <v>1</v>
      </c>
      <c r="P284" s="214" t="s">
        <v>276</v>
      </c>
      <c r="Q284" s="213" t="s">
        <v>108</v>
      </c>
      <c r="R284" s="218">
        <v>2454400</v>
      </c>
      <c r="S284" s="229">
        <f>Product_Name[[#This Row],[Đơn giá
Unit Price]]*Product_Name[[#This Row],[Số lượng
Quantity]]</f>
        <v>2454400</v>
      </c>
      <c r="T284" s="219">
        <v>44495</v>
      </c>
      <c r="U284" s="220">
        <v>44600</v>
      </c>
      <c r="V284" s="221">
        <v>44629</v>
      </c>
      <c r="W284" s="211" t="s">
        <v>51</v>
      </c>
      <c r="X284" s="214" t="s">
        <v>16</v>
      </c>
      <c r="Y284" s="220"/>
      <c r="Z284" s="216"/>
      <c r="AA284" s="216" t="s">
        <v>2102</v>
      </c>
      <c r="AB284" s="227"/>
      <c r="AC284" s="295"/>
    </row>
    <row r="285" spans="1:29" ht="31" x14ac:dyDescent="0.35">
      <c r="A285" s="211">
        <v>3629</v>
      </c>
      <c r="B285" s="214" t="s">
        <v>2103</v>
      </c>
      <c r="C285" s="211">
        <v>3884</v>
      </c>
      <c r="D285" s="215" t="s">
        <v>110</v>
      </c>
      <c r="E285" s="215" t="s">
        <v>110</v>
      </c>
      <c r="F285" s="211" t="s">
        <v>1454</v>
      </c>
      <c r="G285" s="213" t="s">
        <v>1465</v>
      </c>
      <c r="H285" s="216" t="s">
        <v>901</v>
      </c>
      <c r="I285" s="217" t="s">
        <v>916</v>
      </c>
      <c r="J285" s="214" t="s">
        <v>877</v>
      </c>
      <c r="K285" s="214" t="s">
        <v>1446</v>
      </c>
      <c r="L285" s="214" t="s">
        <v>1452</v>
      </c>
      <c r="M285" s="214" t="s">
        <v>124</v>
      </c>
      <c r="N285" s="214" t="s">
        <v>14</v>
      </c>
      <c r="O285" s="211">
        <v>1</v>
      </c>
      <c r="P285" s="214" t="s">
        <v>276</v>
      </c>
      <c r="Q285" s="213" t="s">
        <v>108</v>
      </c>
      <c r="R285" s="218">
        <v>38809000</v>
      </c>
      <c r="S285" s="229">
        <f>Product_Name[[#This Row],[Đơn giá
Unit Price]]*Product_Name[[#This Row],[Số lượng
Quantity]]</f>
        <v>38809000</v>
      </c>
      <c r="T285" s="219">
        <v>44495</v>
      </c>
      <c r="U285" s="220">
        <v>44314</v>
      </c>
      <c r="V285" s="221">
        <v>44673</v>
      </c>
      <c r="W285" s="211" t="s">
        <v>51</v>
      </c>
      <c r="X285" s="214" t="s">
        <v>16</v>
      </c>
      <c r="Y285" s="220"/>
      <c r="Z285" s="216" t="s">
        <v>2101</v>
      </c>
      <c r="AA285" s="216" t="s">
        <v>2102</v>
      </c>
      <c r="AB285" s="227"/>
      <c r="AC285" s="295"/>
    </row>
    <row r="286" spans="1:29" ht="31" x14ac:dyDescent="0.35">
      <c r="A286" s="211">
        <v>3629</v>
      </c>
      <c r="B286" s="214" t="s">
        <v>2103</v>
      </c>
      <c r="C286" s="211">
        <v>3884</v>
      </c>
      <c r="D286" s="215" t="s">
        <v>110</v>
      </c>
      <c r="E286" s="215" t="s">
        <v>110</v>
      </c>
      <c r="F286" s="211" t="s">
        <v>1454</v>
      </c>
      <c r="G286" s="213" t="s">
        <v>1465</v>
      </c>
      <c r="H286" s="216" t="s">
        <v>901</v>
      </c>
      <c r="I286" s="217" t="s">
        <v>916</v>
      </c>
      <c r="J286" s="214" t="s">
        <v>878</v>
      </c>
      <c r="K286" s="214" t="s">
        <v>1446</v>
      </c>
      <c r="L286" s="214" t="s">
        <v>1452</v>
      </c>
      <c r="M286" s="214" t="s">
        <v>124</v>
      </c>
      <c r="N286" s="214" t="s">
        <v>14</v>
      </c>
      <c r="O286" s="211">
        <v>1</v>
      </c>
      <c r="P286" s="214" t="s">
        <v>276</v>
      </c>
      <c r="Q286" s="213" t="s">
        <v>108</v>
      </c>
      <c r="R286" s="218">
        <v>72003000</v>
      </c>
      <c r="S286" s="229">
        <f>Product_Name[[#This Row],[Đơn giá
Unit Price]]*Product_Name[[#This Row],[Số lượng
Quantity]]</f>
        <v>72003000</v>
      </c>
      <c r="T286" s="219">
        <v>44495</v>
      </c>
      <c r="U286" s="220">
        <v>44314</v>
      </c>
      <c r="V286" s="221">
        <v>44673</v>
      </c>
      <c r="W286" s="211" t="s">
        <v>51</v>
      </c>
      <c r="X286" s="214" t="s">
        <v>16</v>
      </c>
      <c r="Y286" s="220"/>
      <c r="Z286" s="216" t="s">
        <v>2101</v>
      </c>
      <c r="AA286" s="216" t="s">
        <v>2102</v>
      </c>
      <c r="AB286" s="227"/>
      <c r="AC286" s="295"/>
    </row>
    <row r="287" spans="1:29" ht="31" x14ac:dyDescent="0.35">
      <c r="A287" s="211">
        <v>3630</v>
      </c>
      <c r="B287" s="214" t="s">
        <v>1688</v>
      </c>
      <c r="C287" s="211">
        <v>3887</v>
      </c>
      <c r="D287" s="215" t="s">
        <v>110</v>
      </c>
      <c r="E287" s="215" t="s">
        <v>110</v>
      </c>
      <c r="F287" s="211" t="s">
        <v>1454</v>
      </c>
      <c r="G287" s="213" t="s">
        <v>1465</v>
      </c>
      <c r="H287" s="216" t="s">
        <v>902</v>
      </c>
      <c r="I287" s="217" t="s">
        <v>917</v>
      </c>
      <c r="J287" s="214" t="s">
        <v>879</v>
      </c>
      <c r="K287" s="214" t="s">
        <v>1447</v>
      </c>
      <c r="L287" s="214" t="s">
        <v>1100</v>
      </c>
      <c r="M287" s="214" t="s">
        <v>124</v>
      </c>
      <c r="N287" s="214" t="s">
        <v>14</v>
      </c>
      <c r="O287" s="211">
        <v>2</v>
      </c>
      <c r="P287" s="214" t="s">
        <v>276</v>
      </c>
      <c r="Q287" s="213" t="s">
        <v>108</v>
      </c>
      <c r="R287" s="218">
        <v>2965000</v>
      </c>
      <c r="S287" s="229">
        <f>Product_Name[[#This Row],[Đơn giá
Unit Price]]*Product_Name[[#This Row],[Số lượng
Quantity]]</f>
        <v>5930000</v>
      </c>
      <c r="T287" s="219">
        <v>44495</v>
      </c>
      <c r="U287" s="220">
        <v>44538</v>
      </c>
      <c r="V287" s="221">
        <v>44567</v>
      </c>
      <c r="W287" s="211" t="s">
        <v>51</v>
      </c>
      <c r="X287" s="214" t="s">
        <v>16</v>
      </c>
      <c r="Y287" s="220"/>
      <c r="Z287" s="216"/>
      <c r="AA287" s="216" t="s">
        <v>2102</v>
      </c>
      <c r="AB287" s="227"/>
      <c r="AC287" s="295"/>
    </row>
    <row r="288" spans="1:29" ht="31" x14ac:dyDescent="0.35">
      <c r="A288" s="211">
        <v>3630</v>
      </c>
      <c r="B288" s="214" t="s">
        <v>1688</v>
      </c>
      <c r="C288" s="211">
        <v>3887</v>
      </c>
      <c r="D288" s="215" t="s">
        <v>110</v>
      </c>
      <c r="E288" s="215" t="s">
        <v>110</v>
      </c>
      <c r="F288" s="211" t="s">
        <v>1454</v>
      </c>
      <c r="G288" s="213" t="s">
        <v>1465</v>
      </c>
      <c r="H288" s="216" t="s">
        <v>902</v>
      </c>
      <c r="I288" s="217" t="s">
        <v>917</v>
      </c>
      <c r="J288" s="214" t="s">
        <v>880</v>
      </c>
      <c r="K288" s="214" t="s">
        <v>1447</v>
      </c>
      <c r="L288" s="214" t="s">
        <v>1100</v>
      </c>
      <c r="M288" s="214" t="s">
        <v>124</v>
      </c>
      <c r="N288" s="214" t="s">
        <v>14</v>
      </c>
      <c r="O288" s="211">
        <v>2</v>
      </c>
      <c r="P288" s="211" t="s">
        <v>276</v>
      </c>
      <c r="Q288" s="213" t="s">
        <v>108</v>
      </c>
      <c r="R288" s="218">
        <v>14950000</v>
      </c>
      <c r="S288" s="229">
        <f>Product_Name[[#This Row],[Đơn giá
Unit Price]]*Product_Name[[#This Row],[Số lượng
Quantity]]</f>
        <v>29900000</v>
      </c>
      <c r="T288" s="219">
        <v>44495</v>
      </c>
      <c r="U288" s="220">
        <v>44538</v>
      </c>
      <c r="V288" s="221">
        <v>44567</v>
      </c>
      <c r="W288" s="211" t="s">
        <v>51</v>
      </c>
      <c r="X288" s="214" t="s">
        <v>16</v>
      </c>
      <c r="Y288" s="220"/>
      <c r="Z288" s="216"/>
      <c r="AA288" s="216" t="s">
        <v>2102</v>
      </c>
      <c r="AB288" s="227"/>
      <c r="AC288" s="295"/>
    </row>
    <row r="289" spans="1:29" ht="31" x14ac:dyDescent="0.35">
      <c r="A289" s="211">
        <v>3630</v>
      </c>
      <c r="B289" s="214" t="s">
        <v>1688</v>
      </c>
      <c r="C289" s="211">
        <v>3887</v>
      </c>
      <c r="D289" s="215" t="s">
        <v>110</v>
      </c>
      <c r="E289" s="215" t="s">
        <v>110</v>
      </c>
      <c r="F289" s="211" t="s">
        <v>1454</v>
      </c>
      <c r="G289" s="213" t="s">
        <v>1465</v>
      </c>
      <c r="H289" s="216" t="s">
        <v>902</v>
      </c>
      <c r="I289" s="217" t="s">
        <v>917</v>
      </c>
      <c r="J289" s="214" t="s">
        <v>881</v>
      </c>
      <c r="K289" s="214" t="s">
        <v>1447</v>
      </c>
      <c r="L289" s="214" t="s">
        <v>1100</v>
      </c>
      <c r="M289" s="214" t="s">
        <v>124</v>
      </c>
      <c r="N289" s="214" t="s">
        <v>14</v>
      </c>
      <c r="O289" s="211">
        <v>1</v>
      </c>
      <c r="P289" s="211" t="s">
        <v>276</v>
      </c>
      <c r="Q289" s="213" t="s">
        <v>108</v>
      </c>
      <c r="R289" s="218">
        <v>1010000</v>
      </c>
      <c r="S289" s="229">
        <f>Product_Name[[#This Row],[Đơn giá
Unit Price]]*Product_Name[[#This Row],[Số lượng
Quantity]]</f>
        <v>1010000</v>
      </c>
      <c r="T289" s="219">
        <v>44495</v>
      </c>
      <c r="U289" s="220">
        <v>44538</v>
      </c>
      <c r="V289" s="221">
        <v>44567</v>
      </c>
      <c r="W289" s="211" t="s">
        <v>51</v>
      </c>
      <c r="X289" s="214" t="s">
        <v>16</v>
      </c>
      <c r="Y289" s="220"/>
      <c r="Z289" s="216"/>
      <c r="AA289" s="216" t="s">
        <v>2102</v>
      </c>
      <c r="AB289" s="227"/>
      <c r="AC289" s="295"/>
    </row>
    <row r="290" spans="1:29" ht="31" x14ac:dyDescent="0.35">
      <c r="A290" s="211">
        <v>3631</v>
      </c>
      <c r="B290" s="214" t="s">
        <v>1576</v>
      </c>
      <c r="C290" s="211">
        <v>3888</v>
      </c>
      <c r="D290" s="215" t="s">
        <v>110</v>
      </c>
      <c r="E290" s="215" t="s">
        <v>110</v>
      </c>
      <c r="F290" s="211" t="s">
        <v>1454</v>
      </c>
      <c r="G290" s="213" t="s">
        <v>1465</v>
      </c>
      <c r="H290" s="216" t="s">
        <v>897</v>
      </c>
      <c r="I290" s="217" t="s">
        <v>912</v>
      </c>
      <c r="J290" s="214" t="s">
        <v>882</v>
      </c>
      <c r="K290" s="214" t="s">
        <v>1448</v>
      </c>
      <c r="L290" s="211" t="s">
        <v>99</v>
      </c>
      <c r="M290" s="214" t="s">
        <v>124</v>
      </c>
      <c r="N290" s="214" t="s">
        <v>14</v>
      </c>
      <c r="O290" s="211">
        <v>1</v>
      </c>
      <c r="P290" s="213" t="s">
        <v>276</v>
      </c>
      <c r="Q290" s="213" t="s">
        <v>108</v>
      </c>
      <c r="R290" s="218">
        <v>9134000</v>
      </c>
      <c r="S290" s="229">
        <f>Product_Name[[#This Row],[Đơn giá
Unit Price]]*Product_Name[[#This Row],[Số lượng
Quantity]]</f>
        <v>9134000</v>
      </c>
      <c r="T290" s="219">
        <v>44495</v>
      </c>
      <c r="U290" s="220">
        <v>44518</v>
      </c>
      <c r="V290" s="221">
        <v>44532</v>
      </c>
      <c r="W290" s="211" t="s">
        <v>51</v>
      </c>
      <c r="X290" s="214" t="s">
        <v>16</v>
      </c>
      <c r="Y290" s="220"/>
      <c r="Z290" s="216"/>
      <c r="AA290" s="216" t="s">
        <v>2102</v>
      </c>
      <c r="AB290" s="227"/>
      <c r="AC290" s="295"/>
    </row>
    <row r="291" spans="1:29" ht="31" x14ac:dyDescent="0.35">
      <c r="A291" s="211">
        <v>3632</v>
      </c>
      <c r="B291" s="214" t="s">
        <v>2039</v>
      </c>
      <c r="C291" s="211">
        <v>3889</v>
      </c>
      <c r="D291" s="215" t="s">
        <v>110</v>
      </c>
      <c r="E291" s="215" t="s">
        <v>110</v>
      </c>
      <c r="F291" s="211" t="s">
        <v>1454</v>
      </c>
      <c r="G291" s="213" t="s">
        <v>1465</v>
      </c>
      <c r="H291" s="216" t="s">
        <v>903</v>
      </c>
      <c r="I291" s="217" t="s">
        <v>919</v>
      </c>
      <c r="J291" s="214" t="s">
        <v>886</v>
      </c>
      <c r="K291" s="214" t="s">
        <v>1449</v>
      </c>
      <c r="L291" s="214" t="s">
        <v>1453</v>
      </c>
      <c r="M291" s="214" t="s">
        <v>124</v>
      </c>
      <c r="N291" s="214" t="s">
        <v>14</v>
      </c>
      <c r="O291" s="211">
        <v>1</v>
      </c>
      <c r="P291" s="243" t="s">
        <v>276</v>
      </c>
      <c r="Q291" s="213" t="s">
        <v>108</v>
      </c>
      <c r="R291" s="218">
        <v>172537000</v>
      </c>
      <c r="S291" s="229">
        <f>Product_Name[[#This Row],[Đơn giá
Unit Price]]*Product_Name[[#This Row],[Số lượng
Quantity]]</f>
        <v>172537000</v>
      </c>
      <c r="T291" s="219">
        <v>44495</v>
      </c>
      <c r="U291" s="220">
        <v>44587</v>
      </c>
      <c r="V291" s="221">
        <v>44663</v>
      </c>
      <c r="W291" s="211" t="s">
        <v>51</v>
      </c>
      <c r="X291" s="214" t="s">
        <v>16</v>
      </c>
      <c r="Y291" s="220"/>
      <c r="Z291" s="216" t="s">
        <v>2040</v>
      </c>
      <c r="AA291" s="216" t="s">
        <v>2102</v>
      </c>
      <c r="AB291" s="227"/>
      <c r="AC291" s="295"/>
    </row>
    <row r="292" spans="1:29" ht="31" x14ac:dyDescent="0.35">
      <c r="A292" s="211">
        <v>3632</v>
      </c>
      <c r="B292" s="214" t="s">
        <v>2039</v>
      </c>
      <c r="C292" s="211">
        <v>3889</v>
      </c>
      <c r="D292" s="215" t="s">
        <v>110</v>
      </c>
      <c r="E292" s="215" t="s">
        <v>110</v>
      </c>
      <c r="F292" s="211" t="s">
        <v>1454</v>
      </c>
      <c r="G292" s="213" t="s">
        <v>1465</v>
      </c>
      <c r="H292" s="216" t="s">
        <v>903</v>
      </c>
      <c r="I292" s="217" t="s">
        <v>919</v>
      </c>
      <c r="J292" s="214" t="s">
        <v>887</v>
      </c>
      <c r="K292" s="214" t="s">
        <v>1449</v>
      </c>
      <c r="L292" s="214" t="s">
        <v>1453</v>
      </c>
      <c r="M292" s="214" t="s">
        <v>124</v>
      </c>
      <c r="N292" s="214" t="s">
        <v>14</v>
      </c>
      <c r="O292" s="211">
        <v>1</v>
      </c>
      <c r="P292" s="243" t="s">
        <v>276</v>
      </c>
      <c r="Q292" s="213" t="s">
        <v>108</v>
      </c>
      <c r="R292" s="218">
        <v>54290000</v>
      </c>
      <c r="S292" s="229">
        <f>Product_Name[[#This Row],[Đơn giá
Unit Price]]*Product_Name[[#This Row],[Số lượng
Quantity]]</f>
        <v>54290000</v>
      </c>
      <c r="T292" s="219">
        <v>44495</v>
      </c>
      <c r="U292" s="220">
        <v>44587</v>
      </c>
      <c r="V292" s="221">
        <v>44663</v>
      </c>
      <c r="W292" s="211" t="s">
        <v>51</v>
      </c>
      <c r="X292" s="214" t="s">
        <v>16</v>
      </c>
      <c r="Y292" s="220"/>
      <c r="Z292" s="216" t="s">
        <v>2041</v>
      </c>
      <c r="AA292" s="216" t="s">
        <v>2102</v>
      </c>
      <c r="AB292" s="227"/>
      <c r="AC292" s="295"/>
    </row>
    <row r="293" spans="1:29" ht="31" x14ac:dyDescent="0.35">
      <c r="A293" s="211">
        <v>3645</v>
      </c>
      <c r="B293" s="214" t="s">
        <v>2194</v>
      </c>
      <c r="C293" s="211">
        <v>3906</v>
      </c>
      <c r="D293" s="215" t="s">
        <v>110</v>
      </c>
      <c r="E293" s="215" t="s">
        <v>110</v>
      </c>
      <c r="F293" s="211" t="s">
        <v>1454</v>
      </c>
      <c r="G293" s="213" t="s">
        <v>1465</v>
      </c>
      <c r="H293" s="216" t="s">
        <v>1435</v>
      </c>
      <c r="I293" s="217" t="s">
        <v>905</v>
      </c>
      <c r="J293" s="214" t="s">
        <v>1434</v>
      </c>
      <c r="K293" s="214" t="s">
        <v>1444</v>
      </c>
      <c r="L293" s="214" t="s">
        <v>1450</v>
      </c>
      <c r="M293" s="214" t="s">
        <v>124</v>
      </c>
      <c r="N293" s="214" t="s">
        <v>14</v>
      </c>
      <c r="O293" s="211">
        <v>1</v>
      </c>
      <c r="P293" s="243" t="s">
        <v>276</v>
      </c>
      <c r="Q293" s="213" t="s">
        <v>108</v>
      </c>
      <c r="R293" s="218">
        <v>437523000</v>
      </c>
      <c r="S293" s="229">
        <f>Product_Name[[#This Row],[Đơn giá
Unit Price]]*Product_Name[[#This Row],[Số lượng
Quantity]]</f>
        <v>437523000</v>
      </c>
      <c r="T293" s="219">
        <v>44496</v>
      </c>
      <c r="U293" s="220">
        <v>44706</v>
      </c>
      <c r="V293" s="221">
        <v>44707</v>
      </c>
      <c r="W293" s="211" t="s">
        <v>51</v>
      </c>
      <c r="X293" s="214" t="s">
        <v>16</v>
      </c>
      <c r="Y293" s="220"/>
      <c r="Z293" s="216"/>
      <c r="AA293" s="216" t="s">
        <v>2102</v>
      </c>
      <c r="AB293" s="227"/>
      <c r="AC293" s="295"/>
    </row>
    <row r="294" spans="1:29" ht="31" x14ac:dyDescent="0.35">
      <c r="A294" s="211">
        <v>3645</v>
      </c>
      <c r="B294" s="214" t="s">
        <v>2194</v>
      </c>
      <c r="C294" s="211">
        <v>3906</v>
      </c>
      <c r="D294" s="215" t="s">
        <v>110</v>
      </c>
      <c r="E294" s="215" t="s">
        <v>110</v>
      </c>
      <c r="F294" s="211" t="s">
        <v>1454</v>
      </c>
      <c r="G294" s="213" t="s">
        <v>1465</v>
      </c>
      <c r="H294" s="216" t="s">
        <v>1441</v>
      </c>
      <c r="I294" s="217" t="s">
        <v>906</v>
      </c>
      <c r="J294" s="214" t="s">
        <v>830</v>
      </c>
      <c r="K294" s="214" t="s">
        <v>1444</v>
      </c>
      <c r="L294" s="214" t="s">
        <v>1450</v>
      </c>
      <c r="M294" s="214" t="s">
        <v>124</v>
      </c>
      <c r="N294" s="214" t="s">
        <v>14</v>
      </c>
      <c r="O294" s="211">
        <v>1</v>
      </c>
      <c r="P294" s="243" t="s">
        <v>276</v>
      </c>
      <c r="Q294" s="213" t="s">
        <v>108</v>
      </c>
      <c r="R294" s="218">
        <v>41489000</v>
      </c>
      <c r="S294" s="229">
        <f>Product_Name[[#This Row],[Đơn giá
Unit Price]]*Product_Name[[#This Row],[Số lượng
Quantity]]</f>
        <v>41489000</v>
      </c>
      <c r="T294" s="219">
        <v>44496</v>
      </c>
      <c r="U294" s="220">
        <v>44706</v>
      </c>
      <c r="V294" s="221">
        <v>44707</v>
      </c>
      <c r="W294" s="211" t="s">
        <v>51</v>
      </c>
      <c r="X294" s="214" t="s">
        <v>16</v>
      </c>
      <c r="Y294" s="220"/>
      <c r="Z294" s="216"/>
      <c r="AA294" s="216" t="s">
        <v>2102</v>
      </c>
      <c r="AB294" s="227"/>
      <c r="AC294" s="295"/>
    </row>
    <row r="295" spans="1:29" s="71" customFormat="1" ht="31" x14ac:dyDescent="0.35">
      <c r="A295" s="214">
        <v>3645</v>
      </c>
      <c r="B295" s="214" t="s">
        <v>2277</v>
      </c>
      <c r="C295" s="214">
        <v>3906</v>
      </c>
      <c r="D295" s="214" t="s">
        <v>110</v>
      </c>
      <c r="E295" s="214" t="s">
        <v>110</v>
      </c>
      <c r="F295" s="214" t="s">
        <v>1454</v>
      </c>
      <c r="G295" s="223" t="s">
        <v>1465</v>
      </c>
      <c r="H295" s="217" t="s">
        <v>1441</v>
      </c>
      <c r="I295" s="217" t="s">
        <v>598</v>
      </c>
      <c r="J295" s="214" t="s">
        <v>831</v>
      </c>
      <c r="K295" s="214" t="s">
        <v>1444</v>
      </c>
      <c r="L295" s="214" t="s">
        <v>1450</v>
      </c>
      <c r="M295" s="214" t="s">
        <v>124</v>
      </c>
      <c r="N295" s="214" t="s">
        <v>14</v>
      </c>
      <c r="O295" s="214">
        <v>3</v>
      </c>
      <c r="P295" s="244" t="s">
        <v>276</v>
      </c>
      <c r="Q295" s="223" t="s">
        <v>108</v>
      </c>
      <c r="R295" s="229">
        <v>24953000</v>
      </c>
      <c r="S295" s="229">
        <f>Product_Name[[#This Row],[Đơn giá
Unit Price]]*Product_Name[[#This Row],[Số lượng
Quantity]]</f>
        <v>74859000</v>
      </c>
      <c r="T295" s="230">
        <v>44496</v>
      </c>
      <c r="U295" s="227">
        <v>44706</v>
      </c>
      <c r="V295" s="231">
        <v>44734</v>
      </c>
      <c r="W295" s="214" t="s">
        <v>51</v>
      </c>
      <c r="X295" s="214" t="s">
        <v>16</v>
      </c>
      <c r="Y295" s="227"/>
      <c r="Z295" s="217"/>
      <c r="AA295" s="217" t="s">
        <v>2102</v>
      </c>
      <c r="AB295" s="227"/>
      <c r="AC295" s="296"/>
    </row>
    <row r="296" spans="1:29" ht="31" x14ac:dyDescent="0.35">
      <c r="A296" s="211">
        <v>3645</v>
      </c>
      <c r="B296" s="214" t="s">
        <v>2194</v>
      </c>
      <c r="C296" s="211">
        <v>3906</v>
      </c>
      <c r="D296" s="215" t="s">
        <v>110</v>
      </c>
      <c r="E296" s="215" t="s">
        <v>110</v>
      </c>
      <c r="F296" s="211" t="s">
        <v>1454</v>
      </c>
      <c r="G296" s="213" t="s">
        <v>1465</v>
      </c>
      <c r="H296" s="216" t="s">
        <v>1442</v>
      </c>
      <c r="I296" s="217" t="s">
        <v>907</v>
      </c>
      <c r="J296" s="214" t="s">
        <v>832</v>
      </c>
      <c r="K296" s="214" t="s">
        <v>1444</v>
      </c>
      <c r="L296" s="214" t="s">
        <v>1450</v>
      </c>
      <c r="M296" s="214" t="s">
        <v>124</v>
      </c>
      <c r="N296" s="214" t="s">
        <v>14</v>
      </c>
      <c r="O296" s="211">
        <v>2</v>
      </c>
      <c r="P296" s="243" t="s">
        <v>276</v>
      </c>
      <c r="Q296" s="213" t="s">
        <v>108</v>
      </c>
      <c r="R296" s="218">
        <v>16378000</v>
      </c>
      <c r="S296" s="229">
        <f>Product_Name[[#This Row],[Đơn giá
Unit Price]]*Product_Name[[#This Row],[Số lượng
Quantity]]</f>
        <v>32756000</v>
      </c>
      <c r="T296" s="219">
        <v>44496</v>
      </c>
      <c r="U296" s="220">
        <v>44706</v>
      </c>
      <c r="V296" s="221">
        <v>44707</v>
      </c>
      <c r="W296" s="211" t="s">
        <v>51</v>
      </c>
      <c r="X296" s="214" t="s">
        <v>16</v>
      </c>
      <c r="Y296" s="220"/>
      <c r="Z296" s="216"/>
      <c r="AA296" s="216" t="s">
        <v>2102</v>
      </c>
      <c r="AB296" s="227"/>
      <c r="AC296" s="295"/>
    </row>
    <row r="297" spans="1:29" ht="31" x14ac:dyDescent="0.35">
      <c r="A297" s="211">
        <v>3645</v>
      </c>
      <c r="B297" s="214" t="s">
        <v>2194</v>
      </c>
      <c r="C297" s="211">
        <v>3906</v>
      </c>
      <c r="D297" s="215" t="s">
        <v>110</v>
      </c>
      <c r="E297" s="215" t="s">
        <v>110</v>
      </c>
      <c r="F297" s="211" t="s">
        <v>1454</v>
      </c>
      <c r="G297" s="213" t="s">
        <v>1465</v>
      </c>
      <c r="H297" s="216" t="s">
        <v>1443</v>
      </c>
      <c r="I297" s="217" t="s">
        <v>908</v>
      </c>
      <c r="J297" s="214" t="s">
        <v>833</v>
      </c>
      <c r="K297" s="214" t="s">
        <v>1444</v>
      </c>
      <c r="L297" s="214" t="s">
        <v>1450</v>
      </c>
      <c r="M297" s="214" t="s">
        <v>124</v>
      </c>
      <c r="N297" s="214" t="s">
        <v>14</v>
      </c>
      <c r="O297" s="211">
        <v>3</v>
      </c>
      <c r="P297" s="243" t="s">
        <v>276</v>
      </c>
      <c r="Q297" s="213" t="s">
        <v>108</v>
      </c>
      <c r="R297" s="218">
        <v>14675000</v>
      </c>
      <c r="S297" s="229">
        <f>Product_Name[[#This Row],[Đơn giá
Unit Price]]*Product_Name[[#This Row],[Số lượng
Quantity]]</f>
        <v>44025000</v>
      </c>
      <c r="T297" s="219">
        <v>44496</v>
      </c>
      <c r="U297" s="220">
        <v>44706</v>
      </c>
      <c r="V297" s="221">
        <v>44707</v>
      </c>
      <c r="W297" s="211" t="s">
        <v>51</v>
      </c>
      <c r="X297" s="214" t="s">
        <v>16</v>
      </c>
      <c r="Y297" s="220"/>
      <c r="Z297" s="216"/>
      <c r="AA297" s="216" t="s">
        <v>2102</v>
      </c>
      <c r="AB297" s="227"/>
      <c r="AC297" s="295"/>
    </row>
    <row r="298" spans="1:29" ht="31" x14ac:dyDescent="0.35">
      <c r="A298" s="211">
        <v>3645</v>
      </c>
      <c r="B298" s="214" t="s">
        <v>2194</v>
      </c>
      <c r="C298" s="211">
        <v>3906</v>
      </c>
      <c r="D298" s="215" t="s">
        <v>110</v>
      </c>
      <c r="E298" s="215" t="s">
        <v>110</v>
      </c>
      <c r="F298" s="211" t="s">
        <v>1454</v>
      </c>
      <c r="G298" s="213" t="s">
        <v>1465</v>
      </c>
      <c r="H298" s="216" t="s">
        <v>1443</v>
      </c>
      <c r="I298" s="217" t="s">
        <v>908</v>
      </c>
      <c r="J298" s="214" t="s">
        <v>834</v>
      </c>
      <c r="K298" s="214" t="s">
        <v>1444</v>
      </c>
      <c r="L298" s="214" t="s">
        <v>1450</v>
      </c>
      <c r="M298" s="214" t="s">
        <v>124</v>
      </c>
      <c r="N298" s="214" t="s">
        <v>14</v>
      </c>
      <c r="O298" s="211">
        <v>1</v>
      </c>
      <c r="P298" s="243" t="s">
        <v>276</v>
      </c>
      <c r="Q298" s="213" t="s">
        <v>108</v>
      </c>
      <c r="R298" s="218">
        <v>10230000</v>
      </c>
      <c r="S298" s="229">
        <f>Product_Name[[#This Row],[Đơn giá
Unit Price]]*Product_Name[[#This Row],[Số lượng
Quantity]]</f>
        <v>10230000</v>
      </c>
      <c r="T298" s="219">
        <v>44496</v>
      </c>
      <c r="U298" s="220">
        <v>44706</v>
      </c>
      <c r="V298" s="221">
        <v>44707</v>
      </c>
      <c r="W298" s="211" t="s">
        <v>51</v>
      </c>
      <c r="X298" s="214" t="s">
        <v>16</v>
      </c>
      <c r="Y298" s="220"/>
      <c r="Z298" s="216"/>
      <c r="AA298" s="216" t="s">
        <v>2102</v>
      </c>
      <c r="AB298" s="227"/>
      <c r="AC298" s="295"/>
    </row>
    <row r="299" spans="1:29" ht="31" x14ac:dyDescent="0.35">
      <c r="A299" s="211">
        <v>3645</v>
      </c>
      <c r="B299" s="214" t="s">
        <v>2194</v>
      </c>
      <c r="C299" s="211">
        <v>3906</v>
      </c>
      <c r="D299" s="215" t="s">
        <v>110</v>
      </c>
      <c r="E299" s="215" t="s">
        <v>110</v>
      </c>
      <c r="F299" s="211" t="s">
        <v>1454</v>
      </c>
      <c r="G299" s="213" t="s">
        <v>1465</v>
      </c>
      <c r="H299" s="216" t="s">
        <v>1443</v>
      </c>
      <c r="I299" s="217" t="s">
        <v>908</v>
      </c>
      <c r="J299" s="214" t="s">
        <v>1436</v>
      </c>
      <c r="K299" s="214" t="s">
        <v>1444</v>
      </c>
      <c r="L299" s="214" t="s">
        <v>1450</v>
      </c>
      <c r="M299" s="214" t="s">
        <v>124</v>
      </c>
      <c r="N299" s="214" t="s">
        <v>14</v>
      </c>
      <c r="O299" s="211">
        <v>3</v>
      </c>
      <c r="P299" s="243" t="s">
        <v>276</v>
      </c>
      <c r="Q299" s="213" t="s">
        <v>108</v>
      </c>
      <c r="R299" s="218">
        <v>3837000</v>
      </c>
      <c r="S299" s="229">
        <f>Product_Name[[#This Row],[Đơn giá
Unit Price]]*Product_Name[[#This Row],[Số lượng
Quantity]]</f>
        <v>11511000</v>
      </c>
      <c r="T299" s="219">
        <v>44496</v>
      </c>
      <c r="U299" s="220">
        <v>44706</v>
      </c>
      <c r="V299" s="221">
        <v>44707</v>
      </c>
      <c r="W299" s="211" t="s">
        <v>51</v>
      </c>
      <c r="X299" s="214" t="s">
        <v>16</v>
      </c>
      <c r="Y299" s="220"/>
      <c r="Z299" s="216"/>
      <c r="AA299" s="216" t="s">
        <v>2102</v>
      </c>
      <c r="AB299" s="227"/>
      <c r="AC299" s="295"/>
    </row>
    <row r="300" spans="1:29" ht="31" x14ac:dyDescent="0.35">
      <c r="A300" s="211">
        <v>3645</v>
      </c>
      <c r="B300" s="214" t="s">
        <v>2194</v>
      </c>
      <c r="C300" s="211">
        <v>3906</v>
      </c>
      <c r="D300" s="215" t="s">
        <v>110</v>
      </c>
      <c r="E300" s="215" t="s">
        <v>110</v>
      </c>
      <c r="F300" s="211" t="s">
        <v>1454</v>
      </c>
      <c r="G300" s="213" t="s">
        <v>1465</v>
      </c>
      <c r="H300" s="216" t="s">
        <v>1443</v>
      </c>
      <c r="I300" s="217" t="s">
        <v>908</v>
      </c>
      <c r="J300" s="214" t="s">
        <v>1437</v>
      </c>
      <c r="K300" s="214" t="s">
        <v>1444</v>
      </c>
      <c r="L300" s="214" t="s">
        <v>1450</v>
      </c>
      <c r="M300" s="214" t="s">
        <v>124</v>
      </c>
      <c r="N300" s="214" t="s">
        <v>14</v>
      </c>
      <c r="O300" s="211">
        <v>2</v>
      </c>
      <c r="P300" s="243" t="s">
        <v>276</v>
      </c>
      <c r="Q300" s="213" t="s">
        <v>108</v>
      </c>
      <c r="R300" s="218">
        <v>3837000</v>
      </c>
      <c r="S300" s="229">
        <f>Product_Name[[#This Row],[Đơn giá
Unit Price]]*Product_Name[[#This Row],[Số lượng
Quantity]]</f>
        <v>7674000</v>
      </c>
      <c r="T300" s="219">
        <v>44496</v>
      </c>
      <c r="U300" s="220">
        <v>44706</v>
      </c>
      <c r="V300" s="221">
        <v>44707</v>
      </c>
      <c r="W300" s="211" t="s">
        <v>51</v>
      </c>
      <c r="X300" s="214" t="s">
        <v>16</v>
      </c>
      <c r="Y300" s="220"/>
      <c r="Z300" s="216"/>
      <c r="AA300" s="216" t="s">
        <v>2102</v>
      </c>
      <c r="AB300" s="227"/>
      <c r="AC300" s="295"/>
    </row>
    <row r="301" spans="1:29" ht="31" x14ac:dyDescent="0.35">
      <c r="A301" s="211">
        <v>3645</v>
      </c>
      <c r="B301" s="214" t="s">
        <v>2194</v>
      </c>
      <c r="C301" s="211">
        <v>3906</v>
      </c>
      <c r="D301" s="215" t="s">
        <v>110</v>
      </c>
      <c r="E301" s="215" t="s">
        <v>110</v>
      </c>
      <c r="F301" s="211" t="s">
        <v>1454</v>
      </c>
      <c r="G301" s="213" t="s">
        <v>1465</v>
      </c>
      <c r="H301" s="216" t="s">
        <v>1443</v>
      </c>
      <c r="I301" s="217" t="s">
        <v>908</v>
      </c>
      <c r="J301" s="214" t="s">
        <v>1438</v>
      </c>
      <c r="K301" s="214" t="s">
        <v>1444</v>
      </c>
      <c r="L301" s="214" t="s">
        <v>1450</v>
      </c>
      <c r="M301" s="214" t="s">
        <v>124</v>
      </c>
      <c r="N301" s="214" t="s">
        <v>14</v>
      </c>
      <c r="O301" s="211">
        <v>1</v>
      </c>
      <c r="P301" s="243" t="s">
        <v>276</v>
      </c>
      <c r="Q301" s="213" t="s">
        <v>108</v>
      </c>
      <c r="R301" s="218">
        <v>3229000</v>
      </c>
      <c r="S301" s="229">
        <f>Product_Name[[#This Row],[Đơn giá
Unit Price]]*Product_Name[[#This Row],[Số lượng
Quantity]]</f>
        <v>3229000</v>
      </c>
      <c r="T301" s="219">
        <v>44496</v>
      </c>
      <c r="U301" s="220">
        <v>44706</v>
      </c>
      <c r="V301" s="221">
        <v>44707</v>
      </c>
      <c r="W301" s="211" t="s">
        <v>51</v>
      </c>
      <c r="X301" s="214" t="s">
        <v>16</v>
      </c>
      <c r="Y301" s="220"/>
      <c r="Z301" s="216"/>
      <c r="AA301" s="216" t="s">
        <v>2102</v>
      </c>
      <c r="AB301" s="227"/>
      <c r="AC301" s="295"/>
    </row>
    <row r="302" spans="1:29" ht="31" x14ac:dyDescent="0.35">
      <c r="A302" s="211">
        <v>3645</v>
      </c>
      <c r="B302" s="214" t="s">
        <v>2194</v>
      </c>
      <c r="C302" s="211">
        <v>3906</v>
      </c>
      <c r="D302" s="215" t="s">
        <v>110</v>
      </c>
      <c r="E302" s="215" t="s">
        <v>110</v>
      </c>
      <c r="F302" s="211" t="s">
        <v>1454</v>
      </c>
      <c r="G302" s="213" t="s">
        <v>1465</v>
      </c>
      <c r="H302" s="216" t="s">
        <v>1443</v>
      </c>
      <c r="I302" s="217" t="s">
        <v>908</v>
      </c>
      <c r="J302" s="214" t="s">
        <v>1439</v>
      </c>
      <c r="K302" s="214" t="s">
        <v>1444</v>
      </c>
      <c r="L302" s="214" t="s">
        <v>1450</v>
      </c>
      <c r="M302" s="214" t="s">
        <v>124</v>
      </c>
      <c r="N302" s="214" t="s">
        <v>14</v>
      </c>
      <c r="O302" s="211">
        <v>2</v>
      </c>
      <c r="P302" s="243" t="s">
        <v>276</v>
      </c>
      <c r="Q302" s="213" t="s">
        <v>108</v>
      </c>
      <c r="R302" s="218">
        <v>3229000</v>
      </c>
      <c r="S302" s="229">
        <f>Product_Name[[#This Row],[Đơn giá
Unit Price]]*Product_Name[[#This Row],[Số lượng
Quantity]]</f>
        <v>6458000</v>
      </c>
      <c r="T302" s="219">
        <v>44496</v>
      </c>
      <c r="U302" s="220">
        <v>44706</v>
      </c>
      <c r="V302" s="221">
        <v>44707</v>
      </c>
      <c r="W302" s="211" t="s">
        <v>51</v>
      </c>
      <c r="X302" s="214" t="s">
        <v>16</v>
      </c>
      <c r="Y302" s="220"/>
      <c r="Z302" s="216"/>
      <c r="AA302" s="216" t="s">
        <v>2102</v>
      </c>
      <c r="AB302" s="227"/>
      <c r="AC302" s="295"/>
    </row>
    <row r="303" spans="1:29" ht="31" x14ac:dyDescent="0.35">
      <c r="A303" s="211">
        <v>3645</v>
      </c>
      <c r="B303" s="214" t="s">
        <v>2194</v>
      </c>
      <c r="C303" s="211">
        <v>3906</v>
      </c>
      <c r="D303" s="215" t="s">
        <v>110</v>
      </c>
      <c r="E303" s="215" t="s">
        <v>110</v>
      </c>
      <c r="F303" s="211" t="s">
        <v>1454</v>
      </c>
      <c r="G303" s="213" t="s">
        <v>1465</v>
      </c>
      <c r="H303" s="216" t="s">
        <v>1443</v>
      </c>
      <c r="I303" s="217" t="s">
        <v>908</v>
      </c>
      <c r="J303" s="214" t="s">
        <v>1440</v>
      </c>
      <c r="K303" s="214" t="s">
        <v>1444</v>
      </c>
      <c r="L303" s="214" t="s">
        <v>1450</v>
      </c>
      <c r="M303" s="214" t="s">
        <v>124</v>
      </c>
      <c r="N303" s="214" t="s">
        <v>14</v>
      </c>
      <c r="O303" s="211">
        <v>1</v>
      </c>
      <c r="P303" s="243" t="s">
        <v>276</v>
      </c>
      <c r="Q303" s="213" t="s">
        <v>108</v>
      </c>
      <c r="R303" s="218">
        <v>3837000</v>
      </c>
      <c r="S303" s="229">
        <f>Product_Name[[#This Row],[Đơn giá
Unit Price]]*Product_Name[[#This Row],[Số lượng
Quantity]]</f>
        <v>3837000</v>
      </c>
      <c r="T303" s="219">
        <v>44496</v>
      </c>
      <c r="U303" s="220">
        <v>44706</v>
      </c>
      <c r="V303" s="221">
        <v>44707</v>
      </c>
      <c r="W303" s="211" t="s">
        <v>51</v>
      </c>
      <c r="X303" s="214" t="s">
        <v>16</v>
      </c>
      <c r="Y303" s="220"/>
      <c r="Z303" s="216"/>
      <c r="AA303" s="216" t="s">
        <v>2102</v>
      </c>
      <c r="AB303" s="227"/>
      <c r="AC303" s="295"/>
    </row>
    <row r="304" spans="1:29" ht="31" x14ac:dyDescent="0.35">
      <c r="A304" s="211">
        <v>3645</v>
      </c>
      <c r="B304" s="214" t="s">
        <v>2194</v>
      </c>
      <c r="C304" s="211">
        <v>3906</v>
      </c>
      <c r="D304" s="215" t="s">
        <v>110</v>
      </c>
      <c r="E304" s="215" t="s">
        <v>110</v>
      </c>
      <c r="F304" s="211" t="s">
        <v>1454</v>
      </c>
      <c r="G304" s="213" t="s">
        <v>1465</v>
      </c>
      <c r="H304" s="216" t="s">
        <v>1477</v>
      </c>
      <c r="I304" s="217" t="s">
        <v>918</v>
      </c>
      <c r="J304" s="214" t="s">
        <v>884</v>
      </c>
      <c r="K304" s="214" t="s">
        <v>1444</v>
      </c>
      <c r="L304" s="214" t="s">
        <v>1450</v>
      </c>
      <c r="M304" s="214" t="s">
        <v>124</v>
      </c>
      <c r="N304" s="214" t="s">
        <v>14</v>
      </c>
      <c r="O304" s="211">
        <v>1</v>
      </c>
      <c r="P304" s="243" t="s">
        <v>276</v>
      </c>
      <c r="Q304" s="213" t="s">
        <v>108</v>
      </c>
      <c r="R304" s="218">
        <v>93593000</v>
      </c>
      <c r="S304" s="229">
        <f>Product_Name[[#This Row],[Đơn giá
Unit Price]]*Product_Name[[#This Row],[Số lượng
Quantity]]</f>
        <v>93593000</v>
      </c>
      <c r="T304" s="219">
        <v>44496</v>
      </c>
      <c r="U304" s="220">
        <v>44706</v>
      </c>
      <c r="V304" s="221">
        <v>44707</v>
      </c>
      <c r="W304" s="211" t="s">
        <v>51</v>
      </c>
      <c r="X304" s="214" t="s">
        <v>16</v>
      </c>
      <c r="Y304" s="220"/>
      <c r="Z304" s="216"/>
      <c r="AA304" s="216" t="s">
        <v>2102</v>
      </c>
      <c r="AB304" s="227"/>
      <c r="AC304" s="295"/>
    </row>
    <row r="305" spans="1:29" ht="15.5" x14ac:dyDescent="0.35">
      <c r="A305" s="215" t="s">
        <v>110</v>
      </c>
      <c r="B305" s="214" t="s">
        <v>1654</v>
      </c>
      <c r="C305" s="215" t="s">
        <v>110</v>
      </c>
      <c r="D305" s="215">
        <v>1591</v>
      </c>
      <c r="E305" s="215">
        <v>3677</v>
      </c>
      <c r="F305" s="211" t="s">
        <v>1471</v>
      </c>
      <c r="G305" s="211" t="s">
        <v>1491</v>
      </c>
      <c r="H305" s="216" t="s">
        <v>2256</v>
      </c>
      <c r="I305" s="217" t="s">
        <v>1060</v>
      </c>
      <c r="J305" s="211" t="s">
        <v>2255</v>
      </c>
      <c r="K305" s="211" t="s">
        <v>2532</v>
      </c>
      <c r="L305" s="211" t="s">
        <v>2532</v>
      </c>
      <c r="M305" s="211" t="s">
        <v>63</v>
      </c>
      <c r="N305" s="211" t="s">
        <v>642</v>
      </c>
      <c r="O305" s="211">
        <v>1</v>
      </c>
      <c r="P305" s="211" t="s">
        <v>276</v>
      </c>
      <c r="Q305" s="213" t="s">
        <v>108</v>
      </c>
      <c r="R305" s="218">
        <v>150000000</v>
      </c>
      <c r="S305" s="229">
        <f>Product_Name[[#This Row],[Đơn giá
Unit Price]]*Product_Name[[#This Row],[Số lượng
Quantity]]</f>
        <v>150000000</v>
      </c>
      <c r="T305" s="219">
        <v>44504</v>
      </c>
      <c r="U305" s="220">
        <v>44545</v>
      </c>
      <c r="V305" s="221">
        <v>44565</v>
      </c>
      <c r="W305" s="211" t="s">
        <v>2813</v>
      </c>
      <c r="X305" s="214" t="s">
        <v>16</v>
      </c>
      <c r="Y305" s="220">
        <v>44391</v>
      </c>
      <c r="Z305" s="227" t="s">
        <v>63</v>
      </c>
      <c r="AA305" s="216" t="s">
        <v>2056</v>
      </c>
      <c r="AB305" s="227"/>
      <c r="AC305" s="295"/>
    </row>
    <row r="306" spans="1:29" ht="15.5" x14ac:dyDescent="0.35">
      <c r="A306" s="211">
        <v>3688</v>
      </c>
      <c r="B306" s="214" t="s">
        <v>1752</v>
      </c>
      <c r="C306" s="211">
        <v>4012</v>
      </c>
      <c r="D306" s="215" t="s">
        <v>110</v>
      </c>
      <c r="E306" s="215" t="s">
        <v>110</v>
      </c>
      <c r="F306" s="211" t="s">
        <v>1463</v>
      </c>
      <c r="G306" s="211" t="s">
        <v>1492</v>
      </c>
      <c r="H306" s="216" t="s">
        <v>1493</v>
      </c>
      <c r="I306" s="217" t="s">
        <v>1405</v>
      </c>
      <c r="J306" s="211" t="s">
        <v>1406</v>
      </c>
      <c r="K306" s="211" t="s">
        <v>1460</v>
      </c>
      <c r="L306" s="211" t="s">
        <v>99</v>
      </c>
      <c r="M306" s="211" t="s">
        <v>124</v>
      </c>
      <c r="N306" s="211" t="s">
        <v>14</v>
      </c>
      <c r="O306" s="211">
        <v>1</v>
      </c>
      <c r="P306" s="214" t="s">
        <v>276</v>
      </c>
      <c r="Q306" s="213" t="s">
        <v>108</v>
      </c>
      <c r="R306" s="218">
        <v>38805000</v>
      </c>
      <c r="S306" s="229">
        <f>Product_Name[[#This Row],[Đơn giá
Unit Price]]*Product_Name[[#This Row],[Số lượng
Quantity]]</f>
        <v>38805000</v>
      </c>
      <c r="T306" s="219">
        <v>44504</v>
      </c>
      <c r="U306" s="220">
        <v>44596</v>
      </c>
      <c r="V306" s="221">
        <v>44606</v>
      </c>
      <c r="W306" s="211" t="s">
        <v>51</v>
      </c>
      <c r="X306" s="214" t="s">
        <v>16</v>
      </c>
      <c r="Y306" s="220">
        <v>44478</v>
      </c>
      <c r="Z306" s="216"/>
      <c r="AA306" s="216" t="s">
        <v>2131</v>
      </c>
      <c r="AB306" s="227"/>
      <c r="AC306" s="295"/>
    </row>
    <row r="307" spans="1:29" ht="15.5" x14ac:dyDescent="0.35">
      <c r="A307" s="211">
        <v>3699</v>
      </c>
      <c r="B307" s="214" t="s">
        <v>1562</v>
      </c>
      <c r="C307" s="211">
        <v>4019</v>
      </c>
      <c r="D307" s="215" t="s">
        <v>110</v>
      </c>
      <c r="E307" s="215" t="s">
        <v>110</v>
      </c>
      <c r="F307" s="211" t="s">
        <v>110</v>
      </c>
      <c r="G307" s="211" t="s">
        <v>110</v>
      </c>
      <c r="H307" s="216" t="s">
        <v>330</v>
      </c>
      <c r="I307" s="217" t="s">
        <v>1994</v>
      </c>
      <c r="J307" s="211" t="s">
        <v>332</v>
      </c>
      <c r="K307" s="211" t="s">
        <v>321</v>
      </c>
      <c r="L307" s="211" t="s">
        <v>321</v>
      </c>
      <c r="M307" s="211" t="s">
        <v>327</v>
      </c>
      <c r="N307" s="211" t="s">
        <v>14</v>
      </c>
      <c r="O307" s="211">
        <v>1</v>
      </c>
      <c r="P307" s="211" t="s">
        <v>232</v>
      </c>
      <c r="Q307" s="213" t="s">
        <v>108</v>
      </c>
      <c r="R307" s="218">
        <v>1400000</v>
      </c>
      <c r="S307" s="218">
        <f>Product_Name[[#This Row],[Đơn giá
Unit Price]]*Product_Name[[#This Row],[Số lượng
Quantity]]</f>
        <v>1400000</v>
      </c>
      <c r="T307" s="219">
        <v>44505</v>
      </c>
      <c r="U307" s="227">
        <v>44526</v>
      </c>
      <c r="V307" s="221">
        <v>44526</v>
      </c>
      <c r="W307" s="211" t="s">
        <v>21</v>
      </c>
      <c r="X307" s="211" t="s">
        <v>16</v>
      </c>
      <c r="Y307" s="220"/>
      <c r="Z307" s="216" t="s">
        <v>328</v>
      </c>
      <c r="AA307" s="216"/>
      <c r="AB307" s="227"/>
      <c r="AC307" s="295"/>
    </row>
    <row r="308" spans="1:29" s="71" customFormat="1" ht="15.5" x14ac:dyDescent="0.35">
      <c r="A308" s="214">
        <v>3710</v>
      </c>
      <c r="B308" s="214" t="s">
        <v>1605</v>
      </c>
      <c r="C308" s="214">
        <v>4039</v>
      </c>
      <c r="D308" s="215" t="s">
        <v>110</v>
      </c>
      <c r="E308" s="215" t="s">
        <v>110</v>
      </c>
      <c r="F308" s="211" t="s">
        <v>110</v>
      </c>
      <c r="G308" s="214" t="s">
        <v>110</v>
      </c>
      <c r="H308" s="217" t="s">
        <v>819</v>
      </c>
      <c r="I308" s="217" t="s">
        <v>825</v>
      </c>
      <c r="J308" s="214" t="s">
        <v>965</v>
      </c>
      <c r="K308" s="214" t="s">
        <v>99</v>
      </c>
      <c r="L308" s="211" t="s">
        <v>99</v>
      </c>
      <c r="M308" s="211" t="s">
        <v>123</v>
      </c>
      <c r="N308" s="214" t="s">
        <v>14</v>
      </c>
      <c r="O308" s="214">
        <v>50</v>
      </c>
      <c r="P308" s="236" t="s">
        <v>37</v>
      </c>
      <c r="Q308" s="223" t="s">
        <v>108</v>
      </c>
      <c r="R308" s="229">
        <v>26000</v>
      </c>
      <c r="S308" s="229">
        <f>Product_Name[[#This Row],[Đơn giá
Unit Price]]*Product_Name[[#This Row],[Số lượng
Quantity]]</f>
        <v>1300000</v>
      </c>
      <c r="T308" s="230">
        <v>44508</v>
      </c>
      <c r="U308" s="227">
        <v>44566</v>
      </c>
      <c r="V308" s="231">
        <v>44540</v>
      </c>
      <c r="W308" s="214" t="s">
        <v>2814</v>
      </c>
      <c r="X308" s="214" t="s">
        <v>16</v>
      </c>
      <c r="Y308" s="220"/>
      <c r="Z308" s="216"/>
      <c r="AA308" s="216"/>
      <c r="AB308" s="227"/>
      <c r="AC308" s="295"/>
    </row>
    <row r="309" spans="1:29" ht="15.5" x14ac:dyDescent="0.35">
      <c r="A309" s="211">
        <v>3711</v>
      </c>
      <c r="B309" s="214" t="s">
        <v>1561</v>
      </c>
      <c r="C309" s="211">
        <v>4056</v>
      </c>
      <c r="D309" s="215" t="s">
        <v>110</v>
      </c>
      <c r="E309" s="215" t="s">
        <v>110</v>
      </c>
      <c r="F309" s="211" t="s">
        <v>1494</v>
      </c>
      <c r="G309" s="211" t="s">
        <v>1499</v>
      </c>
      <c r="H309" s="216" t="s">
        <v>1387</v>
      </c>
      <c r="I309" s="217" t="s">
        <v>1404</v>
      </c>
      <c r="J309" s="211" t="s">
        <v>1388</v>
      </c>
      <c r="K309" s="211" t="s">
        <v>1460</v>
      </c>
      <c r="L309" s="211" t="s">
        <v>99</v>
      </c>
      <c r="M309" s="211" t="s">
        <v>124</v>
      </c>
      <c r="N309" s="211" t="s">
        <v>14</v>
      </c>
      <c r="O309" s="211">
        <v>3</v>
      </c>
      <c r="P309" s="214" t="s">
        <v>276</v>
      </c>
      <c r="Q309" s="229" t="s">
        <v>108</v>
      </c>
      <c r="R309" s="218">
        <v>3188000</v>
      </c>
      <c r="S309" s="218">
        <f>Product_Name[[#This Row],[Đơn giá
Unit Price]]*Product_Name[[#This Row],[Số lượng
Quantity]]</f>
        <v>9564000</v>
      </c>
      <c r="T309" s="230">
        <v>44508</v>
      </c>
      <c r="U309" s="220">
        <v>44525</v>
      </c>
      <c r="V309" s="233">
        <v>44525</v>
      </c>
      <c r="W309" s="211" t="s">
        <v>51</v>
      </c>
      <c r="X309" s="214" t="s">
        <v>16</v>
      </c>
      <c r="Y309" s="220"/>
      <c r="Z309" s="216"/>
      <c r="AA309" s="216" t="s">
        <v>2056</v>
      </c>
      <c r="AB309" s="227">
        <v>44503</v>
      </c>
      <c r="AC309" s="295"/>
    </row>
    <row r="310" spans="1:29" ht="15.5" x14ac:dyDescent="0.35">
      <c r="A310" s="215" t="s">
        <v>110</v>
      </c>
      <c r="B310" s="214" t="s">
        <v>1560</v>
      </c>
      <c r="C310" s="215" t="s">
        <v>110</v>
      </c>
      <c r="D310" s="215">
        <v>1612</v>
      </c>
      <c r="E310" s="215">
        <v>3712</v>
      </c>
      <c r="F310" s="211" t="s">
        <v>1495</v>
      </c>
      <c r="G310" s="211" t="s">
        <v>1500</v>
      </c>
      <c r="H310" s="216" t="s">
        <v>1391</v>
      </c>
      <c r="I310" s="217" t="s">
        <v>1389</v>
      </c>
      <c r="J310" s="211" t="s">
        <v>1390</v>
      </c>
      <c r="K310" s="211" t="s">
        <v>1426</v>
      </c>
      <c r="L310" s="211" t="s">
        <v>99</v>
      </c>
      <c r="M310" s="214" t="s">
        <v>796</v>
      </c>
      <c r="N310" s="211" t="s">
        <v>642</v>
      </c>
      <c r="O310" s="211">
        <v>4</v>
      </c>
      <c r="P310" s="214" t="s">
        <v>276</v>
      </c>
      <c r="Q310" s="229" t="s">
        <v>108</v>
      </c>
      <c r="R310" s="218">
        <v>658000</v>
      </c>
      <c r="S310" s="218">
        <f>Product_Name[[#This Row],[Đơn giá
Unit Price]]*Product_Name[[#This Row],[Số lượng
Quantity]]</f>
        <v>2632000</v>
      </c>
      <c r="T310" s="230">
        <v>44508</v>
      </c>
      <c r="U310" s="220">
        <v>44525</v>
      </c>
      <c r="V310" s="221">
        <v>44525</v>
      </c>
      <c r="W310" s="211" t="s">
        <v>51</v>
      </c>
      <c r="X310" s="214" t="s">
        <v>16</v>
      </c>
      <c r="Y310" s="220"/>
      <c r="Z310" s="216"/>
      <c r="AA310" s="216"/>
      <c r="AB310" s="227">
        <v>44503</v>
      </c>
      <c r="AC310" s="295"/>
    </row>
    <row r="311" spans="1:29" ht="15.5" x14ac:dyDescent="0.35">
      <c r="A311" s="215" t="s">
        <v>110</v>
      </c>
      <c r="B311" s="214" t="s">
        <v>1560</v>
      </c>
      <c r="C311" s="215" t="s">
        <v>110</v>
      </c>
      <c r="D311" s="215">
        <v>1612</v>
      </c>
      <c r="E311" s="215">
        <v>3712</v>
      </c>
      <c r="F311" s="211" t="s">
        <v>1495</v>
      </c>
      <c r="G311" s="211" t="s">
        <v>1500</v>
      </c>
      <c r="H311" s="216" t="s">
        <v>1394</v>
      </c>
      <c r="I311" s="217" t="s">
        <v>1393</v>
      </c>
      <c r="J311" s="211" t="s">
        <v>1392</v>
      </c>
      <c r="K311" s="211" t="s">
        <v>1426</v>
      </c>
      <c r="L311" s="211" t="s">
        <v>99</v>
      </c>
      <c r="M311" s="211" t="s">
        <v>1118</v>
      </c>
      <c r="N311" s="211" t="s">
        <v>642</v>
      </c>
      <c r="O311" s="211">
        <v>4</v>
      </c>
      <c r="P311" s="214" t="s">
        <v>276</v>
      </c>
      <c r="Q311" s="229" t="s">
        <v>108</v>
      </c>
      <c r="R311" s="218">
        <v>1776000</v>
      </c>
      <c r="S311" s="218">
        <f>Product_Name[[#This Row],[Đơn giá
Unit Price]]*Product_Name[[#This Row],[Số lượng
Quantity]]</f>
        <v>7104000</v>
      </c>
      <c r="T311" s="230">
        <v>44508</v>
      </c>
      <c r="U311" s="220">
        <v>44525</v>
      </c>
      <c r="V311" s="221">
        <v>44525</v>
      </c>
      <c r="W311" s="211" t="s">
        <v>51</v>
      </c>
      <c r="X311" s="214" t="s">
        <v>16</v>
      </c>
      <c r="Y311" s="220"/>
      <c r="Z311" s="216"/>
      <c r="AA311" s="216"/>
      <c r="AB311" s="227">
        <v>44503</v>
      </c>
      <c r="AC311" s="295"/>
    </row>
    <row r="312" spans="1:29" ht="15.5" x14ac:dyDescent="0.35">
      <c r="A312" s="211">
        <v>3747</v>
      </c>
      <c r="B312" s="214" t="s">
        <v>1542</v>
      </c>
      <c r="C312" s="211">
        <v>4072</v>
      </c>
      <c r="D312" s="215" t="s">
        <v>110</v>
      </c>
      <c r="E312" s="215" t="s">
        <v>110</v>
      </c>
      <c r="F312" s="214" t="s">
        <v>110</v>
      </c>
      <c r="G312" s="214" t="s">
        <v>110</v>
      </c>
      <c r="H312" s="216" t="s">
        <v>1486</v>
      </c>
      <c r="I312" s="217" t="s">
        <v>1485</v>
      </c>
      <c r="J312" s="211" t="s">
        <v>1507</v>
      </c>
      <c r="K312" s="211" t="s">
        <v>1506</v>
      </c>
      <c r="L312" s="211" t="s">
        <v>100</v>
      </c>
      <c r="M312" s="211" t="s">
        <v>795</v>
      </c>
      <c r="N312" s="211" t="s">
        <v>14</v>
      </c>
      <c r="O312" s="211">
        <v>24</v>
      </c>
      <c r="P312" s="211" t="s">
        <v>37</v>
      </c>
      <c r="Q312" s="213" t="s">
        <v>108</v>
      </c>
      <c r="R312" s="218">
        <v>140000</v>
      </c>
      <c r="S312" s="218">
        <f>Product_Name[[#This Row],[Đơn giá
Unit Price]]*Product_Name[[#This Row],[Số lượng
Quantity]]</f>
        <v>3360000</v>
      </c>
      <c r="T312" s="219">
        <v>44511</v>
      </c>
      <c r="U312" s="220">
        <v>44519</v>
      </c>
      <c r="V312" s="221">
        <v>44518</v>
      </c>
      <c r="W312" s="211" t="s">
        <v>2814</v>
      </c>
      <c r="X312" s="211" t="s">
        <v>16</v>
      </c>
      <c r="Y312" s="220"/>
      <c r="Z312" s="216"/>
      <c r="AA312" s="216"/>
      <c r="AB312" s="227"/>
      <c r="AC312" s="295"/>
    </row>
    <row r="313" spans="1:29" ht="15.5" x14ac:dyDescent="0.35">
      <c r="A313" s="211">
        <v>3790</v>
      </c>
      <c r="B313" s="214" t="s">
        <v>1603</v>
      </c>
      <c r="C313" s="211">
        <v>4093</v>
      </c>
      <c r="D313" s="215" t="s">
        <v>110</v>
      </c>
      <c r="E313" s="215" t="s">
        <v>110</v>
      </c>
      <c r="F313" s="214" t="s">
        <v>110</v>
      </c>
      <c r="G313" s="214" t="s">
        <v>110</v>
      </c>
      <c r="H313" s="216" t="s">
        <v>1516</v>
      </c>
      <c r="I313" s="217" t="s">
        <v>1501</v>
      </c>
      <c r="J313" s="211" t="s">
        <v>1515</v>
      </c>
      <c r="K313" s="211" t="s">
        <v>1513</v>
      </c>
      <c r="L313" s="211" t="s">
        <v>99</v>
      </c>
      <c r="M313" s="211" t="s">
        <v>123</v>
      </c>
      <c r="N313" s="211" t="s">
        <v>14</v>
      </c>
      <c r="O313" s="211">
        <v>2</v>
      </c>
      <c r="P313" s="236" t="s">
        <v>37</v>
      </c>
      <c r="Q313" s="213" t="s">
        <v>108</v>
      </c>
      <c r="R313" s="218">
        <v>768000</v>
      </c>
      <c r="S313" s="218">
        <f>Product_Name[[#This Row],[Đơn giá
Unit Price]]*Product_Name[[#This Row],[Số lượng
Quantity]]</f>
        <v>1536000</v>
      </c>
      <c r="T313" s="219">
        <v>44515</v>
      </c>
      <c r="U313" s="220">
        <v>44539</v>
      </c>
      <c r="V313" s="221">
        <v>44540</v>
      </c>
      <c r="W313" s="211" t="s">
        <v>2814</v>
      </c>
      <c r="X313" s="214" t="s">
        <v>16</v>
      </c>
      <c r="Y313" s="220">
        <v>44508</v>
      </c>
      <c r="Z313" s="216"/>
      <c r="AA313" s="227" t="s">
        <v>1514</v>
      </c>
      <c r="AB313" s="227"/>
      <c r="AC313" s="295"/>
    </row>
    <row r="314" spans="1:29" ht="15.5" x14ac:dyDescent="0.35">
      <c r="A314" s="211">
        <v>3788</v>
      </c>
      <c r="B314" s="214" t="s">
        <v>1558</v>
      </c>
      <c r="C314" s="211">
        <v>4099</v>
      </c>
      <c r="D314" s="215" t="s">
        <v>110</v>
      </c>
      <c r="E314" s="215" t="s">
        <v>110</v>
      </c>
      <c r="F314" s="214" t="s">
        <v>110</v>
      </c>
      <c r="G314" s="214" t="s">
        <v>110</v>
      </c>
      <c r="H314" s="216" t="s">
        <v>1518</v>
      </c>
      <c r="I314" s="217" t="s">
        <v>1557</v>
      </c>
      <c r="J314" s="211" t="s">
        <v>1520</v>
      </c>
      <c r="K314" s="211" t="s">
        <v>255</v>
      </c>
      <c r="L314" s="211" t="s">
        <v>255</v>
      </c>
      <c r="M314" s="211" t="s">
        <v>795</v>
      </c>
      <c r="N314" s="211" t="s">
        <v>14</v>
      </c>
      <c r="O314" s="211">
        <v>30</v>
      </c>
      <c r="P314" s="211" t="s">
        <v>798</v>
      </c>
      <c r="Q314" s="218" t="s">
        <v>108</v>
      </c>
      <c r="R314" s="218">
        <v>40000</v>
      </c>
      <c r="S314" s="218">
        <f>Product_Name[[#This Row],[Đơn giá
Unit Price]]*Product_Name[[#This Row],[Số lượng
Quantity]]</f>
        <v>1200000</v>
      </c>
      <c r="T314" s="219">
        <v>44516</v>
      </c>
      <c r="U314" s="220">
        <v>44523</v>
      </c>
      <c r="V314" s="221">
        <v>44524</v>
      </c>
      <c r="W314" s="214" t="s">
        <v>2577</v>
      </c>
      <c r="X314" s="211" t="s">
        <v>16</v>
      </c>
      <c r="Y314" s="220"/>
      <c r="Z314" s="216"/>
      <c r="AA314" s="227" t="s">
        <v>1519</v>
      </c>
      <c r="AB314" s="227"/>
      <c r="AC314" s="295"/>
    </row>
    <row r="315" spans="1:29" ht="15.5" x14ac:dyDescent="0.35">
      <c r="A315" s="211">
        <v>3789</v>
      </c>
      <c r="B315" s="214" t="s">
        <v>1555</v>
      </c>
      <c r="C315" s="211">
        <v>4132</v>
      </c>
      <c r="D315" s="215" t="s">
        <v>110</v>
      </c>
      <c r="E315" s="215" t="s">
        <v>110</v>
      </c>
      <c r="F315" s="214" t="s">
        <v>110</v>
      </c>
      <c r="G315" s="214" t="s">
        <v>110</v>
      </c>
      <c r="H315" s="217" t="s">
        <v>237</v>
      </c>
      <c r="I315" s="217" t="s">
        <v>754</v>
      </c>
      <c r="J315" s="214" t="s">
        <v>244</v>
      </c>
      <c r="K315" s="211" t="s">
        <v>1535</v>
      </c>
      <c r="L315" s="211" t="s">
        <v>284</v>
      </c>
      <c r="M315" s="211" t="s">
        <v>124</v>
      </c>
      <c r="N315" s="214" t="s">
        <v>14</v>
      </c>
      <c r="O315" s="211">
        <v>10</v>
      </c>
      <c r="P315" s="211" t="s">
        <v>276</v>
      </c>
      <c r="Q315" s="218" t="s">
        <v>108</v>
      </c>
      <c r="R315" s="218">
        <v>22000</v>
      </c>
      <c r="S315" s="218">
        <f>Product_Name[[#This Row],[Đơn giá
Unit Price]]*Product_Name[[#This Row],[Số lượng
Quantity]]</f>
        <v>220000</v>
      </c>
      <c r="T315" s="219">
        <v>44518</v>
      </c>
      <c r="U315" s="220">
        <v>44525</v>
      </c>
      <c r="V315" s="221">
        <v>44523</v>
      </c>
      <c r="W315" s="214" t="s">
        <v>1537</v>
      </c>
      <c r="X315" s="211" t="s">
        <v>16</v>
      </c>
      <c r="Y315" s="220"/>
      <c r="Z315" s="216"/>
      <c r="AA315" s="216"/>
      <c r="AB315" s="227"/>
      <c r="AC315" s="295"/>
    </row>
    <row r="316" spans="1:29" ht="15.5" x14ac:dyDescent="0.35">
      <c r="A316" s="215" t="s">
        <v>110</v>
      </c>
      <c r="B316" s="214" t="s">
        <v>1655</v>
      </c>
      <c r="C316" s="215" t="s">
        <v>110</v>
      </c>
      <c r="D316" s="215">
        <v>1650</v>
      </c>
      <c r="E316" s="215">
        <v>3816</v>
      </c>
      <c r="F316" s="211" t="s">
        <v>1508</v>
      </c>
      <c r="G316" s="211" t="s">
        <v>1538</v>
      </c>
      <c r="H316" s="216" t="s">
        <v>621</v>
      </c>
      <c r="I316" s="217" t="s">
        <v>1468</v>
      </c>
      <c r="J316" s="211" t="s">
        <v>615</v>
      </c>
      <c r="K316" s="211" t="s">
        <v>176</v>
      </c>
      <c r="L316" s="211" t="s">
        <v>176</v>
      </c>
      <c r="M316" s="211" t="s">
        <v>63</v>
      </c>
      <c r="N316" s="211" t="s">
        <v>642</v>
      </c>
      <c r="O316" s="211">
        <v>22</v>
      </c>
      <c r="P316" s="211" t="s">
        <v>37</v>
      </c>
      <c r="Q316" s="213" t="s">
        <v>108</v>
      </c>
      <c r="R316" s="218">
        <v>2408000</v>
      </c>
      <c r="S316" s="218">
        <f>Product_Name[[#This Row],[Đơn giá
Unit Price]]*Product_Name[[#This Row],[Số lượng
Quantity]]</f>
        <v>52976000</v>
      </c>
      <c r="T316" s="219">
        <v>44519</v>
      </c>
      <c r="U316" s="220">
        <v>44550</v>
      </c>
      <c r="V316" s="221">
        <v>44565</v>
      </c>
      <c r="W316" s="211" t="s">
        <v>2813</v>
      </c>
      <c r="X316" s="211" t="s">
        <v>16</v>
      </c>
      <c r="Y316" s="220"/>
      <c r="Z316" s="216" t="s">
        <v>2404</v>
      </c>
      <c r="AA316" s="216" t="s">
        <v>1503</v>
      </c>
      <c r="AB316" s="227">
        <v>44510</v>
      </c>
      <c r="AC316" s="295"/>
    </row>
    <row r="317" spans="1:29" ht="15.5" x14ac:dyDescent="0.35">
      <c r="A317" s="215" t="s">
        <v>110</v>
      </c>
      <c r="B317" s="214" t="s">
        <v>1655</v>
      </c>
      <c r="C317" s="215" t="s">
        <v>110</v>
      </c>
      <c r="D317" s="215">
        <v>1650</v>
      </c>
      <c r="E317" s="215">
        <v>3816</v>
      </c>
      <c r="F317" s="211" t="s">
        <v>1508</v>
      </c>
      <c r="G317" s="211" t="s">
        <v>1538</v>
      </c>
      <c r="H317" s="216" t="s">
        <v>621</v>
      </c>
      <c r="I317" s="217" t="s">
        <v>1468</v>
      </c>
      <c r="J317" s="211" t="s">
        <v>616</v>
      </c>
      <c r="K317" s="211" t="s">
        <v>176</v>
      </c>
      <c r="L317" s="211" t="s">
        <v>176</v>
      </c>
      <c r="M317" s="211" t="s">
        <v>63</v>
      </c>
      <c r="N317" s="211" t="s">
        <v>642</v>
      </c>
      <c r="O317" s="211">
        <v>5</v>
      </c>
      <c r="P317" s="211" t="s">
        <v>37</v>
      </c>
      <c r="Q317" s="213" t="s">
        <v>108</v>
      </c>
      <c r="R317" s="218">
        <v>1120000</v>
      </c>
      <c r="S317" s="218">
        <f>Product_Name[[#This Row],[Đơn giá
Unit Price]]*Product_Name[[#This Row],[Số lượng
Quantity]]</f>
        <v>5600000</v>
      </c>
      <c r="T317" s="219">
        <v>44519</v>
      </c>
      <c r="U317" s="220">
        <v>44550</v>
      </c>
      <c r="V317" s="221">
        <v>44565</v>
      </c>
      <c r="W317" s="211" t="s">
        <v>2813</v>
      </c>
      <c r="X317" s="211" t="s">
        <v>16</v>
      </c>
      <c r="Y317" s="220"/>
      <c r="Z317" s="216" t="s">
        <v>2404</v>
      </c>
      <c r="AA317" s="216" t="s">
        <v>1503</v>
      </c>
      <c r="AB317" s="227">
        <v>44510</v>
      </c>
      <c r="AC317" s="295"/>
    </row>
    <row r="318" spans="1:29" ht="15.5" x14ac:dyDescent="0.35">
      <c r="A318" s="215" t="s">
        <v>110</v>
      </c>
      <c r="B318" s="214" t="s">
        <v>1655</v>
      </c>
      <c r="C318" s="215" t="s">
        <v>110</v>
      </c>
      <c r="D318" s="215">
        <v>1650</v>
      </c>
      <c r="E318" s="215">
        <v>3816</v>
      </c>
      <c r="F318" s="211" t="s">
        <v>1508</v>
      </c>
      <c r="G318" s="211" t="s">
        <v>1538</v>
      </c>
      <c r="H318" s="216" t="s">
        <v>621</v>
      </c>
      <c r="I318" s="217" t="s">
        <v>1468</v>
      </c>
      <c r="J318" s="211" t="s">
        <v>617</v>
      </c>
      <c r="K318" s="211" t="s">
        <v>176</v>
      </c>
      <c r="L318" s="211" t="s">
        <v>176</v>
      </c>
      <c r="M318" s="211" t="s">
        <v>63</v>
      </c>
      <c r="N318" s="211" t="s">
        <v>642</v>
      </c>
      <c r="O318" s="211">
        <v>7</v>
      </c>
      <c r="P318" s="211" t="s">
        <v>37</v>
      </c>
      <c r="Q318" s="213" t="s">
        <v>108</v>
      </c>
      <c r="R318" s="218">
        <v>1994000</v>
      </c>
      <c r="S318" s="218">
        <f>Product_Name[[#This Row],[Đơn giá
Unit Price]]*Product_Name[[#This Row],[Số lượng
Quantity]]</f>
        <v>13958000</v>
      </c>
      <c r="T318" s="219">
        <v>44519</v>
      </c>
      <c r="U318" s="220">
        <v>44550</v>
      </c>
      <c r="V318" s="221">
        <v>44565</v>
      </c>
      <c r="W318" s="211" t="s">
        <v>2813</v>
      </c>
      <c r="X318" s="211" t="s">
        <v>16</v>
      </c>
      <c r="Y318" s="220"/>
      <c r="Z318" s="216" t="s">
        <v>2404</v>
      </c>
      <c r="AA318" s="216" t="s">
        <v>1503</v>
      </c>
      <c r="AB318" s="227">
        <v>44510</v>
      </c>
      <c r="AC318" s="295"/>
    </row>
    <row r="319" spans="1:29" ht="15.5" x14ac:dyDescent="0.35">
      <c r="A319" s="215" t="s">
        <v>110</v>
      </c>
      <c r="B319" s="214" t="s">
        <v>1655</v>
      </c>
      <c r="C319" s="215" t="s">
        <v>110</v>
      </c>
      <c r="D319" s="215">
        <v>1650</v>
      </c>
      <c r="E319" s="215">
        <v>3816</v>
      </c>
      <c r="F319" s="211" t="s">
        <v>1508</v>
      </c>
      <c r="G319" s="211" t="s">
        <v>1538</v>
      </c>
      <c r="H319" s="216" t="s">
        <v>621</v>
      </c>
      <c r="I319" s="217" t="s">
        <v>970</v>
      </c>
      <c r="J319" s="211" t="s">
        <v>618</v>
      </c>
      <c r="K319" s="211" t="s">
        <v>176</v>
      </c>
      <c r="L319" s="211" t="s">
        <v>176</v>
      </c>
      <c r="M319" s="211" t="s">
        <v>63</v>
      </c>
      <c r="N319" s="211" t="s">
        <v>642</v>
      </c>
      <c r="O319" s="211">
        <v>8</v>
      </c>
      <c r="P319" s="211" t="s">
        <v>37</v>
      </c>
      <c r="Q319" s="213" t="s">
        <v>108</v>
      </c>
      <c r="R319" s="218">
        <v>1781000</v>
      </c>
      <c r="S319" s="218">
        <f>Product_Name[[#This Row],[Đơn giá
Unit Price]]*Product_Name[[#This Row],[Số lượng
Quantity]]</f>
        <v>14248000</v>
      </c>
      <c r="T319" s="219">
        <v>44519</v>
      </c>
      <c r="U319" s="220">
        <v>44550</v>
      </c>
      <c r="V319" s="221">
        <v>44565</v>
      </c>
      <c r="W319" s="211" t="s">
        <v>2813</v>
      </c>
      <c r="X319" s="211" t="s">
        <v>16</v>
      </c>
      <c r="Y319" s="220"/>
      <c r="Z319" s="216" t="s">
        <v>2404</v>
      </c>
      <c r="AA319" s="216" t="s">
        <v>1503</v>
      </c>
      <c r="AB319" s="227">
        <v>44510</v>
      </c>
      <c r="AC319" s="295"/>
    </row>
    <row r="320" spans="1:29" ht="15.5" x14ac:dyDescent="0.35">
      <c r="A320" s="211">
        <v>3811</v>
      </c>
      <c r="B320" s="214" t="s">
        <v>1575</v>
      </c>
      <c r="C320" s="211">
        <v>4136</v>
      </c>
      <c r="D320" s="215" t="s">
        <v>110</v>
      </c>
      <c r="E320" s="215" t="s">
        <v>110</v>
      </c>
      <c r="F320" s="211" t="s">
        <v>1508</v>
      </c>
      <c r="G320" s="211" t="s">
        <v>1538</v>
      </c>
      <c r="H320" s="216" t="s">
        <v>614</v>
      </c>
      <c r="I320" s="217" t="s">
        <v>1470</v>
      </c>
      <c r="J320" s="211" t="s">
        <v>613</v>
      </c>
      <c r="K320" s="211" t="s">
        <v>1540</v>
      </c>
      <c r="L320" s="211" t="s">
        <v>99</v>
      </c>
      <c r="M320" s="211" t="s">
        <v>124</v>
      </c>
      <c r="N320" s="211" t="s">
        <v>14</v>
      </c>
      <c r="O320" s="211">
        <v>250</v>
      </c>
      <c r="P320" s="211" t="s">
        <v>37</v>
      </c>
      <c r="Q320" s="213" t="s">
        <v>108</v>
      </c>
      <c r="R320" s="218">
        <v>15000</v>
      </c>
      <c r="S320" s="218">
        <f>Product_Name[[#This Row],[Đơn giá
Unit Price]]*Product_Name[[#This Row],[Số lượng
Quantity]]</f>
        <v>3750000</v>
      </c>
      <c r="T320" s="219">
        <v>44519</v>
      </c>
      <c r="U320" s="220">
        <v>44533</v>
      </c>
      <c r="V320" s="221">
        <v>44532</v>
      </c>
      <c r="W320" s="211" t="s">
        <v>51</v>
      </c>
      <c r="X320" s="211" t="s">
        <v>16</v>
      </c>
      <c r="Y320" s="220"/>
      <c r="Z320" s="216"/>
      <c r="AA320" s="216" t="s">
        <v>1503</v>
      </c>
      <c r="AB320" s="227">
        <v>44510</v>
      </c>
      <c r="AC320" s="295"/>
    </row>
    <row r="321" spans="1:29" ht="15.5" x14ac:dyDescent="0.35">
      <c r="A321" s="211" t="s">
        <v>110</v>
      </c>
      <c r="B321" s="214" t="s">
        <v>1632</v>
      </c>
      <c r="C321" s="211" t="s">
        <v>110</v>
      </c>
      <c r="D321" s="215">
        <v>1651</v>
      </c>
      <c r="E321" s="215">
        <v>3812</v>
      </c>
      <c r="F321" s="211" t="s">
        <v>1512</v>
      </c>
      <c r="G321" s="211" t="s">
        <v>1539</v>
      </c>
      <c r="H321" s="216" t="s">
        <v>1382</v>
      </c>
      <c r="I321" s="217" t="s">
        <v>1511</v>
      </c>
      <c r="J321" s="211" t="s">
        <v>1509</v>
      </c>
      <c r="K321" s="211" t="s">
        <v>1510</v>
      </c>
      <c r="L321" s="211" t="s">
        <v>1510</v>
      </c>
      <c r="M321" s="214" t="s">
        <v>796</v>
      </c>
      <c r="N321" s="211" t="s">
        <v>642</v>
      </c>
      <c r="O321" s="211">
        <v>1</v>
      </c>
      <c r="P321" s="214" t="s">
        <v>44</v>
      </c>
      <c r="Q321" s="213" t="s">
        <v>108</v>
      </c>
      <c r="R321" s="218">
        <v>17000000</v>
      </c>
      <c r="S321" s="218">
        <f>Product_Name[[#This Row],[Đơn giá
Unit Price]]*Product_Name[[#This Row],[Số lượng
Quantity]]</f>
        <v>17000000</v>
      </c>
      <c r="T321" s="219">
        <v>44519</v>
      </c>
      <c r="U321" s="220">
        <v>44529</v>
      </c>
      <c r="V321" s="221">
        <v>44547</v>
      </c>
      <c r="W321" s="211" t="s">
        <v>21</v>
      </c>
      <c r="X321" s="214" t="s">
        <v>16</v>
      </c>
      <c r="Y321" s="220"/>
      <c r="Z321" s="216"/>
      <c r="AA321" s="216" t="s">
        <v>1514</v>
      </c>
      <c r="AB321" s="227">
        <v>44515</v>
      </c>
      <c r="AC321" s="295"/>
    </row>
    <row r="322" spans="1:29" ht="15.5" x14ac:dyDescent="0.35">
      <c r="A322" s="211">
        <v>3842</v>
      </c>
      <c r="B322" s="214" t="s">
        <v>1604</v>
      </c>
      <c r="C322" s="211">
        <v>4173</v>
      </c>
      <c r="D322" s="215" t="s">
        <v>110</v>
      </c>
      <c r="E322" s="215" t="s">
        <v>110</v>
      </c>
      <c r="F322" s="214" t="s">
        <v>110</v>
      </c>
      <c r="G322" s="214" t="s">
        <v>110</v>
      </c>
      <c r="H322" s="216" t="s">
        <v>1527</v>
      </c>
      <c r="I322" s="217" t="s">
        <v>1526</v>
      </c>
      <c r="J322" s="211" t="s">
        <v>1525</v>
      </c>
      <c r="K322" s="211" t="s">
        <v>1528</v>
      </c>
      <c r="L322" s="211" t="s">
        <v>99</v>
      </c>
      <c r="M322" s="211" t="s">
        <v>123</v>
      </c>
      <c r="N322" s="211" t="s">
        <v>14</v>
      </c>
      <c r="O322" s="211">
        <v>1</v>
      </c>
      <c r="P322" s="211" t="s">
        <v>105</v>
      </c>
      <c r="Q322" s="218" t="s">
        <v>108</v>
      </c>
      <c r="R322" s="218">
        <v>4648000</v>
      </c>
      <c r="S322" s="218">
        <f>Product_Name[[#This Row],[Đơn giá
Unit Price]]*Product_Name[[#This Row],[Số lượng
Quantity]]</f>
        <v>4648000</v>
      </c>
      <c r="T322" s="219">
        <v>44523</v>
      </c>
      <c r="U322" s="220">
        <v>44540</v>
      </c>
      <c r="V322" s="221">
        <v>44540</v>
      </c>
      <c r="W322" s="211" t="s">
        <v>21</v>
      </c>
      <c r="X322" s="211" t="s">
        <v>16</v>
      </c>
      <c r="Y322" s="220"/>
      <c r="Z322" s="216"/>
      <c r="AA322" s="224" t="s">
        <v>2673</v>
      </c>
      <c r="AB322" s="227"/>
      <c r="AC322" s="295"/>
    </row>
    <row r="323" spans="1:29" ht="15.5" x14ac:dyDescent="0.35">
      <c r="A323" s="211" t="s">
        <v>110</v>
      </c>
      <c r="B323" s="214" t="s">
        <v>1602</v>
      </c>
      <c r="C323" s="211" t="s">
        <v>110</v>
      </c>
      <c r="D323" s="215">
        <v>1674</v>
      </c>
      <c r="E323" s="215">
        <v>3866</v>
      </c>
      <c r="F323" s="211" t="s">
        <v>1536</v>
      </c>
      <c r="G323" s="211" t="s">
        <v>1559</v>
      </c>
      <c r="H323" s="216" t="s">
        <v>1483</v>
      </c>
      <c r="I323" s="217" t="s">
        <v>1484</v>
      </c>
      <c r="J323" s="211" t="s">
        <v>1523</v>
      </c>
      <c r="K323" s="211" t="s">
        <v>1524</v>
      </c>
      <c r="L323" s="211" t="s">
        <v>99</v>
      </c>
      <c r="M323" s="214" t="s">
        <v>796</v>
      </c>
      <c r="N323" s="211" t="s">
        <v>642</v>
      </c>
      <c r="O323" s="211">
        <v>1</v>
      </c>
      <c r="P323" s="211" t="s">
        <v>37</v>
      </c>
      <c r="Q323" s="213" t="s">
        <v>108</v>
      </c>
      <c r="R323" s="218">
        <v>4500000</v>
      </c>
      <c r="S323" s="218">
        <f>Product_Name[[#This Row],[Đơn giá
Unit Price]]*Product_Name[[#This Row],[Số lượng
Quantity]]</f>
        <v>4500000</v>
      </c>
      <c r="T323" s="219">
        <v>44525</v>
      </c>
      <c r="U323" s="220">
        <v>44545</v>
      </c>
      <c r="V323" s="221">
        <v>44540</v>
      </c>
      <c r="W323" s="211" t="s">
        <v>21</v>
      </c>
      <c r="X323" s="211" t="s">
        <v>16</v>
      </c>
      <c r="Y323" s="220"/>
      <c r="Z323" s="216"/>
      <c r="AA323" s="227" t="s">
        <v>1519</v>
      </c>
      <c r="AB323" s="227"/>
      <c r="AC323" s="295"/>
    </row>
    <row r="324" spans="1:29" ht="15.5" x14ac:dyDescent="0.35">
      <c r="A324" s="211">
        <v>3862</v>
      </c>
      <c r="B324" s="214" t="s">
        <v>1636</v>
      </c>
      <c r="C324" s="211">
        <v>4202</v>
      </c>
      <c r="D324" s="215" t="s">
        <v>110</v>
      </c>
      <c r="E324" s="215" t="s">
        <v>110</v>
      </c>
      <c r="F324" s="215" t="s">
        <v>110</v>
      </c>
      <c r="G324" s="215" t="s">
        <v>110</v>
      </c>
      <c r="H324" s="216" t="s">
        <v>1635</v>
      </c>
      <c r="I324" s="217" t="s">
        <v>1498</v>
      </c>
      <c r="J324" s="211" t="s">
        <v>1634</v>
      </c>
      <c r="K324" s="211" t="s">
        <v>1185</v>
      </c>
      <c r="L324" s="211" t="s">
        <v>99</v>
      </c>
      <c r="M324" s="211" t="s">
        <v>123</v>
      </c>
      <c r="N324" s="211" t="s">
        <v>14</v>
      </c>
      <c r="O324" s="211">
        <v>2</v>
      </c>
      <c r="P324" s="236" t="s">
        <v>37</v>
      </c>
      <c r="Q324" s="213" t="s">
        <v>108</v>
      </c>
      <c r="R324" s="218">
        <v>413000</v>
      </c>
      <c r="S324" s="218">
        <f>Product_Name[[#This Row],[Đơn giá
Unit Price]]*Product_Name[[#This Row],[Số lượng
Quantity]]</f>
        <v>826000</v>
      </c>
      <c r="T324" s="219">
        <v>44526</v>
      </c>
      <c r="U324" s="220">
        <v>44571</v>
      </c>
      <c r="V324" s="221">
        <v>44554</v>
      </c>
      <c r="W324" s="211" t="s">
        <v>51</v>
      </c>
      <c r="X324" s="214" t="s">
        <v>16</v>
      </c>
      <c r="Y324" s="220"/>
      <c r="Z324" s="216"/>
      <c r="AA324" s="227" t="s">
        <v>1519</v>
      </c>
      <c r="AB324" s="227"/>
      <c r="AC324" s="295"/>
    </row>
    <row r="325" spans="1:29" ht="15.5" x14ac:dyDescent="0.35">
      <c r="A325" s="211">
        <v>3874</v>
      </c>
      <c r="B325" s="214" t="s">
        <v>1614</v>
      </c>
      <c r="C325" s="211">
        <v>4208</v>
      </c>
      <c r="D325" s="215" t="s">
        <v>110</v>
      </c>
      <c r="E325" s="215" t="s">
        <v>110</v>
      </c>
      <c r="F325" s="215" t="s">
        <v>110</v>
      </c>
      <c r="G325" s="215" t="s">
        <v>110</v>
      </c>
      <c r="H325" s="216" t="s">
        <v>1566</v>
      </c>
      <c r="I325" s="217" t="s">
        <v>1563</v>
      </c>
      <c r="J325" s="211" t="s">
        <v>1534</v>
      </c>
      <c r="K325" s="211" t="s">
        <v>162</v>
      </c>
      <c r="L325" s="211" t="s">
        <v>162</v>
      </c>
      <c r="M325" s="211" t="s">
        <v>123</v>
      </c>
      <c r="N325" s="211" t="s">
        <v>14</v>
      </c>
      <c r="O325" s="211">
        <v>10</v>
      </c>
      <c r="P325" s="211" t="s">
        <v>37</v>
      </c>
      <c r="Q325" s="218" t="s">
        <v>108</v>
      </c>
      <c r="R325" s="218">
        <v>850000</v>
      </c>
      <c r="S325" s="218">
        <f>Product_Name[[#This Row],[Đơn giá
Unit Price]]*Product_Name[[#This Row],[Số lượng
Quantity]]</f>
        <v>8500000</v>
      </c>
      <c r="T325" s="219">
        <v>44529</v>
      </c>
      <c r="U325" s="220">
        <v>44545</v>
      </c>
      <c r="V325" s="221">
        <v>44545</v>
      </c>
      <c r="W325" s="211" t="s">
        <v>51</v>
      </c>
      <c r="X325" s="211" t="s">
        <v>16</v>
      </c>
      <c r="Y325" s="220"/>
      <c r="Z325" s="216"/>
      <c r="AA325" s="227" t="s">
        <v>1519</v>
      </c>
      <c r="AB325" s="227"/>
      <c r="AC325" s="295"/>
    </row>
    <row r="326" spans="1:29" ht="15.5" x14ac:dyDescent="0.35">
      <c r="A326" s="211" t="s">
        <v>110</v>
      </c>
      <c r="B326" s="214" t="s">
        <v>1607</v>
      </c>
      <c r="C326" s="211" t="s">
        <v>110</v>
      </c>
      <c r="D326" s="215" t="s">
        <v>1597</v>
      </c>
      <c r="E326" s="215" t="s">
        <v>1606</v>
      </c>
      <c r="F326" s="211" t="s">
        <v>110</v>
      </c>
      <c r="G326" s="211" t="s">
        <v>110</v>
      </c>
      <c r="H326" s="216" t="s">
        <v>1549</v>
      </c>
      <c r="I326" s="217" t="s">
        <v>1550</v>
      </c>
      <c r="J326" s="211" t="s">
        <v>1551</v>
      </c>
      <c r="K326" s="211" t="s">
        <v>1564</v>
      </c>
      <c r="L326" s="211" t="s">
        <v>1564</v>
      </c>
      <c r="M326" s="214" t="s">
        <v>797</v>
      </c>
      <c r="N326" s="211" t="s">
        <v>642</v>
      </c>
      <c r="O326" s="211">
        <v>4</v>
      </c>
      <c r="P326" s="211" t="s">
        <v>37</v>
      </c>
      <c r="Q326" s="213" t="s">
        <v>108</v>
      </c>
      <c r="R326" s="218">
        <v>175000</v>
      </c>
      <c r="S326" s="218">
        <f>Product_Name[[#This Row],[Đơn giá
Unit Price]]*Product_Name[[#This Row],[Số lượng
Quantity]]</f>
        <v>700000</v>
      </c>
      <c r="T326" s="219">
        <v>44529</v>
      </c>
      <c r="U326" s="220">
        <v>44540</v>
      </c>
      <c r="V326" s="221">
        <v>44539</v>
      </c>
      <c r="W326" s="211" t="s">
        <v>1565</v>
      </c>
      <c r="X326" s="211" t="s">
        <v>16</v>
      </c>
      <c r="Y326" s="220"/>
      <c r="Z326" s="216"/>
      <c r="AA326" s="227" t="s">
        <v>1519</v>
      </c>
      <c r="AB326" s="227"/>
      <c r="AC326" s="295"/>
    </row>
    <row r="327" spans="1:29" ht="15.5" x14ac:dyDescent="0.35">
      <c r="A327" s="214">
        <v>3955</v>
      </c>
      <c r="B327" s="214" t="s">
        <v>1750</v>
      </c>
      <c r="C327" s="214">
        <v>4418</v>
      </c>
      <c r="D327" s="215" t="s">
        <v>110</v>
      </c>
      <c r="E327" s="215" t="s">
        <v>110</v>
      </c>
      <c r="F327" s="215" t="s">
        <v>110</v>
      </c>
      <c r="G327" s="215" t="s">
        <v>110</v>
      </c>
      <c r="H327" s="216" t="s">
        <v>1070</v>
      </c>
      <c r="I327" s="217" t="s">
        <v>1062</v>
      </c>
      <c r="J327" s="211" t="s">
        <v>1066</v>
      </c>
      <c r="K327" s="211" t="s">
        <v>1446</v>
      </c>
      <c r="L327" s="211" t="s">
        <v>99</v>
      </c>
      <c r="M327" s="211" t="s">
        <v>123</v>
      </c>
      <c r="N327" s="211" t="s">
        <v>14</v>
      </c>
      <c r="O327" s="211">
        <v>5</v>
      </c>
      <c r="P327" s="211" t="s">
        <v>276</v>
      </c>
      <c r="Q327" s="213" t="s">
        <v>108</v>
      </c>
      <c r="R327" s="218">
        <v>4858000</v>
      </c>
      <c r="S327" s="218">
        <f>Product_Name[[#This Row],[Đơn giá
Unit Price]]*Product_Name[[#This Row],[Số lượng
Quantity]]</f>
        <v>24290000</v>
      </c>
      <c r="T327" s="219">
        <v>44537</v>
      </c>
      <c r="U327" s="220">
        <v>44596</v>
      </c>
      <c r="V327" s="221">
        <v>44585</v>
      </c>
      <c r="W327" s="211" t="s">
        <v>2814</v>
      </c>
      <c r="X327" s="211" t="s">
        <v>16</v>
      </c>
      <c r="Y327" s="220"/>
      <c r="Z327" s="216"/>
      <c r="AA327" s="227" t="s">
        <v>1519</v>
      </c>
      <c r="AB327" s="227"/>
      <c r="AC327" s="295"/>
    </row>
    <row r="328" spans="1:29" ht="15.5" x14ac:dyDescent="0.35">
      <c r="A328" s="211">
        <v>3962</v>
      </c>
      <c r="B328" s="214" t="s">
        <v>2135</v>
      </c>
      <c r="C328" s="211">
        <v>4433</v>
      </c>
      <c r="D328" s="215"/>
      <c r="E328" s="215"/>
      <c r="F328" s="211" t="s">
        <v>1584</v>
      </c>
      <c r="G328" s="211" t="s">
        <v>1585</v>
      </c>
      <c r="H328" s="216" t="s">
        <v>1533</v>
      </c>
      <c r="I328" s="217" t="s">
        <v>1532</v>
      </c>
      <c r="J328" s="211" t="s">
        <v>1590</v>
      </c>
      <c r="K328" s="211" t="s">
        <v>1449</v>
      </c>
      <c r="L328" s="211" t="s">
        <v>1453</v>
      </c>
      <c r="M328" s="211" t="s">
        <v>124</v>
      </c>
      <c r="N328" s="214" t="s">
        <v>14</v>
      </c>
      <c r="O328" s="211">
        <v>1</v>
      </c>
      <c r="P328" s="211" t="s">
        <v>37</v>
      </c>
      <c r="Q328" s="218" t="s">
        <v>108</v>
      </c>
      <c r="R328" s="218">
        <v>17287000</v>
      </c>
      <c r="S328" s="218">
        <f>Product_Name[[#This Row],[Đơn giá
Unit Price]]*Product_Name[[#This Row],[Số lượng
Quantity]]</f>
        <v>17287000</v>
      </c>
      <c r="T328" s="219">
        <v>44538</v>
      </c>
      <c r="U328" s="220">
        <v>44615</v>
      </c>
      <c r="V328" s="221">
        <v>44690</v>
      </c>
      <c r="W328" s="211" t="s">
        <v>51</v>
      </c>
      <c r="X328" s="211" t="s">
        <v>16</v>
      </c>
      <c r="Y328" s="220">
        <v>44883</v>
      </c>
      <c r="Z328" s="216"/>
      <c r="AA328" s="216" t="s">
        <v>2133</v>
      </c>
      <c r="AB328" s="227"/>
      <c r="AC328" s="295"/>
    </row>
    <row r="329" spans="1:29" ht="15.5" x14ac:dyDescent="0.35">
      <c r="A329" s="211" t="s">
        <v>110</v>
      </c>
      <c r="B329" s="214" t="s">
        <v>2185</v>
      </c>
      <c r="C329" s="211" t="s">
        <v>110</v>
      </c>
      <c r="D329" s="215">
        <v>1714</v>
      </c>
      <c r="E329" s="215">
        <v>3953</v>
      </c>
      <c r="F329" s="211" t="s">
        <v>1567</v>
      </c>
      <c r="G329" s="211" t="s">
        <v>1581</v>
      </c>
      <c r="H329" s="216" t="s">
        <v>1591</v>
      </c>
      <c r="I329" s="217" t="s">
        <v>1521</v>
      </c>
      <c r="J329" s="240" t="s">
        <v>1522</v>
      </c>
      <c r="K329" s="211" t="s">
        <v>733</v>
      </c>
      <c r="L329" s="211" t="s">
        <v>733</v>
      </c>
      <c r="M329" s="211" t="s">
        <v>63</v>
      </c>
      <c r="N329" s="211" t="s">
        <v>642</v>
      </c>
      <c r="O329" s="211">
        <v>1</v>
      </c>
      <c r="P329" s="211" t="s">
        <v>44</v>
      </c>
      <c r="Q329" s="218" t="s">
        <v>108</v>
      </c>
      <c r="R329" s="218">
        <v>22120000</v>
      </c>
      <c r="S329" s="218">
        <f>Product_Name[[#This Row],[Đơn giá
Unit Price]]*Product_Name[[#This Row],[Số lượng
Quantity]]</f>
        <v>22120000</v>
      </c>
      <c r="T329" s="219">
        <v>44538</v>
      </c>
      <c r="U329" s="220">
        <v>44206</v>
      </c>
      <c r="V329" s="221">
        <v>44702</v>
      </c>
      <c r="W329" s="211" t="s">
        <v>21</v>
      </c>
      <c r="X329" s="211" t="s">
        <v>16</v>
      </c>
      <c r="Y329" s="220"/>
      <c r="Z329" s="216" t="s">
        <v>2030</v>
      </c>
      <c r="AA329" s="216" t="s">
        <v>1514</v>
      </c>
      <c r="AB329" s="227"/>
      <c r="AC329" s="295"/>
    </row>
    <row r="330" spans="1:29" ht="15.5" x14ac:dyDescent="0.35">
      <c r="A330" s="211" t="s">
        <v>110</v>
      </c>
      <c r="B330" s="214" t="s">
        <v>1779</v>
      </c>
      <c r="C330" s="211" t="s">
        <v>110</v>
      </c>
      <c r="D330" s="215">
        <v>1716</v>
      </c>
      <c r="E330" s="215">
        <v>3957</v>
      </c>
      <c r="F330" s="211" t="s">
        <v>1571</v>
      </c>
      <c r="G330" s="211" t="s">
        <v>1583</v>
      </c>
      <c r="H330" s="216" t="s">
        <v>973</v>
      </c>
      <c r="I330" s="217" t="s">
        <v>969</v>
      </c>
      <c r="J330" s="211" t="s">
        <v>975</v>
      </c>
      <c r="K330" s="211" t="s">
        <v>1568</v>
      </c>
      <c r="L330" s="211" t="s">
        <v>1568</v>
      </c>
      <c r="M330" s="214" t="s">
        <v>796</v>
      </c>
      <c r="N330" s="211" t="s">
        <v>642</v>
      </c>
      <c r="O330" s="211">
        <v>1</v>
      </c>
      <c r="P330" s="211" t="s">
        <v>276</v>
      </c>
      <c r="Q330" s="213" t="s">
        <v>108</v>
      </c>
      <c r="R330" s="218">
        <v>29700000</v>
      </c>
      <c r="S330" s="218">
        <f>Product_Name[[#This Row],[Đơn giá
Unit Price]]*Product_Name[[#This Row],[Số lượng
Quantity]]</f>
        <v>29700000</v>
      </c>
      <c r="T330" s="219">
        <v>44538</v>
      </c>
      <c r="U330" s="220">
        <v>44215</v>
      </c>
      <c r="V330" s="221">
        <v>44609</v>
      </c>
      <c r="W330" s="214" t="s">
        <v>1537</v>
      </c>
      <c r="X330" s="211" t="s">
        <v>16</v>
      </c>
      <c r="Y330" s="220"/>
      <c r="Z330" s="216"/>
      <c r="AA330" s="216"/>
      <c r="AB330" s="227">
        <v>44531</v>
      </c>
      <c r="AC330" s="295"/>
    </row>
    <row r="331" spans="1:29" ht="15.5" x14ac:dyDescent="0.35">
      <c r="A331" s="211" t="s">
        <v>110</v>
      </c>
      <c r="B331" s="214" t="s">
        <v>1633</v>
      </c>
      <c r="C331" s="211" t="s">
        <v>110</v>
      </c>
      <c r="D331" s="215">
        <v>1717</v>
      </c>
      <c r="E331" s="215">
        <v>3956</v>
      </c>
      <c r="F331" s="211" t="s">
        <v>1580</v>
      </c>
      <c r="G331" s="211" t="s">
        <v>1582</v>
      </c>
      <c r="H331" s="216" t="s">
        <v>1530</v>
      </c>
      <c r="I331" s="217" t="s">
        <v>1531</v>
      </c>
      <c r="J331" s="211" t="s">
        <v>1573</v>
      </c>
      <c r="K331" s="211" t="s">
        <v>1572</v>
      </c>
      <c r="L331" s="211" t="s">
        <v>99</v>
      </c>
      <c r="M331" s="214" t="s">
        <v>796</v>
      </c>
      <c r="N331" s="211" t="s">
        <v>642</v>
      </c>
      <c r="O331" s="211">
        <v>1</v>
      </c>
      <c r="P331" s="211" t="s">
        <v>37</v>
      </c>
      <c r="Q331" s="218" t="s">
        <v>108</v>
      </c>
      <c r="R331" s="218">
        <v>4920000</v>
      </c>
      <c r="S331" s="218">
        <f>Product_Name[[#This Row],[Đơn giá
Unit Price]]*Product_Name[[#This Row],[Số lượng
Quantity]]</f>
        <v>4920000</v>
      </c>
      <c r="T331" s="219">
        <v>44538</v>
      </c>
      <c r="U331" s="220">
        <v>44566</v>
      </c>
      <c r="V331" s="221">
        <v>44554</v>
      </c>
      <c r="W331" s="211" t="s">
        <v>2814</v>
      </c>
      <c r="X331" s="211" t="s">
        <v>16</v>
      </c>
      <c r="Y331" s="220"/>
      <c r="Z331" s="216"/>
      <c r="AA331" s="216"/>
      <c r="AB331" s="227">
        <v>44532</v>
      </c>
      <c r="AC331" s="295"/>
    </row>
    <row r="332" spans="1:29" ht="15.5" x14ac:dyDescent="0.35">
      <c r="A332" s="211" t="s">
        <v>110</v>
      </c>
      <c r="B332" s="214" t="s">
        <v>1657</v>
      </c>
      <c r="C332" s="211" t="s">
        <v>110</v>
      </c>
      <c r="D332" s="215">
        <v>1721</v>
      </c>
      <c r="E332" s="215">
        <v>3960</v>
      </c>
      <c r="F332" s="211" t="s">
        <v>110</v>
      </c>
      <c r="G332" s="211" t="s">
        <v>110</v>
      </c>
      <c r="H332" s="216" t="s">
        <v>1077</v>
      </c>
      <c r="I332" s="217" t="s">
        <v>1078</v>
      </c>
      <c r="J332" s="211" t="s">
        <v>1547</v>
      </c>
      <c r="K332" s="211" t="s">
        <v>1588</v>
      </c>
      <c r="L332" s="211" t="s">
        <v>733</v>
      </c>
      <c r="M332" s="214" t="s">
        <v>796</v>
      </c>
      <c r="N332" s="211" t="s">
        <v>642</v>
      </c>
      <c r="O332" s="211">
        <v>2</v>
      </c>
      <c r="P332" s="211" t="s">
        <v>37</v>
      </c>
      <c r="Q332" s="218" t="s">
        <v>108</v>
      </c>
      <c r="R332" s="218">
        <v>595000</v>
      </c>
      <c r="S332" s="218">
        <f>Product_Name[[#This Row],[Đơn giá
Unit Price]]*Product_Name[[#This Row],[Số lượng
Quantity]]</f>
        <v>1190000</v>
      </c>
      <c r="T332" s="219">
        <v>44538</v>
      </c>
      <c r="U332" s="220">
        <v>44235</v>
      </c>
      <c r="V332" s="221">
        <v>44200</v>
      </c>
      <c r="W332" s="211" t="s">
        <v>1565</v>
      </c>
      <c r="X332" s="211" t="s">
        <v>16</v>
      </c>
      <c r="Y332" s="220">
        <v>44519</v>
      </c>
      <c r="Z332" s="216"/>
      <c r="AA332" s="216" t="s">
        <v>1514</v>
      </c>
      <c r="AB332" s="227"/>
      <c r="AC332" s="295"/>
    </row>
    <row r="333" spans="1:29" ht="15.5" x14ac:dyDescent="0.35">
      <c r="A333" s="211" t="s">
        <v>110</v>
      </c>
      <c r="B333" s="214" t="s">
        <v>1656</v>
      </c>
      <c r="C333" s="211" t="s">
        <v>110</v>
      </c>
      <c r="D333" s="215">
        <v>1735</v>
      </c>
      <c r="E333" s="215">
        <v>4000</v>
      </c>
      <c r="F333" s="211" t="s">
        <v>1600</v>
      </c>
      <c r="G333" s="211" t="s">
        <v>1601</v>
      </c>
      <c r="H333" s="238" t="s">
        <v>1161</v>
      </c>
      <c r="I333" s="217" t="s">
        <v>1162</v>
      </c>
      <c r="J333" s="211" t="s">
        <v>1586</v>
      </c>
      <c r="K333" s="211" t="s">
        <v>1588</v>
      </c>
      <c r="L333" s="211" t="s">
        <v>1589</v>
      </c>
      <c r="M333" s="214" t="s">
        <v>796</v>
      </c>
      <c r="N333" s="211" t="s">
        <v>642</v>
      </c>
      <c r="O333" s="211">
        <v>1</v>
      </c>
      <c r="P333" s="236" t="s">
        <v>37</v>
      </c>
      <c r="Q333" s="218" t="s">
        <v>108</v>
      </c>
      <c r="R333" s="218">
        <v>16704000</v>
      </c>
      <c r="S333" s="218">
        <f>Product_Name[[#This Row],[Đơn giá
Unit Price]]*Product_Name[[#This Row],[Số lượng
Quantity]]</f>
        <v>16704000</v>
      </c>
      <c r="T333" s="219">
        <v>44541</v>
      </c>
      <c r="U333" s="220">
        <v>44547</v>
      </c>
      <c r="V333" s="221">
        <v>44565</v>
      </c>
      <c r="W333" s="211" t="s">
        <v>1565</v>
      </c>
      <c r="X333" s="211" t="s">
        <v>16</v>
      </c>
      <c r="Y333" s="220">
        <v>44519</v>
      </c>
      <c r="Z333" s="216"/>
      <c r="AA333" s="216" t="s">
        <v>1514</v>
      </c>
      <c r="AB333" s="227"/>
      <c r="AC333" s="295"/>
    </row>
    <row r="334" spans="1:29" ht="15.5" x14ac:dyDescent="0.35">
      <c r="A334" s="211" t="s">
        <v>110</v>
      </c>
      <c r="B334" s="214" t="s">
        <v>1656</v>
      </c>
      <c r="C334" s="211" t="s">
        <v>110</v>
      </c>
      <c r="D334" s="215">
        <v>1735</v>
      </c>
      <c r="E334" s="215">
        <v>4000</v>
      </c>
      <c r="F334" s="211" t="s">
        <v>1600</v>
      </c>
      <c r="G334" s="211" t="s">
        <v>1601</v>
      </c>
      <c r="H334" s="238" t="s">
        <v>1161</v>
      </c>
      <c r="I334" s="217" t="s">
        <v>1162</v>
      </c>
      <c r="J334" s="211" t="s">
        <v>1587</v>
      </c>
      <c r="K334" s="211" t="s">
        <v>1588</v>
      </c>
      <c r="L334" s="211" t="s">
        <v>1589</v>
      </c>
      <c r="M334" s="214" t="s">
        <v>796</v>
      </c>
      <c r="N334" s="211" t="s">
        <v>642</v>
      </c>
      <c r="O334" s="211">
        <v>2</v>
      </c>
      <c r="P334" s="236" t="s">
        <v>37</v>
      </c>
      <c r="Q334" s="218" t="s">
        <v>108</v>
      </c>
      <c r="R334" s="218">
        <v>27475000</v>
      </c>
      <c r="S334" s="218">
        <f>Product_Name[[#This Row],[Đơn giá
Unit Price]]*Product_Name[[#This Row],[Số lượng
Quantity]]</f>
        <v>54950000</v>
      </c>
      <c r="T334" s="219">
        <v>44541</v>
      </c>
      <c r="U334" s="220">
        <v>44547</v>
      </c>
      <c r="V334" s="221">
        <v>44565</v>
      </c>
      <c r="W334" s="211" t="s">
        <v>1565</v>
      </c>
      <c r="X334" s="211" t="s">
        <v>16</v>
      </c>
      <c r="Y334" s="220">
        <v>44519</v>
      </c>
      <c r="Z334" s="216"/>
      <c r="AA334" s="216" t="s">
        <v>1514</v>
      </c>
      <c r="AB334" s="227"/>
      <c r="AC334" s="295"/>
    </row>
    <row r="335" spans="1:29" s="71" customFormat="1" ht="15.5" x14ac:dyDescent="0.35">
      <c r="A335" s="214">
        <v>4061</v>
      </c>
      <c r="B335" s="214" t="s">
        <v>1717</v>
      </c>
      <c r="C335" s="214">
        <v>4691</v>
      </c>
      <c r="D335" s="215" t="s">
        <v>110</v>
      </c>
      <c r="E335" s="215" t="s">
        <v>110</v>
      </c>
      <c r="F335" s="215" t="s">
        <v>110</v>
      </c>
      <c r="G335" s="215" t="s">
        <v>110</v>
      </c>
      <c r="H335" s="217" t="s">
        <v>995</v>
      </c>
      <c r="I335" s="217" t="s">
        <v>997</v>
      </c>
      <c r="J335" s="214" t="s">
        <v>996</v>
      </c>
      <c r="K335" s="211" t="s">
        <v>176</v>
      </c>
      <c r="L335" s="211" t="s">
        <v>176</v>
      </c>
      <c r="M335" s="211" t="s">
        <v>123</v>
      </c>
      <c r="N335" s="214" t="s">
        <v>14</v>
      </c>
      <c r="O335" s="214">
        <v>20</v>
      </c>
      <c r="P335" s="214" t="s">
        <v>276</v>
      </c>
      <c r="Q335" s="223" t="s">
        <v>108</v>
      </c>
      <c r="R335" s="229">
        <v>149000</v>
      </c>
      <c r="S335" s="229">
        <f>Product_Name[[#This Row],[Đơn giá
Unit Price]]*Product_Name[[#This Row],[Số lượng
Quantity]]</f>
        <v>2980000</v>
      </c>
      <c r="T335" s="230">
        <v>44550</v>
      </c>
      <c r="U335" s="227">
        <v>44571</v>
      </c>
      <c r="V335" s="231">
        <v>44573</v>
      </c>
      <c r="W335" s="214" t="s">
        <v>2814</v>
      </c>
      <c r="X335" s="214" t="s">
        <v>16</v>
      </c>
      <c r="Y335" s="220">
        <v>44547</v>
      </c>
      <c r="Z335" s="216"/>
      <c r="AA335" s="245" t="s">
        <v>1519</v>
      </c>
      <c r="AB335" s="227"/>
      <c r="AC335" s="295"/>
    </row>
    <row r="336" spans="1:29" ht="15.5" x14ac:dyDescent="0.35">
      <c r="A336" s="211">
        <v>4063</v>
      </c>
      <c r="B336" s="214" t="s">
        <v>1678</v>
      </c>
      <c r="C336" s="211">
        <v>4699</v>
      </c>
      <c r="D336" s="215" t="s">
        <v>110</v>
      </c>
      <c r="E336" s="215" t="s">
        <v>110</v>
      </c>
      <c r="F336" s="211" t="s">
        <v>110</v>
      </c>
      <c r="G336" s="211" t="s">
        <v>110</v>
      </c>
      <c r="H336" s="216" t="s">
        <v>1679</v>
      </c>
      <c r="I336" s="217" t="s">
        <v>1578</v>
      </c>
      <c r="J336" s="211" t="s">
        <v>1579</v>
      </c>
      <c r="K336" s="211" t="s">
        <v>1622</v>
      </c>
      <c r="L336" s="211" t="s">
        <v>1623</v>
      </c>
      <c r="M336" s="211" t="s">
        <v>123</v>
      </c>
      <c r="N336" s="211" t="s">
        <v>14</v>
      </c>
      <c r="O336" s="211">
        <v>2</v>
      </c>
      <c r="P336" s="211" t="s">
        <v>799</v>
      </c>
      <c r="Q336" s="213" t="s">
        <v>108</v>
      </c>
      <c r="R336" s="218">
        <v>331000</v>
      </c>
      <c r="S336" s="218">
        <f>Product_Name[[#This Row],[Đơn giá
Unit Price]]*Product_Name[[#This Row],[Số lượng
Quantity]]</f>
        <v>662000</v>
      </c>
      <c r="T336" s="219">
        <v>44552</v>
      </c>
      <c r="U336" s="220">
        <v>44565</v>
      </c>
      <c r="V336" s="221">
        <v>44567</v>
      </c>
      <c r="W336" s="211" t="s">
        <v>2814</v>
      </c>
      <c r="X336" s="211" t="s">
        <v>16</v>
      </c>
      <c r="Y336" s="220">
        <v>44531</v>
      </c>
      <c r="Z336" s="216"/>
      <c r="AA336" s="245" t="s">
        <v>1519</v>
      </c>
      <c r="AB336" s="227"/>
      <c r="AC336" s="295"/>
    </row>
    <row r="337" spans="1:29" ht="15.5" x14ac:dyDescent="0.35">
      <c r="A337" s="211">
        <v>4067</v>
      </c>
      <c r="B337" s="214" t="s">
        <v>1746</v>
      </c>
      <c r="C337" s="211">
        <v>4700</v>
      </c>
      <c r="D337" s="215" t="s">
        <v>110</v>
      </c>
      <c r="E337" s="215" t="s">
        <v>110</v>
      </c>
      <c r="F337" s="211" t="s">
        <v>110</v>
      </c>
      <c r="G337" s="211" t="s">
        <v>110</v>
      </c>
      <c r="H337" s="216" t="s">
        <v>1097</v>
      </c>
      <c r="I337" s="217" t="s">
        <v>1098</v>
      </c>
      <c r="J337" s="211" t="s">
        <v>1099</v>
      </c>
      <c r="K337" s="211"/>
      <c r="L337" s="211" t="s">
        <v>99</v>
      </c>
      <c r="M337" s="211" t="s">
        <v>123</v>
      </c>
      <c r="N337" s="211" t="s">
        <v>14</v>
      </c>
      <c r="O337" s="211">
        <v>10</v>
      </c>
      <c r="P337" s="211" t="s">
        <v>719</v>
      </c>
      <c r="Q337" s="213" t="s">
        <v>108</v>
      </c>
      <c r="R337" s="218">
        <v>103000</v>
      </c>
      <c r="S337" s="218">
        <f>Product_Name[[#This Row],[Đơn giá
Unit Price]]*Product_Name[[#This Row],[Số lượng
Quantity]]</f>
        <v>1030000</v>
      </c>
      <c r="T337" s="219">
        <v>44552</v>
      </c>
      <c r="U337" s="220">
        <v>44535</v>
      </c>
      <c r="V337" s="221">
        <v>44580</v>
      </c>
      <c r="W337" s="211" t="s">
        <v>51</v>
      </c>
      <c r="X337" s="211" t="s">
        <v>16</v>
      </c>
      <c r="Y337" s="220"/>
      <c r="Z337" s="216"/>
      <c r="AA337" s="216" t="s">
        <v>2155</v>
      </c>
      <c r="AB337" s="227"/>
      <c r="AC337" s="295"/>
    </row>
    <row r="338" spans="1:29" ht="15.5" x14ac:dyDescent="0.35">
      <c r="A338" s="211" t="s">
        <v>110</v>
      </c>
      <c r="B338" s="214" t="s">
        <v>1680</v>
      </c>
      <c r="C338" s="211" t="s">
        <v>110</v>
      </c>
      <c r="D338" s="215">
        <v>1773</v>
      </c>
      <c r="E338" s="215">
        <v>4089</v>
      </c>
      <c r="F338" s="211" t="s">
        <v>1629</v>
      </c>
      <c r="G338" s="211" t="s">
        <v>1631</v>
      </c>
      <c r="H338" s="238" t="s">
        <v>1620</v>
      </c>
      <c r="I338" s="217" t="s">
        <v>1615</v>
      </c>
      <c r="J338" s="211" t="s">
        <v>1621</v>
      </c>
      <c r="K338" s="211" t="s">
        <v>1286</v>
      </c>
      <c r="L338" s="211" t="s">
        <v>1286</v>
      </c>
      <c r="M338" s="214" t="s">
        <v>797</v>
      </c>
      <c r="N338" s="211" t="s">
        <v>642</v>
      </c>
      <c r="O338" s="211">
        <v>1</v>
      </c>
      <c r="P338" s="211" t="s">
        <v>276</v>
      </c>
      <c r="Q338" s="213" t="s">
        <v>108</v>
      </c>
      <c r="R338" s="218">
        <v>4886000</v>
      </c>
      <c r="S338" s="218">
        <f>Product_Name[[#This Row],[Đơn giá
Unit Price]]*Product_Name[[#This Row],[Số lượng
Quantity]]</f>
        <v>4886000</v>
      </c>
      <c r="T338" s="219">
        <v>44553</v>
      </c>
      <c r="U338" s="220">
        <v>44565</v>
      </c>
      <c r="V338" s="221">
        <v>44567</v>
      </c>
      <c r="W338" s="211" t="s">
        <v>21</v>
      </c>
      <c r="X338" s="211" t="s">
        <v>16</v>
      </c>
      <c r="Y338" s="220"/>
      <c r="Z338" s="216"/>
      <c r="AA338" s="216"/>
      <c r="AB338" s="227">
        <v>44917</v>
      </c>
      <c r="AC338" s="295"/>
    </row>
    <row r="339" spans="1:29" ht="15.5" x14ac:dyDescent="0.35">
      <c r="A339" s="211" t="s">
        <v>110</v>
      </c>
      <c r="B339" s="214" t="s">
        <v>2058</v>
      </c>
      <c r="C339" s="211" t="s">
        <v>110</v>
      </c>
      <c r="D339" s="215">
        <v>1794</v>
      </c>
      <c r="E339" s="215">
        <v>4140</v>
      </c>
      <c r="F339" s="211" t="s">
        <v>1630</v>
      </c>
      <c r="G339" s="211" t="s">
        <v>1640</v>
      </c>
      <c r="H339" s="216" t="s">
        <v>1545</v>
      </c>
      <c r="I339" s="217" t="s">
        <v>1546</v>
      </c>
      <c r="J339" s="211" t="s">
        <v>1543</v>
      </c>
      <c r="K339" s="211" t="s">
        <v>1609</v>
      </c>
      <c r="L339" s="211" t="s">
        <v>99</v>
      </c>
      <c r="M339" s="211" t="s">
        <v>63</v>
      </c>
      <c r="N339" s="211" t="s">
        <v>642</v>
      </c>
      <c r="O339" s="211">
        <v>1</v>
      </c>
      <c r="P339" s="211" t="s">
        <v>37</v>
      </c>
      <c r="Q339" s="218" t="s">
        <v>108</v>
      </c>
      <c r="R339" s="218">
        <v>143000000</v>
      </c>
      <c r="S339" s="218">
        <v>27050000</v>
      </c>
      <c r="T339" s="219">
        <v>44558</v>
      </c>
      <c r="U339" s="220">
        <v>44285</v>
      </c>
      <c r="V339" s="221">
        <v>44669</v>
      </c>
      <c r="W339" s="211" t="s">
        <v>1565</v>
      </c>
      <c r="X339" s="211" t="s">
        <v>16</v>
      </c>
      <c r="Y339" s="220" t="s">
        <v>1548</v>
      </c>
      <c r="Z339" s="216" t="s">
        <v>2059</v>
      </c>
      <c r="AA339" s="216" t="s">
        <v>2060</v>
      </c>
      <c r="AB339" s="227"/>
      <c r="AC339" s="295"/>
    </row>
    <row r="340" spans="1:29" ht="15.5" x14ac:dyDescent="0.35">
      <c r="A340" s="214">
        <v>4141</v>
      </c>
      <c r="B340" s="214" t="s">
        <v>1716</v>
      </c>
      <c r="C340" s="214">
        <v>4801</v>
      </c>
      <c r="D340" s="215" t="s">
        <v>110</v>
      </c>
      <c r="E340" s="215" t="s">
        <v>110</v>
      </c>
      <c r="F340" s="214" t="s">
        <v>110</v>
      </c>
      <c r="G340" s="214" t="s">
        <v>110</v>
      </c>
      <c r="H340" s="217" t="s">
        <v>717</v>
      </c>
      <c r="I340" s="217" t="s">
        <v>1489</v>
      </c>
      <c r="J340" s="211" t="s">
        <v>2966</v>
      </c>
      <c r="K340" s="214" t="s">
        <v>1241</v>
      </c>
      <c r="L340" s="211" t="s">
        <v>718</v>
      </c>
      <c r="M340" s="214" t="s">
        <v>327</v>
      </c>
      <c r="N340" s="214" t="s">
        <v>14</v>
      </c>
      <c r="O340" s="214">
        <v>80</v>
      </c>
      <c r="P340" s="214" t="s">
        <v>719</v>
      </c>
      <c r="Q340" s="223" t="s">
        <v>108</v>
      </c>
      <c r="R340" s="229">
        <v>590000</v>
      </c>
      <c r="S340" s="229">
        <f>Product_Name[[#This Row],[Đơn giá
Unit Price]]*Product_Name[[#This Row],[Số lượng
Quantity]]</f>
        <v>47200000</v>
      </c>
      <c r="T340" s="230">
        <v>44560</v>
      </c>
      <c r="U340" s="227">
        <v>44572</v>
      </c>
      <c r="V340" s="231">
        <v>44572</v>
      </c>
      <c r="W340" s="214" t="s">
        <v>21</v>
      </c>
      <c r="X340" s="214" t="s">
        <v>16</v>
      </c>
      <c r="Y340" s="220"/>
      <c r="Z340" s="216" t="s">
        <v>328</v>
      </c>
      <c r="AA340" s="216" t="s">
        <v>2076</v>
      </c>
      <c r="AB340" s="227"/>
      <c r="AC340" s="295"/>
    </row>
    <row r="341" spans="1:29" ht="15.5" x14ac:dyDescent="0.35">
      <c r="A341" s="211" t="s">
        <v>110</v>
      </c>
      <c r="B341" s="214" t="s">
        <v>1749</v>
      </c>
      <c r="C341" s="211" t="s">
        <v>110</v>
      </c>
      <c r="D341" s="215">
        <v>1803</v>
      </c>
      <c r="E341" s="215">
        <v>4169</v>
      </c>
      <c r="F341" s="211" t="s">
        <v>1648</v>
      </c>
      <c r="G341" s="211" t="s">
        <v>1649</v>
      </c>
      <c r="H341" s="216" t="s">
        <v>1391</v>
      </c>
      <c r="I341" s="217" t="s">
        <v>1389</v>
      </c>
      <c r="J341" s="211" t="s">
        <v>1390</v>
      </c>
      <c r="K341" s="211" t="s">
        <v>1426</v>
      </c>
      <c r="L341" s="211" t="s">
        <v>99</v>
      </c>
      <c r="M341" s="214" t="s">
        <v>796</v>
      </c>
      <c r="N341" s="211" t="s">
        <v>642</v>
      </c>
      <c r="O341" s="211">
        <v>4</v>
      </c>
      <c r="P341" s="214" t="s">
        <v>276</v>
      </c>
      <c r="Q341" s="229" t="s">
        <v>108</v>
      </c>
      <c r="R341" s="218">
        <v>658000</v>
      </c>
      <c r="S341" s="218">
        <f>Product_Name[[#This Row],[Đơn giá
Unit Price]]*Product_Name[[#This Row],[Số lượng
Quantity]]</f>
        <v>2632000</v>
      </c>
      <c r="T341" s="230">
        <v>44565</v>
      </c>
      <c r="U341" s="227">
        <v>44579</v>
      </c>
      <c r="V341" s="221">
        <v>44585</v>
      </c>
      <c r="W341" s="211" t="s">
        <v>51</v>
      </c>
      <c r="X341" s="214" t="s">
        <v>16</v>
      </c>
      <c r="Y341" s="220">
        <v>44547</v>
      </c>
      <c r="Z341" s="216"/>
      <c r="AA341" s="216"/>
      <c r="AB341" s="227"/>
      <c r="AC341" s="295"/>
    </row>
    <row r="342" spans="1:29" ht="15.5" x14ac:dyDescent="0.35">
      <c r="A342" s="211">
        <v>4154</v>
      </c>
      <c r="B342" s="214" t="s">
        <v>1722</v>
      </c>
      <c r="C342" s="211">
        <v>4824</v>
      </c>
      <c r="D342" s="215" t="s">
        <v>110</v>
      </c>
      <c r="E342" s="215" t="s">
        <v>110</v>
      </c>
      <c r="F342" s="211" t="s">
        <v>110</v>
      </c>
      <c r="G342" s="211" t="s">
        <v>110</v>
      </c>
      <c r="H342" s="216" t="s">
        <v>1658</v>
      </c>
      <c r="I342" s="217" t="s">
        <v>1502</v>
      </c>
      <c r="J342" s="211" t="s">
        <v>1659</v>
      </c>
      <c r="K342" s="211" t="s">
        <v>1660</v>
      </c>
      <c r="L342" s="211" t="s">
        <v>1661</v>
      </c>
      <c r="M342" s="211" t="s">
        <v>123</v>
      </c>
      <c r="N342" s="211" t="s">
        <v>14</v>
      </c>
      <c r="O342" s="211">
        <v>10</v>
      </c>
      <c r="P342" s="236" t="s">
        <v>37</v>
      </c>
      <c r="Q342" s="218" t="s">
        <v>108</v>
      </c>
      <c r="R342" s="218">
        <v>170000</v>
      </c>
      <c r="S342" s="218">
        <f>Product_Name[[#This Row],[Đơn giá
Unit Price]]*Product_Name[[#This Row],[Số lượng
Quantity]]</f>
        <v>1700000</v>
      </c>
      <c r="T342" s="219">
        <v>44566</v>
      </c>
      <c r="U342" s="220">
        <v>44573</v>
      </c>
      <c r="V342" s="221">
        <v>44575</v>
      </c>
      <c r="W342" s="211" t="s">
        <v>1662</v>
      </c>
      <c r="X342" s="211" t="s">
        <v>16</v>
      </c>
      <c r="Y342" s="220">
        <v>44545</v>
      </c>
      <c r="Z342" s="216"/>
      <c r="AA342" s="216"/>
      <c r="AB342" s="227"/>
      <c r="AC342" s="295"/>
    </row>
    <row r="343" spans="1:29" ht="15.5" x14ac:dyDescent="0.35">
      <c r="A343" s="211">
        <v>4164</v>
      </c>
      <c r="B343" s="214" t="s">
        <v>1732</v>
      </c>
      <c r="C343" s="211">
        <v>4825</v>
      </c>
      <c r="D343" s="215" t="s">
        <v>110</v>
      </c>
      <c r="E343" s="215" t="s">
        <v>110</v>
      </c>
      <c r="F343" s="211" t="s">
        <v>110</v>
      </c>
      <c r="G343" s="211" t="s">
        <v>110</v>
      </c>
      <c r="H343" s="216" t="s">
        <v>1664</v>
      </c>
      <c r="I343" s="217" t="s">
        <v>1498</v>
      </c>
      <c r="J343" s="211" t="s">
        <v>1616</v>
      </c>
      <c r="K343" s="211" t="s">
        <v>1617</v>
      </c>
      <c r="L343" s="211" t="s">
        <v>1663</v>
      </c>
      <c r="M343" s="211" t="s">
        <v>123</v>
      </c>
      <c r="N343" s="211" t="s">
        <v>14</v>
      </c>
      <c r="O343" s="211">
        <v>3</v>
      </c>
      <c r="P343" s="211" t="s">
        <v>276</v>
      </c>
      <c r="Q343" s="223" t="s">
        <v>108</v>
      </c>
      <c r="R343" s="218">
        <v>193700</v>
      </c>
      <c r="S343" s="218">
        <f>Product_Name[[#This Row],[Đơn giá
Unit Price]]*Product_Name[[#This Row],[Số lượng
Quantity]]</f>
        <v>581100</v>
      </c>
      <c r="T343" s="219">
        <v>44566</v>
      </c>
      <c r="U343" s="220">
        <v>44575</v>
      </c>
      <c r="V343" s="221">
        <v>44580</v>
      </c>
      <c r="W343" s="211" t="s">
        <v>51</v>
      </c>
      <c r="X343" s="214" t="s">
        <v>16</v>
      </c>
      <c r="Y343" s="220">
        <v>44550</v>
      </c>
      <c r="Z343" s="216"/>
      <c r="AA343" s="216"/>
      <c r="AB343" s="227"/>
      <c r="AC343" s="295"/>
    </row>
    <row r="344" spans="1:29" ht="15.5" x14ac:dyDescent="0.35">
      <c r="A344" s="211">
        <v>4164</v>
      </c>
      <c r="B344" s="214" t="s">
        <v>1732</v>
      </c>
      <c r="C344" s="211">
        <v>4825</v>
      </c>
      <c r="D344" s="215" t="s">
        <v>110</v>
      </c>
      <c r="E344" s="215" t="s">
        <v>110</v>
      </c>
      <c r="F344" s="211" t="s">
        <v>110</v>
      </c>
      <c r="G344" s="211" t="s">
        <v>110</v>
      </c>
      <c r="H344" s="216" t="s">
        <v>1619</v>
      </c>
      <c r="I344" s="217" t="s">
        <v>1618</v>
      </c>
      <c r="J344" s="211" t="s">
        <v>1665</v>
      </c>
      <c r="K344" s="211" t="s">
        <v>1617</v>
      </c>
      <c r="L344" s="211" t="s">
        <v>1663</v>
      </c>
      <c r="M344" s="211" t="s">
        <v>123</v>
      </c>
      <c r="N344" s="211" t="s">
        <v>14</v>
      </c>
      <c r="O344" s="211">
        <v>3</v>
      </c>
      <c r="P344" s="211" t="s">
        <v>276</v>
      </c>
      <c r="Q344" s="223" t="s">
        <v>108</v>
      </c>
      <c r="R344" s="218">
        <v>212200</v>
      </c>
      <c r="S344" s="218">
        <f>Product_Name[[#This Row],[Đơn giá
Unit Price]]*Product_Name[[#This Row],[Số lượng
Quantity]]</f>
        <v>636600</v>
      </c>
      <c r="T344" s="219">
        <v>44566</v>
      </c>
      <c r="U344" s="220">
        <v>44575</v>
      </c>
      <c r="V344" s="221">
        <v>44580</v>
      </c>
      <c r="W344" s="211" t="s">
        <v>51</v>
      </c>
      <c r="X344" s="214" t="s">
        <v>16</v>
      </c>
      <c r="Y344" s="220">
        <v>44550</v>
      </c>
      <c r="Z344" s="216"/>
      <c r="AA344" s="216"/>
      <c r="AB344" s="227"/>
      <c r="AC344" s="295"/>
    </row>
    <row r="345" spans="1:29" ht="15.5" x14ac:dyDescent="0.35">
      <c r="A345" s="211">
        <v>4254</v>
      </c>
      <c r="B345" s="214" t="s">
        <v>2121</v>
      </c>
      <c r="C345" s="211">
        <v>4938</v>
      </c>
      <c r="D345" s="215" t="s">
        <v>110</v>
      </c>
      <c r="E345" s="215" t="s">
        <v>110</v>
      </c>
      <c r="F345" s="214" t="s">
        <v>110</v>
      </c>
      <c r="G345" s="214" t="s">
        <v>110</v>
      </c>
      <c r="H345" s="216" t="s">
        <v>1410</v>
      </c>
      <c r="I345" s="217" t="s">
        <v>1408</v>
      </c>
      <c r="J345" s="211" t="s">
        <v>1407</v>
      </c>
      <c r="K345" s="211" t="s">
        <v>1461</v>
      </c>
      <c r="L345" s="211" t="s">
        <v>30</v>
      </c>
      <c r="M345" s="211" t="s">
        <v>795</v>
      </c>
      <c r="N345" s="211" t="s">
        <v>14</v>
      </c>
      <c r="O345" s="211">
        <v>50</v>
      </c>
      <c r="P345" s="214" t="s">
        <v>276</v>
      </c>
      <c r="Q345" s="213" t="s">
        <v>390</v>
      </c>
      <c r="R345" s="237">
        <v>65.47</v>
      </c>
      <c r="S345" s="229">
        <f>Product_Name[[#This Row],[Đơn giá
Unit Price]]*Product_Name[[#This Row],[Số lượng
Quantity]]</f>
        <v>3273.5</v>
      </c>
      <c r="T345" s="219">
        <v>44579</v>
      </c>
      <c r="U345" s="220">
        <v>44676</v>
      </c>
      <c r="V345" s="231">
        <v>44686</v>
      </c>
      <c r="W345" s="211" t="s">
        <v>2813</v>
      </c>
      <c r="X345" s="214" t="s">
        <v>16</v>
      </c>
      <c r="Y345" s="220"/>
      <c r="Z345" s="216"/>
      <c r="AA345" s="216" t="s">
        <v>2056</v>
      </c>
      <c r="AB345" s="227"/>
      <c r="AC345" s="295"/>
    </row>
    <row r="346" spans="1:29" ht="15.5" x14ac:dyDescent="0.35">
      <c r="A346" s="211"/>
      <c r="B346" s="214" t="s">
        <v>1818</v>
      </c>
      <c r="C346" s="211"/>
      <c r="D346" s="215">
        <v>1857</v>
      </c>
      <c r="E346" s="215">
        <v>4269</v>
      </c>
      <c r="F346" s="211" t="s">
        <v>1723</v>
      </c>
      <c r="G346" s="211" t="s">
        <v>1730</v>
      </c>
      <c r="H346" s="238" t="s">
        <v>1639</v>
      </c>
      <c r="I346" s="217" t="s">
        <v>1638</v>
      </c>
      <c r="J346" s="211" t="s">
        <v>1637</v>
      </c>
      <c r="K346" s="211" t="s">
        <v>176</v>
      </c>
      <c r="L346" s="211" t="s">
        <v>176</v>
      </c>
      <c r="M346" s="214" t="s">
        <v>796</v>
      </c>
      <c r="N346" s="211" t="s">
        <v>642</v>
      </c>
      <c r="O346" s="211">
        <v>1</v>
      </c>
      <c r="P346" s="211" t="s">
        <v>276</v>
      </c>
      <c r="Q346" s="223" t="s">
        <v>108</v>
      </c>
      <c r="R346" s="218">
        <v>4048000</v>
      </c>
      <c r="S346" s="218">
        <f>Product_Name[[#This Row],[Đơn giá
Unit Price]]*Product_Name[[#This Row],[Số lượng
Quantity]]</f>
        <v>4048000</v>
      </c>
      <c r="T346" s="219">
        <v>44580</v>
      </c>
      <c r="U346" s="220">
        <v>44602</v>
      </c>
      <c r="V346" s="221">
        <v>44623</v>
      </c>
      <c r="W346" s="214" t="s">
        <v>1537</v>
      </c>
      <c r="X346" s="214" t="s">
        <v>16</v>
      </c>
      <c r="Y346" s="220"/>
      <c r="Z346" s="216"/>
      <c r="AA346" s="224" t="s">
        <v>2181</v>
      </c>
      <c r="AB346" s="227">
        <v>44578</v>
      </c>
      <c r="AC346" s="295"/>
    </row>
    <row r="347" spans="1:29" ht="46.5" x14ac:dyDescent="0.35">
      <c r="A347" s="211" t="s">
        <v>110</v>
      </c>
      <c r="B347" s="214" t="s">
        <v>2109</v>
      </c>
      <c r="C347" s="211" t="s">
        <v>110</v>
      </c>
      <c r="D347" s="215" t="s">
        <v>2034</v>
      </c>
      <c r="E347" s="215" t="s">
        <v>2108</v>
      </c>
      <c r="F347" s="213" t="s">
        <v>1909</v>
      </c>
      <c r="G347" s="211" t="s">
        <v>2033</v>
      </c>
      <c r="H347" s="216" t="s">
        <v>1685</v>
      </c>
      <c r="I347" s="217" t="s">
        <v>1684</v>
      </c>
      <c r="J347" s="211" t="s">
        <v>1686</v>
      </c>
      <c r="K347" s="211" t="s">
        <v>1721</v>
      </c>
      <c r="L347" s="211" t="s">
        <v>218</v>
      </c>
      <c r="M347" s="214" t="s">
        <v>796</v>
      </c>
      <c r="N347" s="211" t="s">
        <v>642</v>
      </c>
      <c r="O347" s="211">
        <v>10</v>
      </c>
      <c r="P347" s="211" t="s">
        <v>37</v>
      </c>
      <c r="Q347" s="229" t="s">
        <v>108</v>
      </c>
      <c r="R347" s="218">
        <v>1049640</v>
      </c>
      <c r="S347" s="218">
        <f>Product_Name[[#This Row],[Đơn giá
Unit Price]]*Product_Name[[#This Row],[Số lượng
Quantity]]</f>
        <v>10496400</v>
      </c>
      <c r="T347" s="219">
        <v>44663</v>
      </c>
      <c r="U347" s="246">
        <v>44669</v>
      </c>
      <c r="V347" s="221">
        <v>44677</v>
      </c>
      <c r="W347" s="214" t="s">
        <v>2577</v>
      </c>
      <c r="X347" s="214" t="s">
        <v>16</v>
      </c>
      <c r="Y347" s="220"/>
      <c r="Z347" s="216"/>
      <c r="AA347" s="216" t="s">
        <v>2074</v>
      </c>
      <c r="AB347" s="227">
        <v>44578</v>
      </c>
      <c r="AC347" s="295"/>
    </row>
    <row r="348" spans="1:29" ht="15.5" x14ac:dyDescent="0.35">
      <c r="A348" s="211" t="s">
        <v>110</v>
      </c>
      <c r="B348" s="214" t="s">
        <v>1821</v>
      </c>
      <c r="C348" s="211" t="s">
        <v>110</v>
      </c>
      <c r="D348" s="215">
        <v>1891</v>
      </c>
      <c r="E348" s="215">
        <v>4355</v>
      </c>
      <c r="F348" s="214" t="s">
        <v>110</v>
      </c>
      <c r="G348" s="214" t="s">
        <v>110</v>
      </c>
      <c r="H348" s="216" t="s">
        <v>1753</v>
      </c>
      <c r="I348" s="217" t="s">
        <v>1674</v>
      </c>
      <c r="J348" s="211" t="s">
        <v>1754</v>
      </c>
      <c r="K348" s="211" t="s">
        <v>99</v>
      </c>
      <c r="L348" s="211" t="s">
        <v>99</v>
      </c>
      <c r="M348" s="211" t="s">
        <v>1118</v>
      </c>
      <c r="N348" s="211" t="s">
        <v>642</v>
      </c>
      <c r="O348" s="211">
        <v>2</v>
      </c>
      <c r="P348" s="211" t="s">
        <v>37</v>
      </c>
      <c r="Q348" s="229" t="s">
        <v>108</v>
      </c>
      <c r="R348" s="218">
        <v>2363000</v>
      </c>
      <c r="S348" s="218">
        <f>Product_Name[[#This Row],[Đơn giá
Unit Price]]*Product_Name[[#This Row],[Số lượng
Quantity]]</f>
        <v>4726000</v>
      </c>
      <c r="T348" s="219">
        <v>44606</v>
      </c>
      <c r="U348" s="220">
        <v>44622</v>
      </c>
      <c r="V348" s="221">
        <v>44624</v>
      </c>
      <c r="W348" s="211" t="s">
        <v>2813</v>
      </c>
      <c r="X348" s="214" t="s">
        <v>16</v>
      </c>
      <c r="Y348" s="220">
        <v>44567</v>
      </c>
      <c r="Z348" s="216"/>
      <c r="AA348" s="214" t="s">
        <v>1734</v>
      </c>
      <c r="AB348" s="227"/>
      <c r="AC348" s="295"/>
    </row>
    <row r="349" spans="1:29" ht="15.5" x14ac:dyDescent="0.35">
      <c r="A349" s="211" t="s">
        <v>110</v>
      </c>
      <c r="B349" s="214" t="s">
        <v>1778</v>
      </c>
      <c r="C349" s="211" t="s">
        <v>110</v>
      </c>
      <c r="D349" s="215">
        <v>1892</v>
      </c>
      <c r="E349" s="215">
        <v>4349</v>
      </c>
      <c r="F349" s="211" t="s">
        <v>110</v>
      </c>
      <c r="G349" s="211" t="s">
        <v>110</v>
      </c>
      <c r="H349" s="216" t="s">
        <v>1068</v>
      </c>
      <c r="I349" s="217" t="s">
        <v>1072</v>
      </c>
      <c r="J349" s="211" t="s">
        <v>1064</v>
      </c>
      <c r="K349" s="211"/>
      <c r="L349" s="211" t="s">
        <v>1568</v>
      </c>
      <c r="M349" s="211" t="s">
        <v>1061</v>
      </c>
      <c r="N349" s="211" t="s">
        <v>642</v>
      </c>
      <c r="O349" s="211">
        <v>1</v>
      </c>
      <c r="P349" s="211" t="s">
        <v>276</v>
      </c>
      <c r="Q349" s="213" t="s">
        <v>108</v>
      </c>
      <c r="R349" s="218">
        <v>1585000</v>
      </c>
      <c r="S349" s="229">
        <f>Product_Name[[#This Row],[Đơn giá
Unit Price]]*Product_Name[[#This Row],[Số lượng
Quantity]]</f>
        <v>1585000</v>
      </c>
      <c r="T349" s="219">
        <v>44606</v>
      </c>
      <c r="U349" s="220">
        <v>44617</v>
      </c>
      <c r="V349" s="221">
        <v>44609</v>
      </c>
      <c r="W349" s="211" t="s">
        <v>2814</v>
      </c>
      <c r="X349" s="214" t="s">
        <v>16</v>
      </c>
      <c r="Y349" s="220"/>
      <c r="Z349" s="216"/>
      <c r="AA349" s="216"/>
      <c r="AB349" s="227"/>
      <c r="AC349" s="295"/>
    </row>
    <row r="350" spans="1:29" s="71" customFormat="1" ht="15.5" x14ac:dyDescent="0.35">
      <c r="A350" s="214">
        <v>4396</v>
      </c>
      <c r="B350" s="214" t="s">
        <v>1800</v>
      </c>
      <c r="C350" s="214">
        <v>5089</v>
      </c>
      <c r="D350" s="215" t="s">
        <v>110</v>
      </c>
      <c r="E350" s="215" t="s">
        <v>110</v>
      </c>
      <c r="F350" s="214" t="s">
        <v>110</v>
      </c>
      <c r="G350" s="214" t="s">
        <v>110</v>
      </c>
      <c r="H350" s="217" t="s">
        <v>607</v>
      </c>
      <c r="I350" s="217" t="s">
        <v>710</v>
      </c>
      <c r="J350" s="214" t="s">
        <v>606</v>
      </c>
      <c r="K350" s="214" t="s">
        <v>925</v>
      </c>
      <c r="L350" s="211" t="s">
        <v>925</v>
      </c>
      <c r="M350" s="214" t="s">
        <v>826</v>
      </c>
      <c r="N350" s="214" t="s">
        <v>14</v>
      </c>
      <c r="O350" s="214">
        <v>24</v>
      </c>
      <c r="P350" s="214" t="s">
        <v>276</v>
      </c>
      <c r="Q350" s="229" t="s">
        <v>108</v>
      </c>
      <c r="R350" s="229">
        <v>16131</v>
      </c>
      <c r="S350" s="229">
        <f>Product_Name[[#This Row],[Đơn giá
Unit Price]]*Product_Name[[#This Row],[Số lượng
Quantity]]</f>
        <v>387144</v>
      </c>
      <c r="T350" s="230">
        <v>44608</v>
      </c>
      <c r="U350" s="220">
        <v>44616</v>
      </c>
      <c r="V350" s="231">
        <v>44615</v>
      </c>
      <c r="W350" s="214" t="s">
        <v>21</v>
      </c>
      <c r="X350" s="214" t="s">
        <v>53</v>
      </c>
      <c r="Y350" s="220">
        <v>44568</v>
      </c>
      <c r="Z350" s="216"/>
      <c r="AA350" s="216"/>
      <c r="AB350" s="227"/>
      <c r="AC350" s="295"/>
    </row>
    <row r="351" spans="1:29" ht="46.5" x14ac:dyDescent="0.35">
      <c r="A351" s="211" t="s">
        <v>110</v>
      </c>
      <c r="B351" s="214" t="s">
        <v>2053</v>
      </c>
      <c r="C351" s="211" t="s">
        <v>110</v>
      </c>
      <c r="D351" s="215">
        <v>1935</v>
      </c>
      <c r="E351" s="215">
        <v>4418</v>
      </c>
      <c r="F351" s="211" t="s">
        <v>1729</v>
      </c>
      <c r="G351" s="213" t="s">
        <v>1781</v>
      </c>
      <c r="H351" s="216" t="s">
        <v>1650</v>
      </c>
      <c r="I351" s="217" t="s">
        <v>1651</v>
      </c>
      <c r="J351" s="211" t="s">
        <v>1652</v>
      </c>
      <c r="K351" s="211" t="s">
        <v>1153</v>
      </c>
      <c r="L351" s="211" t="s">
        <v>1153</v>
      </c>
      <c r="M351" s="214" t="s">
        <v>797</v>
      </c>
      <c r="N351" s="211" t="s">
        <v>642</v>
      </c>
      <c r="O351" s="211">
        <v>100</v>
      </c>
      <c r="P351" s="211" t="s">
        <v>37</v>
      </c>
      <c r="Q351" s="213" t="s">
        <v>108</v>
      </c>
      <c r="R351" s="218">
        <v>9650000</v>
      </c>
      <c r="S351" s="218">
        <f>Product_Name[[#This Row],[Đơn giá
Unit Price]]*Product_Name[[#This Row],[Số lượng
Quantity]]</f>
        <v>965000000</v>
      </c>
      <c r="T351" s="219">
        <v>44613</v>
      </c>
      <c r="U351" s="220">
        <v>44662</v>
      </c>
      <c r="V351" s="221">
        <v>44666</v>
      </c>
      <c r="W351" s="211" t="s">
        <v>2813</v>
      </c>
      <c r="X351" s="214" t="s">
        <v>16</v>
      </c>
      <c r="Y351" s="220" t="s">
        <v>2176</v>
      </c>
      <c r="Z351" s="216"/>
      <c r="AA351" s="216" t="s">
        <v>2155</v>
      </c>
      <c r="AB351" s="227">
        <v>44560</v>
      </c>
      <c r="AC351" s="295"/>
    </row>
    <row r="352" spans="1:29" ht="15.5" x14ac:dyDescent="0.35">
      <c r="A352" s="211">
        <v>4486</v>
      </c>
      <c r="B352" s="214" t="s">
        <v>1819</v>
      </c>
      <c r="C352" s="211">
        <v>5195</v>
      </c>
      <c r="D352" s="215" t="s">
        <v>110</v>
      </c>
      <c r="E352" s="215" t="s">
        <v>110</v>
      </c>
      <c r="F352" s="214" t="s">
        <v>110</v>
      </c>
      <c r="G352" s="214" t="s">
        <v>110</v>
      </c>
      <c r="H352" s="216" t="s">
        <v>1202</v>
      </c>
      <c r="I352" s="217" t="s">
        <v>1203</v>
      </c>
      <c r="J352" s="211" t="s">
        <v>1201</v>
      </c>
      <c r="K352" s="211" t="s">
        <v>1150</v>
      </c>
      <c r="L352" s="211" t="s">
        <v>218</v>
      </c>
      <c r="M352" s="211" t="s">
        <v>123</v>
      </c>
      <c r="N352" s="211" t="s">
        <v>14</v>
      </c>
      <c r="O352" s="211">
        <v>100</v>
      </c>
      <c r="P352" s="211" t="s">
        <v>47</v>
      </c>
      <c r="Q352" s="213" t="s">
        <v>108</v>
      </c>
      <c r="R352" s="218">
        <v>40000</v>
      </c>
      <c r="S352" s="218">
        <v>4000000</v>
      </c>
      <c r="T352" s="219">
        <v>44614</v>
      </c>
      <c r="U352" s="220">
        <v>44621</v>
      </c>
      <c r="V352" s="221">
        <v>44622</v>
      </c>
      <c r="W352" s="211" t="s">
        <v>2813</v>
      </c>
      <c r="X352" s="211" t="s">
        <v>16</v>
      </c>
      <c r="Y352" s="220">
        <v>44613</v>
      </c>
      <c r="Z352" s="214" t="s">
        <v>328</v>
      </c>
      <c r="AA352" s="216"/>
      <c r="AB352" s="227"/>
      <c r="AC352" s="295"/>
    </row>
    <row r="353" spans="1:29" ht="15.5" x14ac:dyDescent="0.35">
      <c r="A353" s="211">
        <v>4628</v>
      </c>
      <c r="B353" s="214" t="s">
        <v>1848</v>
      </c>
      <c r="C353" s="211" t="s">
        <v>1905</v>
      </c>
      <c r="D353" s="215" t="s">
        <v>110</v>
      </c>
      <c r="E353" s="215" t="s">
        <v>110</v>
      </c>
      <c r="F353" s="214" t="s">
        <v>110</v>
      </c>
      <c r="G353" s="214" t="s">
        <v>110</v>
      </c>
      <c r="H353" s="216" t="s">
        <v>1787</v>
      </c>
      <c r="I353" s="217" t="s">
        <v>1786</v>
      </c>
      <c r="J353" s="211" t="s">
        <v>1811</v>
      </c>
      <c r="K353" s="211" t="s">
        <v>1812</v>
      </c>
      <c r="L353" s="211" t="s">
        <v>218</v>
      </c>
      <c r="M353" s="211" t="s">
        <v>123</v>
      </c>
      <c r="N353" s="214" t="s">
        <v>14</v>
      </c>
      <c r="O353" s="211">
        <v>100</v>
      </c>
      <c r="P353" s="211" t="s">
        <v>37</v>
      </c>
      <c r="Q353" s="213" t="s">
        <v>108</v>
      </c>
      <c r="R353" s="218">
        <v>6900</v>
      </c>
      <c r="S353" s="218">
        <f>Product_Name[[#This Row],[Đơn giá
Unit Price]]*Product_Name[[#This Row],[Số lượng
Quantity]]</f>
        <v>690000</v>
      </c>
      <c r="T353" s="219">
        <v>44629</v>
      </c>
      <c r="U353" s="220">
        <v>44636</v>
      </c>
      <c r="V353" s="221">
        <v>44643</v>
      </c>
      <c r="W353" s="214" t="s">
        <v>1537</v>
      </c>
      <c r="X353" s="211" t="s">
        <v>16</v>
      </c>
      <c r="Y353" s="220">
        <v>44613</v>
      </c>
      <c r="Z353" s="214" t="s">
        <v>328</v>
      </c>
      <c r="AA353" s="216"/>
      <c r="AB353" s="227"/>
      <c r="AC353" s="295"/>
    </row>
    <row r="354" spans="1:29" ht="15.5" x14ac:dyDescent="0.35">
      <c r="A354" s="214">
        <v>4576</v>
      </c>
      <c r="B354" s="214" t="s">
        <v>1836</v>
      </c>
      <c r="C354" s="214">
        <v>5407</v>
      </c>
      <c r="D354" s="215" t="s">
        <v>110</v>
      </c>
      <c r="E354" s="215" t="s">
        <v>110</v>
      </c>
      <c r="F354" s="211" t="s">
        <v>110</v>
      </c>
      <c r="G354" s="211" t="s">
        <v>110</v>
      </c>
      <c r="H354" s="217" t="s">
        <v>717</v>
      </c>
      <c r="I354" s="217" t="s">
        <v>1489</v>
      </c>
      <c r="J354" s="211" t="s">
        <v>2966</v>
      </c>
      <c r="K354" s="214" t="s">
        <v>1241</v>
      </c>
      <c r="L354" s="211" t="s">
        <v>718</v>
      </c>
      <c r="M354" s="214" t="s">
        <v>327</v>
      </c>
      <c r="N354" s="214" t="s">
        <v>14</v>
      </c>
      <c r="O354" s="214">
        <v>80</v>
      </c>
      <c r="P354" s="214" t="s">
        <v>719</v>
      </c>
      <c r="Q354" s="223" t="s">
        <v>108</v>
      </c>
      <c r="R354" s="229">
        <v>687500</v>
      </c>
      <c r="S354" s="229">
        <f>Product_Name[[#This Row],[Đơn giá
Unit Price]]*Product_Name[[#This Row],[Số lượng
Quantity]]</f>
        <v>55000000</v>
      </c>
      <c r="T354" s="230">
        <v>44622</v>
      </c>
      <c r="U354" s="220">
        <v>44636</v>
      </c>
      <c r="V354" s="231">
        <v>44636</v>
      </c>
      <c r="W354" s="214" t="s">
        <v>21</v>
      </c>
      <c r="X354" s="214" t="s">
        <v>16</v>
      </c>
      <c r="Y354" s="220">
        <v>44621</v>
      </c>
      <c r="Z354" s="216" t="s">
        <v>328</v>
      </c>
      <c r="AA354" s="216" t="s">
        <v>2076</v>
      </c>
      <c r="AB354" s="227"/>
      <c r="AC354" s="295"/>
    </row>
    <row r="355" spans="1:29" ht="15.5" x14ac:dyDescent="0.35">
      <c r="A355" s="211">
        <v>4625</v>
      </c>
      <c r="B355" s="214" t="s">
        <v>1993</v>
      </c>
      <c r="C355" s="211">
        <v>5442</v>
      </c>
      <c r="D355" s="215" t="s">
        <v>110</v>
      </c>
      <c r="E355" s="215" t="s">
        <v>110</v>
      </c>
      <c r="F355" s="211" t="s">
        <v>110</v>
      </c>
      <c r="G355" s="211" t="s">
        <v>110</v>
      </c>
      <c r="H355" s="216" t="s">
        <v>1755</v>
      </c>
      <c r="I355" s="217" t="s">
        <v>1758</v>
      </c>
      <c r="J355" s="211">
        <v>42222354</v>
      </c>
      <c r="K355" s="211" t="s">
        <v>1817</v>
      </c>
      <c r="L355" s="211" t="s">
        <v>1817</v>
      </c>
      <c r="M355" s="211" t="s">
        <v>124</v>
      </c>
      <c r="N355" s="214" t="s">
        <v>14</v>
      </c>
      <c r="O355" s="211">
        <v>22</v>
      </c>
      <c r="P355" s="211" t="s">
        <v>276</v>
      </c>
      <c r="Q355" s="223" t="s">
        <v>108</v>
      </c>
      <c r="R355" s="218">
        <v>44757</v>
      </c>
      <c r="S355" s="218">
        <f>Product_Name[[#This Row],[Đơn giá
Unit Price]]*Product_Name[[#This Row],[Số lượng
Quantity]]</f>
        <v>984654</v>
      </c>
      <c r="T355" s="219">
        <v>44623</v>
      </c>
      <c r="U355" s="220">
        <v>44659</v>
      </c>
      <c r="V355" s="221">
        <v>44655</v>
      </c>
      <c r="W355" s="214" t="s">
        <v>2577</v>
      </c>
      <c r="X355" s="211" t="s">
        <v>53</v>
      </c>
      <c r="Y355" s="220">
        <v>44608</v>
      </c>
      <c r="Z355" s="216"/>
      <c r="AA355" s="216" t="s">
        <v>2056</v>
      </c>
      <c r="AB355" s="227"/>
      <c r="AC355" s="295"/>
    </row>
    <row r="356" spans="1:29" ht="31" x14ac:dyDescent="0.35">
      <c r="A356" s="211" t="s">
        <v>110</v>
      </c>
      <c r="B356" s="214" t="s">
        <v>3334</v>
      </c>
      <c r="C356" s="211" t="s">
        <v>110</v>
      </c>
      <c r="D356" s="215">
        <v>2036</v>
      </c>
      <c r="E356" s="215">
        <v>4623</v>
      </c>
      <c r="F356" s="213" t="s">
        <v>2985</v>
      </c>
      <c r="G356" s="213" t="s">
        <v>2239</v>
      </c>
      <c r="H356" s="216" t="s">
        <v>1741</v>
      </c>
      <c r="I356" s="217" t="s">
        <v>1736</v>
      </c>
      <c r="J356" s="211" t="s">
        <v>1741</v>
      </c>
      <c r="K356" s="211" t="s">
        <v>1810</v>
      </c>
      <c r="L356" s="211" t="s">
        <v>1810</v>
      </c>
      <c r="M356" s="211" t="s">
        <v>63</v>
      </c>
      <c r="N356" s="211" t="s">
        <v>642</v>
      </c>
      <c r="O356" s="211">
        <v>1</v>
      </c>
      <c r="P356" s="211" t="s">
        <v>44</v>
      </c>
      <c r="Q356" s="213" t="s">
        <v>390</v>
      </c>
      <c r="R356" s="218">
        <v>69300</v>
      </c>
      <c r="S356" s="218">
        <f>Product_Name[[#This Row],[Đơn giá
Unit Price]]*Product_Name[[#This Row],[Số lượng
Quantity]]</f>
        <v>69300</v>
      </c>
      <c r="T356" s="219">
        <v>44628</v>
      </c>
      <c r="U356" s="220">
        <v>45012</v>
      </c>
      <c r="V356" s="221">
        <v>44988</v>
      </c>
      <c r="W356" s="221" t="s">
        <v>2726</v>
      </c>
      <c r="X356" s="211" t="s">
        <v>16</v>
      </c>
      <c r="Y356" s="220">
        <v>44581</v>
      </c>
      <c r="Z356" s="216" t="s">
        <v>3567</v>
      </c>
      <c r="AA356" s="216" t="s">
        <v>2647</v>
      </c>
      <c r="AB356" s="227"/>
      <c r="AC356" s="295"/>
    </row>
    <row r="357" spans="1:29" ht="31" x14ac:dyDescent="0.35">
      <c r="A357" s="211" t="s">
        <v>110</v>
      </c>
      <c r="B357" s="214" t="s">
        <v>3334</v>
      </c>
      <c r="C357" s="211" t="s">
        <v>110</v>
      </c>
      <c r="D357" s="215">
        <v>2036</v>
      </c>
      <c r="E357" s="215">
        <v>4623</v>
      </c>
      <c r="F357" s="213" t="s">
        <v>2985</v>
      </c>
      <c r="G357" s="213" t="s">
        <v>2239</v>
      </c>
      <c r="H357" s="216" t="s">
        <v>1808</v>
      </c>
      <c r="I357" s="217" t="s">
        <v>1737</v>
      </c>
      <c r="J357" s="211" t="s">
        <v>1808</v>
      </c>
      <c r="K357" s="211" t="s">
        <v>1810</v>
      </c>
      <c r="L357" s="211" t="s">
        <v>1810</v>
      </c>
      <c r="M357" s="211" t="s">
        <v>63</v>
      </c>
      <c r="N357" s="211" t="s">
        <v>642</v>
      </c>
      <c r="O357" s="211">
        <v>1</v>
      </c>
      <c r="P357" s="211" t="s">
        <v>44</v>
      </c>
      <c r="Q357" s="213" t="s">
        <v>390</v>
      </c>
      <c r="R357" s="218">
        <v>996300</v>
      </c>
      <c r="S357" s="218">
        <f>Product_Name[[#This Row],[Đơn giá
Unit Price]]*Product_Name[[#This Row],[Số lượng
Quantity]]</f>
        <v>996300</v>
      </c>
      <c r="T357" s="219">
        <v>44628</v>
      </c>
      <c r="U357" s="220">
        <v>45012</v>
      </c>
      <c r="V357" s="221">
        <v>44988</v>
      </c>
      <c r="W357" s="221" t="s">
        <v>2726</v>
      </c>
      <c r="X357" s="211" t="s">
        <v>16</v>
      </c>
      <c r="Y357" s="220">
        <v>44581</v>
      </c>
      <c r="Z357" s="216" t="s">
        <v>3568</v>
      </c>
      <c r="AA357" s="216" t="s">
        <v>2647</v>
      </c>
      <c r="AB357" s="227"/>
      <c r="AC357" s="295"/>
    </row>
    <row r="358" spans="1:29" ht="31" x14ac:dyDescent="0.35">
      <c r="A358" s="211" t="s">
        <v>110</v>
      </c>
      <c r="B358" s="214" t="s">
        <v>3334</v>
      </c>
      <c r="C358" s="211" t="s">
        <v>110</v>
      </c>
      <c r="D358" s="215">
        <v>2036</v>
      </c>
      <c r="E358" s="215">
        <v>4623</v>
      </c>
      <c r="F358" s="213" t="s">
        <v>2985</v>
      </c>
      <c r="G358" s="213" t="s">
        <v>2239</v>
      </c>
      <c r="H358" s="216" t="s">
        <v>1742</v>
      </c>
      <c r="I358" s="217" t="s">
        <v>1738</v>
      </c>
      <c r="J358" s="211" t="s">
        <v>1742</v>
      </c>
      <c r="K358" s="211" t="s">
        <v>1810</v>
      </c>
      <c r="L358" s="211" t="s">
        <v>1810</v>
      </c>
      <c r="M358" s="211" t="s">
        <v>63</v>
      </c>
      <c r="N358" s="211" t="s">
        <v>642</v>
      </c>
      <c r="O358" s="211">
        <v>1</v>
      </c>
      <c r="P358" s="211" t="s">
        <v>44</v>
      </c>
      <c r="Q358" s="213" t="s">
        <v>390</v>
      </c>
      <c r="R358" s="218">
        <v>147300</v>
      </c>
      <c r="S358" s="218">
        <f>Product_Name[[#This Row],[Đơn giá
Unit Price]]*Product_Name[[#This Row],[Số lượng
Quantity]]</f>
        <v>147300</v>
      </c>
      <c r="T358" s="219">
        <v>44628</v>
      </c>
      <c r="U358" s="220">
        <v>45012</v>
      </c>
      <c r="V358" s="221">
        <v>44988</v>
      </c>
      <c r="W358" s="221" t="s">
        <v>2726</v>
      </c>
      <c r="X358" s="211" t="s">
        <v>16</v>
      </c>
      <c r="Y358" s="220">
        <v>44581</v>
      </c>
      <c r="Z358" s="216" t="s">
        <v>3569</v>
      </c>
      <c r="AA358" s="216" t="s">
        <v>2647</v>
      </c>
      <c r="AB358" s="227"/>
      <c r="AC358" s="295"/>
    </row>
    <row r="359" spans="1:29" ht="31" x14ac:dyDescent="0.35">
      <c r="A359" s="211" t="s">
        <v>110</v>
      </c>
      <c r="B359" s="214" t="s">
        <v>3334</v>
      </c>
      <c r="C359" s="211" t="s">
        <v>110</v>
      </c>
      <c r="D359" s="215">
        <v>2036</v>
      </c>
      <c r="E359" s="215">
        <v>4623</v>
      </c>
      <c r="F359" s="213" t="s">
        <v>2985</v>
      </c>
      <c r="G359" s="213" t="s">
        <v>2239</v>
      </c>
      <c r="H359" s="216" t="s">
        <v>1743</v>
      </c>
      <c r="I359" s="217" t="s">
        <v>1739</v>
      </c>
      <c r="J359" s="211" t="s">
        <v>1743</v>
      </c>
      <c r="K359" s="211" t="s">
        <v>1810</v>
      </c>
      <c r="L359" s="211" t="s">
        <v>1810</v>
      </c>
      <c r="M359" s="211" t="s">
        <v>63</v>
      </c>
      <c r="N359" s="211" t="s">
        <v>642</v>
      </c>
      <c r="O359" s="211">
        <v>1</v>
      </c>
      <c r="P359" s="211" t="s">
        <v>44</v>
      </c>
      <c r="Q359" s="213" t="s">
        <v>390</v>
      </c>
      <c r="R359" s="218">
        <v>130000</v>
      </c>
      <c r="S359" s="218">
        <f>Product_Name[[#This Row],[Đơn giá
Unit Price]]*Product_Name[[#This Row],[Số lượng
Quantity]]</f>
        <v>130000</v>
      </c>
      <c r="T359" s="219">
        <v>44628</v>
      </c>
      <c r="U359" s="220">
        <v>45012</v>
      </c>
      <c r="V359" s="221">
        <v>44988</v>
      </c>
      <c r="W359" s="221" t="s">
        <v>2726</v>
      </c>
      <c r="X359" s="211" t="s">
        <v>16</v>
      </c>
      <c r="Y359" s="220">
        <v>44581</v>
      </c>
      <c r="Z359" s="216" t="s">
        <v>3570</v>
      </c>
      <c r="AA359" s="216" t="s">
        <v>2647</v>
      </c>
      <c r="AB359" s="227"/>
      <c r="AC359" s="295"/>
    </row>
    <row r="360" spans="1:29" ht="31" x14ac:dyDescent="0.35">
      <c r="A360" s="211" t="s">
        <v>2175</v>
      </c>
      <c r="B360" s="214" t="s">
        <v>2230</v>
      </c>
      <c r="C360" s="213" t="s">
        <v>1910</v>
      </c>
      <c r="D360" s="215" t="s">
        <v>110</v>
      </c>
      <c r="E360" s="215" t="s">
        <v>110</v>
      </c>
      <c r="F360" s="211" t="s">
        <v>1824</v>
      </c>
      <c r="G360" s="211" t="s">
        <v>1825</v>
      </c>
      <c r="H360" s="216" t="s">
        <v>1756</v>
      </c>
      <c r="I360" s="217" t="s">
        <v>1759</v>
      </c>
      <c r="J360" s="211" t="s">
        <v>1757</v>
      </c>
      <c r="K360" s="211" t="s">
        <v>1877</v>
      </c>
      <c r="L360" s="211" t="s">
        <v>1568</v>
      </c>
      <c r="M360" s="211" t="s">
        <v>124</v>
      </c>
      <c r="N360" s="214" t="s">
        <v>14</v>
      </c>
      <c r="O360" s="211">
        <v>10</v>
      </c>
      <c r="P360" s="211" t="s">
        <v>276</v>
      </c>
      <c r="Q360" s="223" t="s">
        <v>108</v>
      </c>
      <c r="R360" s="218">
        <v>1630000</v>
      </c>
      <c r="S360" s="218">
        <f>Product_Name[[#This Row],[Đơn giá
Unit Price]]*Product_Name[[#This Row],[Số lượng
Quantity]]</f>
        <v>16300000</v>
      </c>
      <c r="T360" s="219">
        <v>44629</v>
      </c>
      <c r="U360" s="220">
        <v>44685</v>
      </c>
      <c r="V360" s="221">
        <v>44714</v>
      </c>
      <c r="W360" s="214" t="s">
        <v>2577</v>
      </c>
      <c r="X360" s="211" t="s">
        <v>55</v>
      </c>
      <c r="Y360" s="220">
        <v>44608</v>
      </c>
      <c r="Z360" s="216"/>
      <c r="AA360" s="214" t="s">
        <v>1826</v>
      </c>
      <c r="AB360" s="227"/>
      <c r="AC360" s="295"/>
    </row>
    <row r="361" spans="1:29" ht="15.5" x14ac:dyDescent="0.35">
      <c r="A361" s="211" t="s">
        <v>110</v>
      </c>
      <c r="B361" s="214" t="s">
        <v>2156</v>
      </c>
      <c r="C361" s="211" t="s">
        <v>110</v>
      </c>
      <c r="D361" s="215">
        <v>2069</v>
      </c>
      <c r="E361" s="215">
        <v>4680</v>
      </c>
      <c r="F361" s="211" t="s">
        <v>110</v>
      </c>
      <c r="G361" s="211" t="s">
        <v>110</v>
      </c>
      <c r="H361" s="216" t="s">
        <v>1804</v>
      </c>
      <c r="I361" s="217" t="s">
        <v>1806</v>
      </c>
      <c r="J361" s="211" t="s">
        <v>1802</v>
      </c>
      <c r="K361" s="211" t="s">
        <v>733</v>
      </c>
      <c r="L361" s="211" t="s">
        <v>733</v>
      </c>
      <c r="M361" s="214" t="s">
        <v>796</v>
      </c>
      <c r="N361" s="211" t="s">
        <v>642</v>
      </c>
      <c r="O361" s="211">
        <v>1</v>
      </c>
      <c r="P361" s="211" t="s">
        <v>276</v>
      </c>
      <c r="Q361" s="213" t="s">
        <v>108</v>
      </c>
      <c r="R361" s="218">
        <v>1610000</v>
      </c>
      <c r="S361" s="218">
        <f>Product_Name[[#This Row],[Đơn giá
Unit Price]]*Product_Name[[#This Row],[Số lượng
Quantity]]</f>
        <v>1610000</v>
      </c>
      <c r="T361" s="219">
        <v>44636</v>
      </c>
      <c r="U361" s="220">
        <v>44669</v>
      </c>
      <c r="V361" s="221">
        <v>44692</v>
      </c>
      <c r="W361" s="211" t="s">
        <v>1565</v>
      </c>
      <c r="X361" s="211" t="s">
        <v>16</v>
      </c>
      <c r="Y361" s="220">
        <v>44616</v>
      </c>
      <c r="Z361" s="216"/>
      <c r="AA361" s="216" t="s">
        <v>2029</v>
      </c>
      <c r="AB361" s="227"/>
      <c r="AC361" s="295"/>
    </row>
    <row r="362" spans="1:29" ht="15.5" x14ac:dyDescent="0.35">
      <c r="A362" s="211" t="s">
        <v>110</v>
      </c>
      <c r="B362" s="214" t="s">
        <v>2156</v>
      </c>
      <c r="C362" s="211" t="s">
        <v>110</v>
      </c>
      <c r="D362" s="215">
        <v>2069</v>
      </c>
      <c r="E362" s="215">
        <v>4680</v>
      </c>
      <c r="F362" s="211" t="s">
        <v>110</v>
      </c>
      <c r="G362" s="211" t="s">
        <v>110</v>
      </c>
      <c r="H362" s="216" t="s">
        <v>1805</v>
      </c>
      <c r="I362" s="217" t="s">
        <v>1807</v>
      </c>
      <c r="J362" s="211" t="s">
        <v>1803</v>
      </c>
      <c r="K362" s="211" t="s">
        <v>733</v>
      </c>
      <c r="L362" s="211" t="s">
        <v>733</v>
      </c>
      <c r="M362" s="214" t="s">
        <v>796</v>
      </c>
      <c r="N362" s="211" t="s">
        <v>642</v>
      </c>
      <c r="O362" s="211">
        <v>1</v>
      </c>
      <c r="P362" s="211" t="s">
        <v>276</v>
      </c>
      <c r="Q362" s="213" t="s">
        <v>108</v>
      </c>
      <c r="R362" s="218">
        <v>258000</v>
      </c>
      <c r="S362" s="218">
        <f>Product_Name[[#This Row],[Đơn giá
Unit Price]]*Product_Name[[#This Row],[Số lượng
Quantity]]</f>
        <v>258000</v>
      </c>
      <c r="T362" s="219">
        <v>44636</v>
      </c>
      <c r="U362" s="220">
        <v>44669</v>
      </c>
      <c r="V362" s="221">
        <v>44692</v>
      </c>
      <c r="W362" s="211" t="s">
        <v>1565</v>
      </c>
      <c r="X362" s="211" t="s">
        <v>16</v>
      </c>
      <c r="Y362" s="220">
        <v>44567</v>
      </c>
      <c r="Z362" s="216"/>
      <c r="AA362" s="216" t="s">
        <v>2029</v>
      </c>
      <c r="AB362" s="227"/>
      <c r="AC362" s="295"/>
    </row>
    <row r="363" spans="1:29" ht="15.5" x14ac:dyDescent="0.35">
      <c r="A363" s="211">
        <v>4683</v>
      </c>
      <c r="B363" s="214" t="s">
        <v>1899</v>
      </c>
      <c r="C363" s="211">
        <v>5667</v>
      </c>
      <c r="D363" s="215"/>
      <c r="E363" s="215"/>
      <c r="F363" s="211"/>
      <c r="G363" s="211" t="s">
        <v>1835</v>
      </c>
      <c r="H363" s="216" t="s">
        <v>1801</v>
      </c>
      <c r="I363" s="217" t="s">
        <v>1796</v>
      </c>
      <c r="J363" s="211" t="s">
        <v>1797</v>
      </c>
      <c r="K363" s="211" t="s">
        <v>1834</v>
      </c>
      <c r="L363" s="211" t="s">
        <v>218</v>
      </c>
      <c r="M363" s="211" t="s">
        <v>123</v>
      </c>
      <c r="N363" s="214" t="s">
        <v>14</v>
      </c>
      <c r="O363" s="211">
        <v>5</v>
      </c>
      <c r="P363" s="211" t="s">
        <v>44</v>
      </c>
      <c r="Q363" s="213" t="s">
        <v>108</v>
      </c>
      <c r="R363" s="218">
        <v>84000</v>
      </c>
      <c r="S363" s="218">
        <f>Product_Name[[#This Row],[Đơn giá
Unit Price]]*Product_Name[[#This Row],[Số lượng
Quantity]]</f>
        <v>420000</v>
      </c>
      <c r="T363" s="219">
        <v>44636</v>
      </c>
      <c r="U363" s="220">
        <v>44652</v>
      </c>
      <c r="V363" s="221">
        <v>44652</v>
      </c>
      <c r="W363" s="211" t="s">
        <v>21</v>
      </c>
      <c r="X363" s="211" t="s">
        <v>53</v>
      </c>
      <c r="Y363" s="220">
        <v>44567</v>
      </c>
      <c r="Z363" s="216"/>
      <c r="AA363" s="216" t="s">
        <v>1798</v>
      </c>
      <c r="AB363" s="227"/>
      <c r="AC363" s="295"/>
    </row>
    <row r="364" spans="1:29" ht="15.5" x14ac:dyDescent="0.35">
      <c r="A364" s="211">
        <v>4742</v>
      </c>
      <c r="B364" s="214" t="s">
        <v>2446</v>
      </c>
      <c r="C364" s="211">
        <v>5750</v>
      </c>
      <c r="D364" s="215"/>
      <c r="E364" s="215"/>
      <c r="F364" s="211"/>
      <c r="G364" s="211"/>
      <c r="H364" s="216" t="s">
        <v>1782</v>
      </c>
      <c r="I364" s="217" t="s">
        <v>1783</v>
      </c>
      <c r="J364" s="211" t="s">
        <v>1784</v>
      </c>
      <c r="K364" s="211" t="s">
        <v>1617</v>
      </c>
      <c r="L364" s="211" t="s">
        <v>1663</v>
      </c>
      <c r="M364" s="211" t="s">
        <v>123</v>
      </c>
      <c r="N364" s="214" t="s">
        <v>14</v>
      </c>
      <c r="O364" s="211">
        <v>4</v>
      </c>
      <c r="P364" s="211" t="s">
        <v>276</v>
      </c>
      <c r="Q364" s="213" t="s">
        <v>108</v>
      </c>
      <c r="R364" s="218">
        <v>383000</v>
      </c>
      <c r="S364" s="218">
        <f>Product_Name[[#This Row],[Đơn giá
Unit Price]]*Product_Name[[#This Row],[Số lượng
Quantity]]</f>
        <v>1532000</v>
      </c>
      <c r="T364" s="219">
        <v>44638</v>
      </c>
      <c r="U364" s="220">
        <v>44823</v>
      </c>
      <c r="V364" s="221">
        <v>44778</v>
      </c>
      <c r="W364" s="211" t="s">
        <v>21</v>
      </c>
      <c r="X364" s="211" t="s">
        <v>16</v>
      </c>
      <c r="Y364" s="220">
        <v>44616</v>
      </c>
      <c r="Z364" s="216"/>
      <c r="AA364" s="217" t="s">
        <v>1788</v>
      </c>
      <c r="AB364" s="227"/>
      <c r="AC364" s="295"/>
    </row>
    <row r="365" spans="1:29" ht="15.5" x14ac:dyDescent="0.35">
      <c r="A365" s="211" t="s">
        <v>110</v>
      </c>
      <c r="B365" s="214" t="s">
        <v>2106</v>
      </c>
      <c r="C365" s="211" t="s">
        <v>110</v>
      </c>
      <c r="D365" s="215">
        <v>2112</v>
      </c>
      <c r="E365" s="215">
        <v>4755</v>
      </c>
      <c r="F365" s="211" t="s">
        <v>1838</v>
      </c>
      <c r="G365" s="211" t="s">
        <v>1840</v>
      </c>
      <c r="H365" s="216" t="s">
        <v>1828</v>
      </c>
      <c r="I365" s="217" t="s">
        <v>734</v>
      </c>
      <c r="J365" s="211" t="s">
        <v>1830</v>
      </c>
      <c r="K365" s="211" t="s">
        <v>1829</v>
      </c>
      <c r="L365" s="211" t="s">
        <v>1568</v>
      </c>
      <c r="M365" s="214" t="s">
        <v>796</v>
      </c>
      <c r="N365" s="211" t="s">
        <v>642</v>
      </c>
      <c r="O365" s="211">
        <v>1</v>
      </c>
      <c r="P365" s="211" t="s">
        <v>37</v>
      </c>
      <c r="Q365" s="213" t="s">
        <v>108</v>
      </c>
      <c r="R365" s="218">
        <v>10474000</v>
      </c>
      <c r="S365" s="218">
        <f>Product_Name[[#This Row],[Đơn giá
Unit Price]]*Product_Name[[#This Row],[Số lượng
Quantity]]</f>
        <v>10474000</v>
      </c>
      <c r="T365" s="219">
        <v>44642</v>
      </c>
      <c r="U365" s="220">
        <v>44652</v>
      </c>
      <c r="V365" s="221">
        <v>44676</v>
      </c>
      <c r="W365" s="211" t="s">
        <v>2814</v>
      </c>
      <c r="X365" s="211" t="s">
        <v>611</v>
      </c>
      <c r="Y365" s="220"/>
      <c r="Z365" s="216"/>
      <c r="AA365" s="216" t="s">
        <v>2029</v>
      </c>
      <c r="AB365" s="227">
        <v>44638</v>
      </c>
      <c r="AC365" s="295"/>
    </row>
    <row r="366" spans="1:29" ht="15.5" x14ac:dyDescent="0.35">
      <c r="A366" s="211">
        <v>4800</v>
      </c>
      <c r="B366" s="214" t="s">
        <v>1908</v>
      </c>
      <c r="C366" s="211">
        <v>5826</v>
      </c>
      <c r="D366" s="215" t="s">
        <v>110</v>
      </c>
      <c r="E366" s="215" t="s">
        <v>110</v>
      </c>
      <c r="F366" s="214" t="s">
        <v>110</v>
      </c>
      <c r="G366" s="214" t="s">
        <v>110</v>
      </c>
      <c r="H366" s="216" t="s">
        <v>1019</v>
      </c>
      <c r="I366" s="217" t="s">
        <v>1020</v>
      </c>
      <c r="J366" s="211" t="s">
        <v>1235</v>
      </c>
      <c r="K366" s="211" t="s">
        <v>1237</v>
      </c>
      <c r="L366" s="211" t="s">
        <v>1238</v>
      </c>
      <c r="M366" s="211" t="s">
        <v>795</v>
      </c>
      <c r="N366" s="211" t="s">
        <v>14</v>
      </c>
      <c r="O366" s="211">
        <v>18</v>
      </c>
      <c r="P366" s="211" t="s">
        <v>1015</v>
      </c>
      <c r="Q366" s="213" t="s">
        <v>108</v>
      </c>
      <c r="R366" s="218">
        <v>776000</v>
      </c>
      <c r="S366" s="229">
        <f>Product_Name[[#This Row],[Đơn giá
Unit Price]]*Product_Name[[#This Row],[Số lượng
Quantity]]</f>
        <v>13968000</v>
      </c>
      <c r="T366" s="219">
        <v>44645</v>
      </c>
      <c r="U366" s="220">
        <v>44652</v>
      </c>
      <c r="V366" s="221">
        <v>44652</v>
      </c>
      <c r="W366" s="214" t="s">
        <v>2577</v>
      </c>
      <c r="X366" s="214" t="s">
        <v>16</v>
      </c>
      <c r="Y366" s="220"/>
      <c r="Z366" s="216"/>
      <c r="AA366" s="216"/>
      <c r="AB366" s="227"/>
      <c r="AC366" s="295"/>
    </row>
    <row r="367" spans="1:29" ht="15.5" x14ac:dyDescent="0.35">
      <c r="A367" s="211">
        <v>4855</v>
      </c>
      <c r="B367" s="214" t="s">
        <v>2157</v>
      </c>
      <c r="C367" s="211">
        <v>5891</v>
      </c>
      <c r="D367" s="215" t="s">
        <v>110</v>
      </c>
      <c r="E367" s="215" t="s">
        <v>110</v>
      </c>
      <c r="F367" s="214" t="s">
        <v>110</v>
      </c>
      <c r="G367" s="214" t="s">
        <v>110</v>
      </c>
      <c r="H367" s="216" t="s">
        <v>1864</v>
      </c>
      <c r="I367" s="217" t="s">
        <v>1865</v>
      </c>
      <c r="J367" s="211" t="s">
        <v>1866</v>
      </c>
      <c r="K367" s="211" t="s">
        <v>1867</v>
      </c>
      <c r="L367" s="211" t="s">
        <v>1281</v>
      </c>
      <c r="M367" s="211" t="s">
        <v>123</v>
      </c>
      <c r="N367" s="211" t="s">
        <v>14</v>
      </c>
      <c r="O367" s="211">
        <v>3</v>
      </c>
      <c r="P367" s="211" t="s">
        <v>276</v>
      </c>
      <c r="Q367" s="213" t="s">
        <v>108</v>
      </c>
      <c r="R367" s="218">
        <v>2702000</v>
      </c>
      <c r="S367" s="218">
        <f>Product_Name[[#This Row],[Đơn giá
Unit Price]]*Product_Name[[#This Row],[Số lượng
Quantity]]</f>
        <v>8106000</v>
      </c>
      <c r="T367" s="219">
        <v>44648</v>
      </c>
      <c r="U367" s="220">
        <v>44683</v>
      </c>
      <c r="V367" s="221">
        <v>44693</v>
      </c>
      <c r="W367" s="211" t="s">
        <v>2814</v>
      </c>
      <c r="X367" s="211" t="s">
        <v>16</v>
      </c>
      <c r="Y367" s="220">
        <v>44581</v>
      </c>
      <c r="Z367" s="216"/>
      <c r="AA367" s="216"/>
      <c r="AB367" s="227"/>
      <c r="AC367" s="295"/>
    </row>
    <row r="368" spans="1:29" ht="15.5" x14ac:dyDescent="0.35">
      <c r="A368" s="211">
        <v>4856</v>
      </c>
      <c r="B368" s="214" t="s">
        <v>2057</v>
      </c>
      <c r="C368" s="211">
        <v>5893</v>
      </c>
      <c r="D368" s="215" t="s">
        <v>110</v>
      </c>
      <c r="E368" s="215" t="s">
        <v>110</v>
      </c>
      <c r="F368" s="214" t="s">
        <v>110</v>
      </c>
      <c r="G368" s="214" t="s">
        <v>110</v>
      </c>
      <c r="H368" s="216" t="s">
        <v>1669</v>
      </c>
      <c r="I368" s="217" t="s">
        <v>1666</v>
      </c>
      <c r="J368" s="211" t="s">
        <v>1682</v>
      </c>
      <c r="K368" s="211" t="s">
        <v>1751</v>
      </c>
      <c r="L368" s="211" t="s">
        <v>1751</v>
      </c>
      <c r="M368" s="211" t="s">
        <v>1282</v>
      </c>
      <c r="N368" s="211" t="s">
        <v>14</v>
      </c>
      <c r="O368" s="211">
        <v>5</v>
      </c>
      <c r="P368" s="211" t="s">
        <v>964</v>
      </c>
      <c r="Q368" s="213" t="s">
        <v>108</v>
      </c>
      <c r="R368" s="218">
        <v>2000000</v>
      </c>
      <c r="S368" s="218">
        <f>Product_Name[[#This Row],[Đơn giá
Unit Price]]*Product_Name[[#This Row],[Số lượng
Quantity]]</f>
        <v>10000000</v>
      </c>
      <c r="T368" s="219">
        <v>44648</v>
      </c>
      <c r="U368" s="220">
        <v>44655</v>
      </c>
      <c r="V368" s="221">
        <v>44669</v>
      </c>
      <c r="W368" s="211" t="s">
        <v>2814</v>
      </c>
      <c r="X368" s="214" t="s">
        <v>16</v>
      </c>
      <c r="Y368" s="220">
        <v>44567</v>
      </c>
      <c r="Z368" s="216"/>
      <c r="AA368" s="216" t="s">
        <v>2155</v>
      </c>
      <c r="AB368" s="227"/>
      <c r="AC368" s="295"/>
    </row>
    <row r="369" spans="1:29" ht="15.5" x14ac:dyDescent="0.35">
      <c r="A369" s="211">
        <v>4856</v>
      </c>
      <c r="B369" s="214" t="s">
        <v>2057</v>
      </c>
      <c r="C369" s="211">
        <v>5893</v>
      </c>
      <c r="D369" s="215" t="s">
        <v>110</v>
      </c>
      <c r="E369" s="215" t="s">
        <v>110</v>
      </c>
      <c r="F369" s="214" t="s">
        <v>110</v>
      </c>
      <c r="G369" s="214" t="s">
        <v>110</v>
      </c>
      <c r="H369" s="216" t="s">
        <v>1670</v>
      </c>
      <c r="I369" s="217" t="s">
        <v>1681</v>
      </c>
      <c r="J369" s="211" t="s">
        <v>1683</v>
      </c>
      <c r="K369" s="211" t="s">
        <v>1751</v>
      </c>
      <c r="L369" s="211" t="s">
        <v>1751</v>
      </c>
      <c r="M369" s="211" t="s">
        <v>1282</v>
      </c>
      <c r="N369" s="211" t="s">
        <v>14</v>
      </c>
      <c r="O369" s="211">
        <v>5</v>
      </c>
      <c r="P369" s="211" t="s">
        <v>964</v>
      </c>
      <c r="Q369" s="213" t="s">
        <v>108</v>
      </c>
      <c r="R369" s="218">
        <v>2887000</v>
      </c>
      <c r="S369" s="218">
        <f>Product_Name[[#This Row],[Đơn giá
Unit Price]]*Product_Name[[#This Row],[Số lượng
Quantity]]</f>
        <v>14435000</v>
      </c>
      <c r="T369" s="219">
        <v>44648</v>
      </c>
      <c r="U369" s="220">
        <v>44655</v>
      </c>
      <c r="V369" s="221">
        <v>44669</v>
      </c>
      <c r="W369" s="211" t="s">
        <v>2814</v>
      </c>
      <c r="X369" s="214" t="s">
        <v>16</v>
      </c>
      <c r="Y369" s="220">
        <v>44567</v>
      </c>
      <c r="Z369" s="216"/>
      <c r="AA369" s="216" t="s">
        <v>2155</v>
      </c>
      <c r="AB369" s="227"/>
      <c r="AC369" s="295"/>
    </row>
    <row r="370" spans="1:29" ht="15.5" x14ac:dyDescent="0.35">
      <c r="A370" s="211">
        <v>4857</v>
      </c>
      <c r="B370" s="214" t="s">
        <v>2174</v>
      </c>
      <c r="C370" s="211">
        <v>5894</v>
      </c>
      <c r="D370" s="215" t="s">
        <v>110</v>
      </c>
      <c r="E370" s="215" t="s">
        <v>110</v>
      </c>
      <c r="F370" s="214" t="s">
        <v>110</v>
      </c>
      <c r="G370" s="214" t="s">
        <v>110</v>
      </c>
      <c r="H370" s="216" t="s">
        <v>1671</v>
      </c>
      <c r="I370" s="217" t="s">
        <v>1667</v>
      </c>
      <c r="J370" s="211" t="s">
        <v>1868</v>
      </c>
      <c r="K370" s="211" t="s">
        <v>1100</v>
      </c>
      <c r="L370" s="211" t="s">
        <v>1100</v>
      </c>
      <c r="M370" s="211" t="s">
        <v>1282</v>
      </c>
      <c r="N370" s="211" t="s">
        <v>14</v>
      </c>
      <c r="O370" s="211">
        <v>6000</v>
      </c>
      <c r="P370" s="211" t="s">
        <v>37</v>
      </c>
      <c r="Q370" s="213" t="s">
        <v>108</v>
      </c>
      <c r="R370" s="218">
        <v>5500</v>
      </c>
      <c r="S370" s="218">
        <f>Product_Name[[#This Row],[Đơn giá
Unit Price]]*Product_Name[[#This Row],[Số lượng
Quantity]]</f>
        <v>33000000</v>
      </c>
      <c r="T370" s="219">
        <v>44648</v>
      </c>
      <c r="U370" s="220">
        <v>44669</v>
      </c>
      <c r="V370" s="221">
        <v>44699</v>
      </c>
      <c r="W370" s="211" t="s">
        <v>2814</v>
      </c>
      <c r="X370" s="214" t="s">
        <v>16</v>
      </c>
      <c r="Y370" s="220"/>
      <c r="Z370" s="216"/>
      <c r="AA370" s="216" t="s">
        <v>2155</v>
      </c>
      <c r="AB370" s="227" t="s">
        <v>110</v>
      </c>
      <c r="AC370" s="295"/>
    </row>
    <row r="371" spans="1:29" ht="15.5" x14ac:dyDescent="0.35">
      <c r="A371" s="211">
        <v>4857</v>
      </c>
      <c r="B371" s="214" t="s">
        <v>2174</v>
      </c>
      <c r="C371" s="211">
        <v>5894</v>
      </c>
      <c r="D371" s="215" t="s">
        <v>110</v>
      </c>
      <c r="E371" s="215" t="s">
        <v>110</v>
      </c>
      <c r="F371" s="214" t="s">
        <v>110</v>
      </c>
      <c r="G371" s="214" t="s">
        <v>110</v>
      </c>
      <c r="H371" s="216" t="s">
        <v>1672</v>
      </c>
      <c r="I371" s="217" t="s">
        <v>1668</v>
      </c>
      <c r="J371" s="211" t="s">
        <v>1869</v>
      </c>
      <c r="K371" s="211" t="s">
        <v>1100</v>
      </c>
      <c r="L371" s="211" t="s">
        <v>1100</v>
      </c>
      <c r="M371" s="211" t="s">
        <v>1282</v>
      </c>
      <c r="N371" s="211" t="s">
        <v>14</v>
      </c>
      <c r="O371" s="211">
        <v>6000</v>
      </c>
      <c r="P371" s="211" t="s">
        <v>37</v>
      </c>
      <c r="Q371" s="213" t="s">
        <v>108</v>
      </c>
      <c r="R371" s="218">
        <v>7500</v>
      </c>
      <c r="S371" s="218">
        <f>Product_Name[[#This Row],[Đơn giá
Unit Price]]*Product_Name[[#This Row],[Số lượng
Quantity]]</f>
        <v>45000000</v>
      </c>
      <c r="T371" s="219">
        <v>44648</v>
      </c>
      <c r="U371" s="220">
        <v>44669</v>
      </c>
      <c r="V371" s="221">
        <v>44699</v>
      </c>
      <c r="W371" s="211" t="s">
        <v>2814</v>
      </c>
      <c r="X371" s="214" t="s">
        <v>16</v>
      </c>
      <c r="Y371" s="220"/>
      <c r="Z371" s="216"/>
      <c r="AA371" s="216" t="s">
        <v>2155</v>
      </c>
      <c r="AB371" s="227" t="s">
        <v>110</v>
      </c>
      <c r="AC371" s="295"/>
    </row>
    <row r="372" spans="1:29" ht="15.5" x14ac:dyDescent="0.35">
      <c r="A372" s="211">
        <v>4907</v>
      </c>
      <c r="B372" s="214" t="s">
        <v>2023</v>
      </c>
      <c r="C372" s="211">
        <v>5927</v>
      </c>
      <c r="D372" s="215" t="s">
        <v>110</v>
      </c>
      <c r="E372" s="215" t="s">
        <v>110</v>
      </c>
      <c r="F372" s="211" t="s">
        <v>110</v>
      </c>
      <c r="G372" s="211" t="s">
        <v>110</v>
      </c>
      <c r="H372" s="216" t="s">
        <v>1658</v>
      </c>
      <c r="I372" s="217" t="s">
        <v>1502</v>
      </c>
      <c r="J372" s="211" t="s">
        <v>1659</v>
      </c>
      <c r="K372" s="211" t="s">
        <v>1660</v>
      </c>
      <c r="L372" s="211" t="s">
        <v>1661</v>
      </c>
      <c r="M372" s="211" t="s">
        <v>123</v>
      </c>
      <c r="N372" s="211" t="s">
        <v>14</v>
      </c>
      <c r="O372" s="211">
        <v>10</v>
      </c>
      <c r="P372" s="236" t="s">
        <v>37</v>
      </c>
      <c r="Q372" s="218" t="s">
        <v>108</v>
      </c>
      <c r="R372" s="218">
        <v>170000</v>
      </c>
      <c r="S372" s="218">
        <f>Product_Name[[#This Row],[Đơn giá
Unit Price]]*Product_Name[[#This Row],[Số lượng
Quantity]]</f>
        <v>1700000</v>
      </c>
      <c r="T372" s="219">
        <v>44650</v>
      </c>
      <c r="U372" s="220">
        <v>44658</v>
      </c>
      <c r="V372" s="221">
        <v>44659</v>
      </c>
      <c r="W372" s="211" t="s">
        <v>1662</v>
      </c>
      <c r="X372" s="211" t="s">
        <v>16</v>
      </c>
      <c r="Y372" s="220">
        <v>44545</v>
      </c>
      <c r="Z372" s="216"/>
      <c r="AA372" s="216"/>
      <c r="AB372" s="227"/>
      <c r="AC372" s="295"/>
    </row>
    <row r="373" spans="1:29" ht="15.5" x14ac:dyDescent="0.35">
      <c r="A373" s="211">
        <v>4905</v>
      </c>
      <c r="B373" s="214" t="s">
        <v>2052</v>
      </c>
      <c r="C373" s="211">
        <v>5963</v>
      </c>
      <c r="D373" s="215" t="s">
        <v>110</v>
      </c>
      <c r="E373" s="215" t="s">
        <v>110</v>
      </c>
      <c r="F373" s="211" t="s">
        <v>110</v>
      </c>
      <c r="G373" s="211" t="s">
        <v>110</v>
      </c>
      <c r="H373" s="216" t="s">
        <v>1856</v>
      </c>
      <c r="I373" s="217" t="s">
        <v>1855</v>
      </c>
      <c r="J373" s="213" t="s">
        <v>1892</v>
      </c>
      <c r="K373" s="211" t="s">
        <v>1890</v>
      </c>
      <c r="L373" s="211" t="s">
        <v>99</v>
      </c>
      <c r="M373" s="211" t="s">
        <v>123</v>
      </c>
      <c r="N373" s="214" t="s">
        <v>14</v>
      </c>
      <c r="O373" s="211">
        <v>30</v>
      </c>
      <c r="P373" s="211" t="s">
        <v>37</v>
      </c>
      <c r="Q373" s="218" t="s">
        <v>108</v>
      </c>
      <c r="R373" s="218">
        <v>31000</v>
      </c>
      <c r="S373" s="218">
        <f>Product_Name[[#This Row],[Đơn giá
Unit Price]]*Product_Name[[#This Row],[Số lượng
Quantity]]</f>
        <v>930000</v>
      </c>
      <c r="T373" s="219">
        <v>44651</v>
      </c>
      <c r="U373" s="220">
        <v>44665</v>
      </c>
      <c r="V373" s="221">
        <v>44666</v>
      </c>
      <c r="W373" s="211" t="s">
        <v>2813</v>
      </c>
      <c r="X373" s="211" t="s">
        <v>53</v>
      </c>
      <c r="Y373" s="220">
        <v>44645</v>
      </c>
      <c r="Z373" s="216"/>
      <c r="AA373" s="214" t="s">
        <v>1893</v>
      </c>
      <c r="AB373" s="227"/>
      <c r="AC373" s="295"/>
    </row>
    <row r="374" spans="1:29" s="71" customFormat="1" ht="15.5" x14ac:dyDescent="0.35">
      <c r="A374" s="214">
        <v>4970</v>
      </c>
      <c r="B374" s="214" t="s">
        <v>2119</v>
      </c>
      <c r="C374" s="214">
        <v>5966</v>
      </c>
      <c r="D374" s="215" t="s">
        <v>110</v>
      </c>
      <c r="E374" s="215" t="s">
        <v>110</v>
      </c>
      <c r="F374" s="214" t="s">
        <v>110</v>
      </c>
      <c r="G374" s="214" t="s">
        <v>110</v>
      </c>
      <c r="H374" s="217" t="s">
        <v>416</v>
      </c>
      <c r="I374" s="217" t="s">
        <v>804</v>
      </c>
      <c r="J374" s="214" t="s">
        <v>418</v>
      </c>
      <c r="K374" s="214" t="s">
        <v>419</v>
      </c>
      <c r="L374" s="214" t="s">
        <v>419</v>
      </c>
      <c r="M374" s="211" t="s">
        <v>123</v>
      </c>
      <c r="N374" s="214" t="s">
        <v>14</v>
      </c>
      <c r="O374" s="214">
        <v>20</v>
      </c>
      <c r="P374" s="214" t="s">
        <v>46</v>
      </c>
      <c r="Q374" s="223" t="s">
        <v>108</v>
      </c>
      <c r="R374" s="229">
        <v>235000</v>
      </c>
      <c r="S374" s="229">
        <f>Product_Name[[#This Row],[Đơn giá
Unit Price]]*Product_Name[[#This Row],[Số lượng
Quantity]]</f>
        <v>4700000</v>
      </c>
      <c r="T374" s="230">
        <v>44652</v>
      </c>
      <c r="U374" s="227">
        <v>44659</v>
      </c>
      <c r="V374" s="231">
        <v>44685</v>
      </c>
      <c r="W374" s="214" t="s">
        <v>2813</v>
      </c>
      <c r="X374" s="214" t="s">
        <v>55</v>
      </c>
      <c r="Y374" s="220" t="s">
        <v>2120</v>
      </c>
      <c r="Z374" s="216" t="s">
        <v>328</v>
      </c>
      <c r="AA374" s="216" t="s">
        <v>2117</v>
      </c>
      <c r="AB374" s="227" t="s">
        <v>110</v>
      </c>
      <c r="AC374" s="295"/>
    </row>
    <row r="375" spans="1:29" ht="15.5" x14ac:dyDescent="0.35">
      <c r="A375" s="211">
        <v>4924</v>
      </c>
      <c r="B375" s="214" t="s">
        <v>2339</v>
      </c>
      <c r="C375" s="211">
        <v>5970</v>
      </c>
      <c r="D375" s="215" t="s">
        <v>110</v>
      </c>
      <c r="E375" s="215" t="s">
        <v>110</v>
      </c>
      <c r="F375" s="214" t="s">
        <v>110</v>
      </c>
      <c r="G375" s="214" t="s">
        <v>110</v>
      </c>
      <c r="H375" s="216" t="s">
        <v>1410</v>
      </c>
      <c r="I375" s="217" t="s">
        <v>1408</v>
      </c>
      <c r="J375" s="211" t="s">
        <v>1407</v>
      </c>
      <c r="K375" s="211" t="s">
        <v>1461</v>
      </c>
      <c r="L375" s="211" t="s">
        <v>30</v>
      </c>
      <c r="M375" s="211" t="s">
        <v>795</v>
      </c>
      <c r="N375" s="211" t="s">
        <v>14</v>
      </c>
      <c r="O375" s="211">
        <v>50</v>
      </c>
      <c r="P375" s="214" t="s">
        <v>276</v>
      </c>
      <c r="Q375" s="213" t="s">
        <v>390</v>
      </c>
      <c r="R375" s="237">
        <v>62.88</v>
      </c>
      <c r="S375" s="229">
        <f>Product_Name[[#This Row],[Đơn giá
Unit Price]]*Product_Name[[#This Row],[Số lượng
Quantity]]</f>
        <v>3144</v>
      </c>
      <c r="T375" s="219">
        <v>44652</v>
      </c>
      <c r="U375" s="220">
        <v>44727</v>
      </c>
      <c r="V375" s="231">
        <v>44748</v>
      </c>
      <c r="W375" s="211" t="s">
        <v>3198</v>
      </c>
      <c r="X375" s="214" t="s">
        <v>16</v>
      </c>
      <c r="Y375" s="220">
        <v>44651</v>
      </c>
      <c r="Z375" s="216"/>
      <c r="AA375" s="216" t="s">
        <v>2056</v>
      </c>
      <c r="AB375" s="227"/>
      <c r="AC375" s="295"/>
    </row>
    <row r="376" spans="1:29" ht="15.5" x14ac:dyDescent="0.35">
      <c r="A376" s="211">
        <v>4975</v>
      </c>
      <c r="B376" s="214" t="s">
        <v>2110</v>
      </c>
      <c r="C376" s="211">
        <v>5981</v>
      </c>
      <c r="D376" s="215" t="s">
        <v>110</v>
      </c>
      <c r="E376" s="215" t="s">
        <v>110</v>
      </c>
      <c r="F376" s="211" t="s">
        <v>110</v>
      </c>
      <c r="G376" s="211" t="s">
        <v>110</v>
      </c>
      <c r="H376" s="217" t="s">
        <v>1125</v>
      </c>
      <c r="I376" s="217" t="s">
        <v>1126</v>
      </c>
      <c r="J376" s="211" t="s">
        <v>1151</v>
      </c>
      <c r="K376" s="211" t="s">
        <v>1150</v>
      </c>
      <c r="L376" s="211" t="s">
        <v>218</v>
      </c>
      <c r="M376" s="211" t="s">
        <v>123</v>
      </c>
      <c r="N376" s="211" t="s">
        <v>14</v>
      </c>
      <c r="O376" s="211">
        <v>6</v>
      </c>
      <c r="P376" s="211" t="s">
        <v>107</v>
      </c>
      <c r="Q376" s="213" t="s">
        <v>108</v>
      </c>
      <c r="R376" s="218">
        <v>1971000</v>
      </c>
      <c r="S376" s="229">
        <f>Product_Name[[#This Row],[Đơn giá
Unit Price]]*Product_Name[[#This Row],[Số lượng
Quantity]]</f>
        <v>11826000</v>
      </c>
      <c r="T376" s="219">
        <v>44652</v>
      </c>
      <c r="U376" s="220">
        <v>44662</v>
      </c>
      <c r="V376" s="221">
        <v>44677</v>
      </c>
      <c r="W376" s="211" t="s">
        <v>2813</v>
      </c>
      <c r="X376" s="211" t="s">
        <v>16</v>
      </c>
      <c r="Y376" s="220"/>
      <c r="Z376" s="216" t="s">
        <v>328</v>
      </c>
      <c r="AA376" s="216" t="s">
        <v>2290</v>
      </c>
      <c r="AB376" s="241" t="s">
        <v>110</v>
      </c>
      <c r="AC376" s="295"/>
    </row>
    <row r="377" spans="1:29" ht="15.5" x14ac:dyDescent="0.35">
      <c r="A377" s="211">
        <v>4978</v>
      </c>
      <c r="B377" s="214" t="s">
        <v>2226</v>
      </c>
      <c r="C377" s="211">
        <v>6032</v>
      </c>
      <c r="D377" s="215" t="s">
        <v>110</v>
      </c>
      <c r="E377" s="215" t="s">
        <v>110</v>
      </c>
      <c r="F377" s="215" t="s">
        <v>110</v>
      </c>
      <c r="G377" s="215" t="s">
        <v>110</v>
      </c>
      <c r="H377" s="216" t="s">
        <v>79</v>
      </c>
      <c r="I377" s="217" t="s">
        <v>1888</v>
      </c>
      <c r="J377" s="211" t="s">
        <v>98</v>
      </c>
      <c r="K377" s="211" t="s">
        <v>30</v>
      </c>
      <c r="L377" s="211" t="s">
        <v>30</v>
      </c>
      <c r="M377" s="211" t="s">
        <v>795</v>
      </c>
      <c r="N377" s="211" t="s">
        <v>14</v>
      </c>
      <c r="O377" s="211">
        <v>2</v>
      </c>
      <c r="P377" s="211" t="s">
        <v>50</v>
      </c>
      <c r="Q377" s="213" t="s">
        <v>390</v>
      </c>
      <c r="R377" s="237">
        <v>137.84</v>
      </c>
      <c r="S377" s="237">
        <f>Product_Name[[#This Row],[Đơn giá
Unit Price]]*Product_Name[[#This Row],[Số lượng
Quantity]]</f>
        <v>275.68</v>
      </c>
      <c r="T377" s="219">
        <v>44658</v>
      </c>
      <c r="U377" s="220">
        <v>44719</v>
      </c>
      <c r="V377" s="221">
        <v>44712</v>
      </c>
      <c r="W377" s="211" t="s">
        <v>2813</v>
      </c>
      <c r="X377" s="211" t="s">
        <v>54</v>
      </c>
      <c r="Y377" s="220">
        <v>44651</v>
      </c>
      <c r="Z377" s="216"/>
      <c r="AA377" s="214" t="s">
        <v>1889</v>
      </c>
      <c r="AB377" s="227"/>
      <c r="AC377" s="295"/>
    </row>
    <row r="378" spans="1:29" ht="15.5" x14ac:dyDescent="0.35">
      <c r="A378" s="211" t="s">
        <v>110</v>
      </c>
      <c r="B378" s="214" t="s">
        <v>2240</v>
      </c>
      <c r="C378" s="211" t="s">
        <v>110</v>
      </c>
      <c r="D378" s="215">
        <v>2274</v>
      </c>
      <c r="E378" s="215">
        <v>4998</v>
      </c>
      <c r="F378" s="211" t="s">
        <v>1891</v>
      </c>
      <c r="G378" s="211" t="s">
        <v>2015</v>
      </c>
      <c r="H378" s="216" t="s">
        <v>1766</v>
      </c>
      <c r="I378" s="217" t="s">
        <v>1771</v>
      </c>
      <c r="J378" s="211" t="s">
        <v>1760</v>
      </c>
      <c r="K378" s="211" t="s">
        <v>210</v>
      </c>
      <c r="L378" s="211" t="s">
        <v>210</v>
      </c>
      <c r="M378" s="214" t="s">
        <v>796</v>
      </c>
      <c r="N378" s="211" t="s">
        <v>642</v>
      </c>
      <c r="O378" s="211">
        <v>1</v>
      </c>
      <c r="P378" s="211" t="s">
        <v>276</v>
      </c>
      <c r="Q378" s="213" t="s">
        <v>108</v>
      </c>
      <c r="R378" s="218">
        <v>3591000</v>
      </c>
      <c r="S378" s="218">
        <f>Product_Name[[#This Row],[Đơn giá
Unit Price]]*Product_Name[[#This Row],[Số lượng
Quantity]]</f>
        <v>3591000</v>
      </c>
      <c r="T378" s="219">
        <v>44659</v>
      </c>
      <c r="U378" s="220">
        <v>44666</v>
      </c>
      <c r="V378" s="221">
        <v>44715</v>
      </c>
      <c r="W378" s="211" t="s">
        <v>2813</v>
      </c>
      <c r="X378" s="211" t="s">
        <v>16</v>
      </c>
      <c r="Y378" s="220" t="s">
        <v>2016</v>
      </c>
      <c r="Z378" s="216" t="s">
        <v>1876</v>
      </c>
      <c r="AA378" s="216"/>
      <c r="AB378" s="247"/>
      <c r="AC378" s="295"/>
    </row>
    <row r="379" spans="1:29" ht="15.5" x14ac:dyDescent="0.35">
      <c r="A379" s="211" t="s">
        <v>110</v>
      </c>
      <c r="B379" s="214" t="s">
        <v>2240</v>
      </c>
      <c r="C379" s="211" t="s">
        <v>110</v>
      </c>
      <c r="D379" s="215">
        <v>2274</v>
      </c>
      <c r="E379" s="215">
        <v>4998</v>
      </c>
      <c r="F379" s="211" t="s">
        <v>1891</v>
      </c>
      <c r="G379" s="211" t="s">
        <v>2015</v>
      </c>
      <c r="H379" s="216" t="s">
        <v>1767</v>
      </c>
      <c r="I379" s="217" t="s">
        <v>1772</v>
      </c>
      <c r="J379" s="211" t="s">
        <v>1761</v>
      </c>
      <c r="K379" s="211" t="s">
        <v>210</v>
      </c>
      <c r="L379" s="211" t="s">
        <v>210</v>
      </c>
      <c r="M379" s="214" t="s">
        <v>796</v>
      </c>
      <c r="N379" s="211" t="s">
        <v>642</v>
      </c>
      <c r="O379" s="211">
        <v>1</v>
      </c>
      <c r="P379" s="211" t="s">
        <v>276</v>
      </c>
      <c r="Q379" s="213" t="s">
        <v>108</v>
      </c>
      <c r="R379" s="218">
        <v>2609000</v>
      </c>
      <c r="S379" s="218">
        <f>Product_Name[[#This Row],[Đơn giá
Unit Price]]*Product_Name[[#This Row],[Số lượng
Quantity]]</f>
        <v>2609000</v>
      </c>
      <c r="T379" s="219">
        <v>44659</v>
      </c>
      <c r="U379" s="220">
        <v>44666</v>
      </c>
      <c r="V379" s="221">
        <v>44715</v>
      </c>
      <c r="W379" s="211" t="s">
        <v>2813</v>
      </c>
      <c r="X379" s="211" t="s">
        <v>16</v>
      </c>
      <c r="Y379" s="220" t="s">
        <v>2016</v>
      </c>
      <c r="Z379" s="216" t="s">
        <v>1776</v>
      </c>
      <c r="AA379" s="216"/>
      <c r="AB379" s="227"/>
      <c r="AC379" s="295"/>
    </row>
    <row r="380" spans="1:29" ht="15.5" x14ac:dyDescent="0.35">
      <c r="A380" s="211" t="s">
        <v>110</v>
      </c>
      <c r="B380" s="214" t="s">
        <v>2240</v>
      </c>
      <c r="C380" s="211" t="s">
        <v>110</v>
      </c>
      <c r="D380" s="215">
        <v>2274</v>
      </c>
      <c r="E380" s="215">
        <v>4998</v>
      </c>
      <c r="F380" s="211" t="s">
        <v>1891</v>
      </c>
      <c r="G380" s="211" t="s">
        <v>2015</v>
      </c>
      <c r="H380" s="216" t="s">
        <v>1766</v>
      </c>
      <c r="I380" s="217" t="s">
        <v>1771</v>
      </c>
      <c r="J380" s="211" t="s">
        <v>1762</v>
      </c>
      <c r="K380" s="211" t="s">
        <v>210</v>
      </c>
      <c r="L380" s="211" t="s">
        <v>210</v>
      </c>
      <c r="M380" s="214" t="s">
        <v>796</v>
      </c>
      <c r="N380" s="211" t="s">
        <v>642</v>
      </c>
      <c r="O380" s="211">
        <v>1</v>
      </c>
      <c r="P380" s="211" t="s">
        <v>276</v>
      </c>
      <c r="Q380" s="213" t="s">
        <v>108</v>
      </c>
      <c r="R380" s="218">
        <v>8423000</v>
      </c>
      <c r="S380" s="218">
        <f>Product_Name[[#This Row],[Đơn giá
Unit Price]]*Product_Name[[#This Row],[Số lượng
Quantity]]</f>
        <v>8423000</v>
      </c>
      <c r="T380" s="219">
        <v>44659</v>
      </c>
      <c r="U380" s="220">
        <v>44666</v>
      </c>
      <c r="V380" s="221">
        <v>44715</v>
      </c>
      <c r="W380" s="211" t="s">
        <v>2813</v>
      </c>
      <c r="X380" s="211" t="s">
        <v>16</v>
      </c>
      <c r="Y380" s="220" t="s">
        <v>2016</v>
      </c>
      <c r="Z380" s="216" t="s">
        <v>1776</v>
      </c>
      <c r="AA380" s="216"/>
      <c r="AB380" s="227"/>
      <c r="AC380" s="295"/>
    </row>
    <row r="381" spans="1:29" ht="15.5" x14ac:dyDescent="0.35">
      <c r="A381" s="211" t="s">
        <v>110</v>
      </c>
      <c r="B381" s="214" t="s">
        <v>2240</v>
      </c>
      <c r="C381" s="211" t="s">
        <v>110</v>
      </c>
      <c r="D381" s="215">
        <v>2274</v>
      </c>
      <c r="E381" s="215">
        <v>4998</v>
      </c>
      <c r="F381" s="211" t="s">
        <v>1891</v>
      </c>
      <c r="G381" s="211" t="s">
        <v>2015</v>
      </c>
      <c r="H381" s="216" t="s">
        <v>1767</v>
      </c>
      <c r="I381" s="217" t="s">
        <v>1772</v>
      </c>
      <c r="J381" s="211" t="s">
        <v>1763</v>
      </c>
      <c r="K381" s="211" t="s">
        <v>210</v>
      </c>
      <c r="L381" s="211" t="s">
        <v>210</v>
      </c>
      <c r="M381" s="214" t="s">
        <v>796</v>
      </c>
      <c r="N381" s="211" t="s">
        <v>642</v>
      </c>
      <c r="O381" s="211">
        <v>1</v>
      </c>
      <c r="P381" s="211" t="s">
        <v>276</v>
      </c>
      <c r="Q381" s="213" t="s">
        <v>108</v>
      </c>
      <c r="R381" s="218">
        <v>2609000</v>
      </c>
      <c r="S381" s="229">
        <f t="shared" ref="S381:S403" si="0">R381*O381</f>
        <v>2609000</v>
      </c>
      <c r="T381" s="219">
        <v>44412</v>
      </c>
      <c r="U381" s="220">
        <v>44666</v>
      </c>
      <c r="V381" s="221">
        <v>44715</v>
      </c>
      <c r="W381" s="211" t="s">
        <v>2813</v>
      </c>
      <c r="X381" s="211" t="s">
        <v>16</v>
      </c>
      <c r="Y381" s="220" t="s">
        <v>2016</v>
      </c>
      <c r="Z381" s="216" t="s">
        <v>1776</v>
      </c>
      <c r="AA381" s="216"/>
      <c r="AB381" s="227"/>
      <c r="AC381" s="295"/>
    </row>
    <row r="382" spans="1:29" ht="15.5" x14ac:dyDescent="0.35">
      <c r="A382" s="211" t="s">
        <v>110</v>
      </c>
      <c r="B382" s="214" t="s">
        <v>2240</v>
      </c>
      <c r="C382" s="211" t="s">
        <v>110</v>
      </c>
      <c r="D382" s="215">
        <v>2274</v>
      </c>
      <c r="E382" s="215">
        <v>4998</v>
      </c>
      <c r="F382" s="211" t="s">
        <v>1891</v>
      </c>
      <c r="G382" s="211" t="s">
        <v>2015</v>
      </c>
      <c r="H382" s="216" t="s">
        <v>1768</v>
      </c>
      <c r="I382" s="217" t="s">
        <v>1773</v>
      </c>
      <c r="J382" s="211" t="s">
        <v>1764</v>
      </c>
      <c r="K382" s="211" t="s">
        <v>210</v>
      </c>
      <c r="L382" s="211" t="s">
        <v>210</v>
      </c>
      <c r="M382" s="214" t="s">
        <v>796</v>
      </c>
      <c r="N382" s="211" t="s">
        <v>642</v>
      </c>
      <c r="O382" s="211">
        <v>1</v>
      </c>
      <c r="P382" s="211" t="s">
        <v>1092</v>
      </c>
      <c r="Q382" s="213" t="s">
        <v>108</v>
      </c>
      <c r="R382" s="218">
        <v>9013000</v>
      </c>
      <c r="S382" s="229">
        <f t="shared" si="0"/>
        <v>9013000</v>
      </c>
      <c r="T382" s="219">
        <v>44659</v>
      </c>
      <c r="U382" s="220">
        <v>44666</v>
      </c>
      <c r="V382" s="221">
        <v>44715</v>
      </c>
      <c r="W382" s="211" t="s">
        <v>2813</v>
      </c>
      <c r="X382" s="211" t="s">
        <v>16</v>
      </c>
      <c r="Y382" s="220" t="s">
        <v>2016</v>
      </c>
      <c r="Z382" s="216" t="s">
        <v>1776</v>
      </c>
      <c r="AA382" s="216"/>
      <c r="AB382" s="227"/>
      <c r="AC382" s="295"/>
    </row>
    <row r="383" spans="1:29" ht="15.5" x14ac:dyDescent="0.35">
      <c r="A383" s="211" t="s">
        <v>110</v>
      </c>
      <c r="B383" s="214" t="s">
        <v>2240</v>
      </c>
      <c r="C383" s="211" t="s">
        <v>110</v>
      </c>
      <c r="D383" s="215">
        <v>2274</v>
      </c>
      <c r="E383" s="215">
        <v>4998</v>
      </c>
      <c r="F383" s="211" t="s">
        <v>1891</v>
      </c>
      <c r="G383" s="211" t="s">
        <v>2015</v>
      </c>
      <c r="H383" s="216" t="s">
        <v>1769</v>
      </c>
      <c r="I383" s="217" t="s">
        <v>1774</v>
      </c>
      <c r="J383" s="211" t="s">
        <v>1765</v>
      </c>
      <c r="K383" s="211" t="s">
        <v>210</v>
      </c>
      <c r="L383" s="211" t="s">
        <v>210</v>
      </c>
      <c r="M383" s="214" t="s">
        <v>796</v>
      </c>
      <c r="N383" s="211" t="s">
        <v>642</v>
      </c>
      <c r="O383" s="211">
        <v>1</v>
      </c>
      <c r="P383" s="211" t="s">
        <v>276</v>
      </c>
      <c r="Q383" s="213" t="s">
        <v>108</v>
      </c>
      <c r="R383" s="218">
        <v>2509000</v>
      </c>
      <c r="S383" s="229">
        <f t="shared" si="0"/>
        <v>2509000</v>
      </c>
      <c r="T383" s="219">
        <v>44659</v>
      </c>
      <c r="U383" s="220">
        <v>44666</v>
      </c>
      <c r="V383" s="221">
        <v>44715</v>
      </c>
      <c r="W383" s="211" t="s">
        <v>2813</v>
      </c>
      <c r="X383" s="211" t="s">
        <v>16</v>
      </c>
      <c r="Y383" s="220" t="s">
        <v>2016</v>
      </c>
      <c r="Z383" s="216" t="s">
        <v>1776</v>
      </c>
      <c r="AA383" s="216"/>
      <c r="AB383" s="227"/>
      <c r="AC383" s="295"/>
    </row>
    <row r="384" spans="1:29" ht="15.5" x14ac:dyDescent="0.35">
      <c r="A384" s="211">
        <v>4999</v>
      </c>
      <c r="B384" s="214" t="s">
        <v>2241</v>
      </c>
      <c r="C384" s="211">
        <v>6037</v>
      </c>
      <c r="D384" s="215" t="s">
        <v>110</v>
      </c>
      <c r="E384" s="215" t="s">
        <v>110</v>
      </c>
      <c r="F384" s="211" t="s">
        <v>1891</v>
      </c>
      <c r="G384" s="211" t="s">
        <v>2015</v>
      </c>
      <c r="H384" s="216" t="s">
        <v>1770</v>
      </c>
      <c r="I384" s="217" t="s">
        <v>1775</v>
      </c>
      <c r="J384" s="211" t="s">
        <v>1875</v>
      </c>
      <c r="K384" s="211" t="s">
        <v>210</v>
      </c>
      <c r="L384" s="211" t="s">
        <v>210</v>
      </c>
      <c r="M384" s="211" t="s">
        <v>826</v>
      </c>
      <c r="N384" s="214" t="s">
        <v>14</v>
      </c>
      <c r="O384" s="211">
        <v>10</v>
      </c>
      <c r="P384" s="211" t="s">
        <v>276</v>
      </c>
      <c r="Q384" s="213" t="s">
        <v>108</v>
      </c>
      <c r="R384" s="218">
        <v>394000</v>
      </c>
      <c r="S384" s="229">
        <f t="shared" si="0"/>
        <v>3940000</v>
      </c>
      <c r="T384" s="219">
        <v>44659</v>
      </c>
      <c r="U384" s="220">
        <v>44666</v>
      </c>
      <c r="V384" s="221">
        <v>44715</v>
      </c>
      <c r="W384" s="211" t="s">
        <v>2813</v>
      </c>
      <c r="X384" s="211" t="s">
        <v>16</v>
      </c>
      <c r="Y384" s="220" t="s">
        <v>2016</v>
      </c>
      <c r="Z384" s="216" t="s">
        <v>1776</v>
      </c>
      <c r="AA384" s="216"/>
      <c r="AB384" s="227"/>
      <c r="AC384" s="295"/>
    </row>
    <row r="385" spans="1:29" ht="15.5" x14ac:dyDescent="0.35">
      <c r="A385" s="211" t="s">
        <v>110</v>
      </c>
      <c r="B385" s="214" t="s">
        <v>2189</v>
      </c>
      <c r="C385" s="211" t="s">
        <v>110</v>
      </c>
      <c r="D385" s="215">
        <v>2302</v>
      </c>
      <c r="E385" s="215">
        <v>5031</v>
      </c>
      <c r="F385" s="211" t="s">
        <v>110</v>
      </c>
      <c r="G385" s="211" t="s">
        <v>110</v>
      </c>
      <c r="H385" s="216" t="s">
        <v>1870</v>
      </c>
      <c r="I385" s="217" t="s">
        <v>1871</v>
      </c>
      <c r="J385" s="211" t="s">
        <v>1065</v>
      </c>
      <c r="K385" s="211" t="s">
        <v>1460</v>
      </c>
      <c r="L385" s="211" t="s">
        <v>1568</v>
      </c>
      <c r="M385" s="211" t="s">
        <v>1061</v>
      </c>
      <c r="N385" s="211" t="s">
        <v>642</v>
      </c>
      <c r="O385" s="211">
        <v>1</v>
      </c>
      <c r="P385" s="211" t="s">
        <v>276</v>
      </c>
      <c r="Q385" s="223" t="s">
        <v>108</v>
      </c>
      <c r="R385" s="218">
        <v>1830000</v>
      </c>
      <c r="S385" s="229">
        <f t="shared" si="0"/>
        <v>1830000</v>
      </c>
      <c r="T385" s="219">
        <v>44664</v>
      </c>
      <c r="U385" s="220">
        <v>44678</v>
      </c>
      <c r="V385" s="221">
        <v>44706</v>
      </c>
      <c r="W385" s="214" t="s">
        <v>1537</v>
      </c>
      <c r="X385" s="214" t="s">
        <v>16</v>
      </c>
      <c r="Y385" s="220" t="s">
        <v>2025</v>
      </c>
      <c r="Z385" s="216"/>
      <c r="AA385" s="216" t="s">
        <v>2036</v>
      </c>
      <c r="AB385" s="227"/>
      <c r="AC385" s="295"/>
    </row>
    <row r="386" spans="1:29" ht="31" x14ac:dyDescent="0.35">
      <c r="A386" s="211" t="s">
        <v>110</v>
      </c>
      <c r="B386" s="214" t="s">
        <v>2050</v>
      </c>
      <c r="C386" s="211" t="s">
        <v>110</v>
      </c>
      <c r="D386" s="215">
        <v>2277</v>
      </c>
      <c r="E386" s="215">
        <v>5011</v>
      </c>
      <c r="F386" s="211" t="s">
        <v>2011</v>
      </c>
      <c r="G386" s="213" t="s">
        <v>2028</v>
      </c>
      <c r="H386" s="216" t="s">
        <v>2007</v>
      </c>
      <c r="I386" s="217" t="s">
        <v>2009</v>
      </c>
      <c r="J386" s="211"/>
      <c r="K386" s="211" t="s">
        <v>35</v>
      </c>
      <c r="L386" s="211" t="s">
        <v>35</v>
      </c>
      <c r="M386" s="211" t="s">
        <v>1944</v>
      </c>
      <c r="N386" s="211" t="s">
        <v>642</v>
      </c>
      <c r="O386" s="211">
        <v>1</v>
      </c>
      <c r="P386" s="211" t="s">
        <v>1092</v>
      </c>
      <c r="Q386" s="213" t="s">
        <v>390</v>
      </c>
      <c r="R386" s="237">
        <v>47690.34</v>
      </c>
      <c r="S386" s="229">
        <f t="shared" si="0"/>
        <v>47690.34</v>
      </c>
      <c r="T386" s="219">
        <v>44534</v>
      </c>
      <c r="U386" s="220">
        <v>44670</v>
      </c>
      <c r="V386" s="221">
        <v>44666</v>
      </c>
      <c r="W386" s="211" t="s">
        <v>2813</v>
      </c>
      <c r="X386" s="211" t="s">
        <v>16</v>
      </c>
      <c r="Y386" s="220"/>
      <c r="Z386" s="224" t="s">
        <v>2027</v>
      </c>
      <c r="AA386" s="216" t="s">
        <v>1878</v>
      </c>
      <c r="AB386" s="227"/>
      <c r="AC386" s="295"/>
    </row>
    <row r="387" spans="1:29" ht="15.5" x14ac:dyDescent="0.35">
      <c r="A387" s="211">
        <v>5042</v>
      </c>
      <c r="B387" s="214" t="s">
        <v>2111</v>
      </c>
      <c r="C387" s="211">
        <v>6162</v>
      </c>
      <c r="D387" s="215" t="s">
        <v>110</v>
      </c>
      <c r="E387" s="215" t="s">
        <v>110</v>
      </c>
      <c r="F387" s="211" t="s">
        <v>110</v>
      </c>
      <c r="G387" s="211" t="s">
        <v>110</v>
      </c>
      <c r="H387" s="216" t="s">
        <v>330</v>
      </c>
      <c r="I387" s="217" t="s">
        <v>1994</v>
      </c>
      <c r="J387" s="211" t="s">
        <v>332</v>
      </c>
      <c r="K387" s="211" t="s">
        <v>321</v>
      </c>
      <c r="L387" s="211" t="s">
        <v>321</v>
      </c>
      <c r="M387" s="211" t="s">
        <v>795</v>
      </c>
      <c r="N387" s="211" t="s">
        <v>14</v>
      </c>
      <c r="O387" s="211">
        <v>1</v>
      </c>
      <c r="P387" s="211" t="s">
        <v>799</v>
      </c>
      <c r="Q387" s="213" t="s">
        <v>108</v>
      </c>
      <c r="R387" s="218">
        <v>1740000</v>
      </c>
      <c r="S387" s="229">
        <f t="shared" si="0"/>
        <v>1740000</v>
      </c>
      <c r="T387" s="219">
        <v>44666</v>
      </c>
      <c r="U387" s="227">
        <v>44673</v>
      </c>
      <c r="V387" s="221">
        <v>44680</v>
      </c>
      <c r="W387" s="211" t="s">
        <v>21</v>
      </c>
      <c r="X387" s="211" t="s">
        <v>16</v>
      </c>
      <c r="Y387" s="220">
        <v>44746</v>
      </c>
      <c r="Z387" s="216" t="s">
        <v>328</v>
      </c>
      <c r="AA387" s="216" t="s">
        <v>2056</v>
      </c>
      <c r="AB387" s="227" t="s">
        <v>110</v>
      </c>
      <c r="AC387" s="295"/>
    </row>
    <row r="388" spans="1:29" s="71" customFormat="1" ht="15.5" x14ac:dyDescent="0.35">
      <c r="A388" s="211">
        <v>5042</v>
      </c>
      <c r="B388" s="214" t="s">
        <v>2111</v>
      </c>
      <c r="C388" s="211">
        <v>6162</v>
      </c>
      <c r="D388" s="215" t="s">
        <v>110</v>
      </c>
      <c r="E388" s="215" t="s">
        <v>110</v>
      </c>
      <c r="F388" s="214" t="s">
        <v>110</v>
      </c>
      <c r="G388" s="214" t="s">
        <v>110</v>
      </c>
      <c r="H388" s="217" t="s">
        <v>331</v>
      </c>
      <c r="I388" s="217" t="s">
        <v>1996</v>
      </c>
      <c r="J388" s="214" t="s">
        <v>333</v>
      </c>
      <c r="K388" s="211" t="s">
        <v>321</v>
      </c>
      <c r="L388" s="211" t="s">
        <v>321</v>
      </c>
      <c r="M388" s="211" t="s">
        <v>795</v>
      </c>
      <c r="N388" s="214" t="s">
        <v>14</v>
      </c>
      <c r="O388" s="214">
        <v>2</v>
      </c>
      <c r="P388" s="214" t="s">
        <v>232</v>
      </c>
      <c r="Q388" s="223" t="s">
        <v>108</v>
      </c>
      <c r="R388" s="229">
        <v>250000</v>
      </c>
      <c r="S388" s="229">
        <f t="shared" si="0"/>
        <v>500000</v>
      </c>
      <c r="T388" s="219">
        <v>44666</v>
      </c>
      <c r="U388" s="227">
        <v>44673</v>
      </c>
      <c r="V388" s="221">
        <v>44680</v>
      </c>
      <c r="W388" s="214" t="s">
        <v>21</v>
      </c>
      <c r="X388" s="214" t="s">
        <v>16</v>
      </c>
      <c r="Y388" s="220">
        <v>44746</v>
      </c>
      <c r="Z388" s="216" t="s">
        <v>328</v>
      </c>
      <c r="AA388" s="216" t="s">
        <v>2056</v>
      </c>
      <c r="AB388" s="227" t="s">
        <v>110</v>
      </c>
      <c r="AC388" s="295"/>
    </row>
    <row r="389" spans="1:29" ht="15.5" x14ac:dyDescent="0.35">
      <c r="A389" s="211">
        <v>5043</v>
      </c>
      <c r="B389" s="214" t="s">
        <v>2122</v>
      </c>
      <c r="C389" s="211">
        <v>6163</v>
      </c>
      <c r="D389" s="215" t="s">
        <v>110</v>
      </c>
      <c r="E389" s="215" t="s">
        <v>110</v>
      </c>
      <c r="F389" s="214" t="s">
        <v>110</v>
      </c>
      <c r="G389" s="214" t="s">
        <v>110</v>
      </c>
      <c r="H389" s="216" t="s">
        <v>2018</v>
      </c>
      <c r="I389" s="217" t="s">
        <v>2019</v>
      </c>
      <c r="J389" s="211" t="s">
        <v>2017</v>
      </c>
      <c r="K389" s="211" t="s">
        <v>99</v>
      </c>
      <c r="L389" s="211" t="s">
        <v>99</v>
      </c>
      <c r="M389" s="211" t="s">
        <v>123</v>
      </c>
      <c r="N389" s="211" t="s">
        <v>14</v>
      </c>
      <c r="O389" s="211">
        <v>6</v>
      </c>
      <c r="P389" s="211" t="s">
        <v>37</v>
      </c>
      <c r="Q389" s="213" t="s">
        <v>108</v>
      </c>
      <c r="R389" s="218">
        <v>2051000</v>
      </c>
      <c r="S389" s="229">
        <f t="shared" si="0"/>
        <v>12306000</v>
      </c>
      <c r="T389" s="219">
        <v>44666</v>
      </c>
      <c r="U389" s="220">
        <v>44685</v>
      </c>
      <c r="V389" s="221">
        <v>44687</v>
      </c>
      <c r="W389" s="211" t="s">
        <v>21</v>
      </c>
      <c r="X389" s="211" t="s">
        <v>16</v>
      </c>
      <c r="Y389" s="220">
        <v>44777</v>
      </c>
      <c r="Z389" s="216"/>
      <c r="AA389" s="216"/>
      <c r="AB389" s="227"/>
      <c r="AC389" s="295"/>
    </row>
    <row r="390" spans="1:29" ht="15.5" x14ac:dyDescent="0.35">
      <c r="A390" s="211">
        <v>5048</v>
      </c>
      <c r="B390" s="214" t="s">
        <v>2123</v>
      </c>
      <c r="C390" s="211">
        <v>6164</v>
      </c>
      <c r="D390" s="215" t="s">
        <v>110</v>
      </c>
      <c r="E390" s="215" t="s">
        <v>110</v>
      </c>
      <c r="F390" s="214" t="s">
        <v>110</v>
      </c>
      <c r="G390" s="214" t="s">
        <v>110</v>
      </c>
      <c r="H390" s="216" t="s">
        <v>1883</v>
      </c>
      <c r="I390" s="217" t="s">
        <v>2045</v>
      </c>
      <c r="J390" s="211" t="s">
        <v>2046</v>
      </c>
      <c r="K390" s="211" t="s">
        <v>99</v>
      </c>
      <c r="L390" s="211" t="s">
        <v>99</v>
      </c>
      <c r="M390" s="211" t="s">
        <v>124</v>
      </c>
      <c r="N390" s="211" t="s">
        <v>14</v>
      </c>
      <c r="O390" s="211">
        <v>1</v>
      </c>
      <c r="P390" s="211" t="s">
        <v>44</v>
      </c>
      <c r="Q390" s="213" t="s">
        <v>108</v>
      </c>
      <c r="R390" s="218">
        <v>1883000</v>
      </c>
      <c r="S390" s="229">
        <f t="shared" si="0"/>
        <v>1883000</v>
      </c>
      <c r="T390" s="219">
        <v>44666</v>
      </c>
      <c r="U390" s="220">
        <v>44727</v>
      </c>
      <c r="V390" s="221">
        <v>44687</v>
      </c>
      <c r="W390" s="214" t="s">
        <v>1537</v>
      </c>
      <c r="X390" s="214" t="s">
        <v>16</v>
      </c>
      <c r="Y390" s="220" t="s">
        <v>2044</v>
      </c>
      <c r="Z390" s="216"/>
      <c r="AA390" s="216" t="s">
        <v>2056</v>
      </c>
      <c r="AB390" s="227" t="s">
        <v>110</v>
      </c>
      <c r="AC390" s="295"/>
    </row>
    <row r="391" spans="1:29" ht="15.5" x14ac:dyDescent="0.35">
      <c r="A391" s="211">
        <v>5081</v>
      </c>
      <c r="B391" s="214" t="s">
        <v>2118</v>
      </c>
      <c r="C391" s="211">
        <v>6177</v>
      </c>
      <c r="D391" s="215" t="s">
        <v>110</v>
      </c>
      <c r="E391" s="215" t="s">
        <v>110</v>
      </c>
      <c r="F391" s="214" t="s">
        <v>110</v>
      </c>
      <c r="G391" s="214" t="s">
        <v>110</v>
      </c>
      <c r="H391" s="216" t="s">
        <v>1019</v>
      </c>
      <c r="I391" s="217" t="s">
        <v>1020</v>
      </c>
      <c r="J391" s="211" t="s">
        <v>1235</v>
      </c>
      <c r="K391" s="211" t="s">
        <v>1237</v>
      </c>
      <c r="L391" s="211" t="s">
        <v>1238</v>
      </c>
      <c r="M391" s="211" t="s">
        <v>795</v>
      </c>
      <c r="N391" s="211" t="s">
        <v>14</v>
      </c>
      <c r="O391" s="211">
        <v>36</v>
      </c>
      <c r="P391" s="211" t="s">
        <v>1015</v>
      </c>
      <c r="Q391" s="213" t="s">
        <v>108</v>
      </c>
      <c r="R391" s="218">
        <v>814800</v>
      </c>
      <c r="S391" s="229">
        <f t="shared" si="0"/>
        <v>29332800</v>
      </c>
      <c r="T391" s="219">
        <v>44670</v>
      </c>
      <c r="U391" s="220">
        <v>44685</v>
      </c>
      <c r="V391" s="221">
        <v>44685</v>
      </c>
      <c r="W391" s="214" t="s">
        <v>2577</v>
      </c>
      <c r="X391" s="214" t="s">
        <v>16</v>
      </c>
      <c r="Y391" s="220">
        <v>44658</v>
      </c>
      <c r="Z391" s="216"/>
      <c r="AA391" s="216" t="s">
        <v>2055</v>
      </c>
      <c r="AB391" s="227"/>
      <c r="AC391" s="295"/>
    </row>
    <row r="392" spans="1:29" ht="31" x14ac:dyDescent="0.35">
      <c r="A392" s="211">
        <v>5118</v>
      </c>
      <c r="B392" s="214" t="s">
        <v>2124</v>
      </c>
      <c r="C392" s="211">
        <v>6243</v>
      </c>
      <c r="D392" s="215" t="s">
        <v>110</v>
      </c>
      <c r="E392" s="215" t="s">
        <v>110</v>
      </c>
      <c r="F392" s="215" t="s">
        <v>110</v>
      </c>
      <c r="G392" s="215" t="s">
        <v>110</v>
      </c>
      <c r="H392" s="216" t="s">
        <v>1988</v>
      </c>
      <c r="I392" s="217" t="s">
        <v>1989</v>
      </c>
      <c r="J392" s="211" t="s">
        <v>2069</v>
      </c>
      <c r="K392" s="211" t="s">
        <v>2054</v>
      </c>
      <c r="L392" s="211" t="s">
        <v>99</v>
      </c>
      <c r="M392" s="211" t="s">
        <v>123</v>
      </c>
      <c r="N392" s="211" t="s">
        <v>14</v>
      </c>
      <c r="O392" s="211">
        <v>5</v>
      </c>
      <c r="P392" s="211" t="s">
        <v>37</v>
      </c>
      <c r="Q392" s="213" t="s">
        <v>108</v>
      </c>
      <c r="R392" s="218">
        <v>3884000</v>
      </c>
      <c r="S392" s="229">
        <f t="shared" si="0"/>
        <v>19420000</v>
      </c>
      <c r="T392" s="219">
        <v>44670</v>
      </c>
      <c r="U392" s="220">
        <v>44686</v>
      </c>
      <c r="V392" s="221">
        <v>44687</v>
      </c>
      <c r="W392" s="214" t="s">
        <v>2577</v>
      </c>
      <c r="X392" s="211" t="s">
        <v>16</v>
      </c>
      <c r="Y392" s="220" t="s">
        <v>1992</v>
      </c>
      <c r="Z392" s="216"/>
      <c r="AA392" s="224" t="s">
        <v>1990</v>
      </c>
      <c r="AB392" s="227">
        <v>44670</v>
      </c>
      <c r="AC392" s="295"/>
    </row>
    <row r="393" spans="1:29" ht="15.5" x14ac:dyDescent="0.35">
      <c r="A393" s="211" t="s">
        <v>110</v>
      </c>
      <c r="B393" s="214" t="s">
        <v>2245</v>
      </c>
      <c r="C393" s="211" t="s">
        <v>110</v>
      </c>
      <c r="D393" s="215">
        <v>2340</v>
      </c>
      <c r="E393" s="215">
        <v>5114</v>
      </c>
      <c r="F393" s="214" t="s">
        <v>2043</v>
      </c>
      <c r="G393" s="214" t="s">
        <v>2064</v>
      </c>
      <c r="H393" s="217" t="s">
        <v>1223</v>
      </c>
      <c r="I393" s="217" t="s">
        <v>1178</v>
      </c>
      <c r="J393" s="214" t="s">
        <v>1222</v>
      </c>
      <c r="K393" s="214" t="s">
        <v>1179</v>
      </c>
      <c r="L393" s="214" t="s">
        <v>1179</v>
      </c>
      <c r="M393" s="214" t="s">
        <v>796</v>
      </c>
      <c r="N393" s="214" t="s">
        <v>642</v>
      </c>
      <c r="O393" s="214">
        <v>3</v>
      </c>
      <c r="P393" s="214" t="s">
        <v>44</v>
      </c>
      <c r="Q393" s="223" t="s">
        <v>108</v>
      </c>
      <c r="R393" s="229">
        <v>5800000</v>
      </c>
      <c r="S393" s="229">
        <f t="shared" si="0"/>
        <v>17400000</v>
      </c>
      <c r="T393" s="230">
        <v>44671</v>
      </c>
      <c r="U393" s="227">
        <v>44701</v>
      </c>
      <c r="V393" s="231">
        <v>44720</v>
      </c>
      <c r="W393" s="214" t="s">
        <v>2813</v>
      </c>
      <c r="X393" s="214" t="s">
        <v>16</v>
      </c>
      <c r="Y393" s="220" t="s">
        <v>2037</v>
      </c>
      <c r="Z393" s="216"/>
      <c r="AA393" s="216" t="s">
        <v>2035</v>
      </c>
      <c r="AB393" s="227">
        <v>44665</v>
      </c>
      <c r="AC393" s="295"/>
    </row>
    <row r="394" spans="1:29" ht="15.5" x14ac:dyDescent="0.35">
      <c r="A394" s="211">
        <v>5204</v>
      </c>
      <c r="B394" s="214" t="s">
        <v>2141</v>
      </c>
      <c r="C394" s="211">
        <v>6268</v>
      </c>
      <c r="D394" s="215" t="s">
        <v>110</v>
      </c>
      <c r="E394" s="215" t="s">
        <v>110</v>
      </c>
      <c r="F394" s="211" t="s">
        <v>110</v>
      </c>
      <c r="G394" s="211" t="s">
        <v>110</v>
      </c>
      <c r="H394" s="216" t="s">
        <v>1976</v>
      </c>
      <c r="I394" s="217" t="s">
        <v>1977</v>
      </c>
      <c r="J394" s="211" t="s">
        <v>1983</v>
      </c>
      <c r="K394" s="211" t="s">
        <v>925</v>
      </c>
      <c r="L394" s="211" t="s">
        <v>925</v>
      </c>
      <c r="M394" s="211" t="s">
        <v>826</v>
      </c>
      <c r="N394" s="211" t="s">
        <v>14</v>
      </c>
      <c r="O394" s="211">
        <v>4</v>
      </c>
      <c r="P394" s="211" t="s">
        <v>37</v>
      </c>
      <c r="Q394" s="213" t="s">
        <v>108</v>
      </c>
      <c r="R394" s="218">
        <v>71315</v>
      </c>
      <c r="S394" s="229">
        <f t="shared" si="0"/>
        <v>285260</v>
      </c>
      <c r="T394" s="219">
        <v>44673</v>
      </c>
      <c r="U394" s="220">
        <v>44678</v>
      </c>
      <c r="V394" s="221">
        <v>44691</v>
      </c>
      <c r="W394" s="214" t="s">
        <v>2577</v>
      </c>
      <c r="X394" s="211" t="s">
        <v>53</v>
      </c>
      <c r="Y394" s="220" t="s">
        <v>1991</v>
      </c>
      <c r="Z394" s="216" t="s">
        <v>2087</v>
      </c>
      <c r="AA394" s="216" t="s">
        <v>1987</v>
      </c>
      <c r="AB394" s="227" t="s">
        <v>110</v>
      </c>
      <c r="AC394" s="295"/>
    </row>
    <row r="395" spans="1:29" ht="15.5" x14ac:dyDescent="0.35">
      <c r="A395" s="211">
        <v>5204</v>
      </c>
      <c r="B395" s="214" t="s">
        <v>2141</v>
      </c>
      <c r="C395" s="211">
        <v>6268</v>
      </c>
      <c r="D395" s="215" t="s">
        <v>110</v>
      </c>
      <c r="E395" s="215" t="s">
        <v>110</v>
      </c>
      <c r="F395" s="211" t="s">
        <v>110</v>
      </c>
      <c r="G395" s="211" t="s">
        <v>110</v>
      </c>
      <c r="H395" s="216" t="s">
        <v>2140</v>
      </c>
      <c r="I395" s="217" t="s">
        <v>1978</v>
      </c>
      <c r="J395" s="211" t="s">
        <v>1984</v>
      </c>
      <c r="K395" s="211" t="s">
        <v>925</v>
      </c>
      <c r="L395" s="211" t="s">
        <v>925</v>
      </c>
      <c r="M395" s="211" t="s">
        <v>826</v>
      </c>
      <c r="N395" s="211" t="s">
        <v>14</v>
      </c>
      <c r="O395" s="211">
        <v>10</v>
      </c>
      <c r="P395" s="211" t="s">
        <v>37</v>
      </c>
      <c r="Q395" s="213" t="s">
        <v>108</v>
      </c>
      <c r="R395" s="218">
        <v>15013</v>
      </c>
      <c r="S395" s="229">
        <f t="shared" si="0"/>
        <v>150130</v>
      </c>
      <c r="T395" s="219">
        <v>44673</v>
      </c>
      <c r="U395" s="220">
        <v>44678</v>
      </c>
      <c r="V395" s="221">
        <v>44691</v>
      </c>
      <c r="W395" s="214" t="s">
        <v>2577</v>
      </c>
      <c r="X395" s="211" t="s">
        <v>53</v>
      </c>
      <c r="Y395" s="220" t="s">
        <v>1991</v>
      </c>
      <c r="Z395" s="216" t="s">
        <v>2087</v>
      </c>
      <c r="AA395" s="216" t="s">
        <v>1987</v>
      </c>
      <c r="AB395" s="227" t="s">
        <v>110</v>
      </c>
      <c r="AC395" s="295"/>
    </row>
    <row r="396" spans="1:29" ht="15.5" x14ac:dyDescent="0.35">
      <c r="A396" s="211">
        <v>5204</v>
      </c>
      <c r="B396" s="214" t="s">
        <v>2141</v>
      </c>
      <c r="C396" s="211">
        <v>6268</v>
      </c>
      <c r="D396" s="215" t="s">
        <v>110</v>
      </c>
      <c r="E396" s="215" t="s">
        <v>110</v>
      </c>
      <c r="F396" s="211" t="s">
        <v>110</v>
      </c>
      <c r="G396" s="211" t="s">
        <v>110</v>
      </c>
      <c r="H396" s="216" t="s">
        <v>1981</v>
      </c>
      <c r="I396" s="217" t="s">
        <v>1982</v>
      </c>
      <c r="J396" s="211" t="s">
        <v>1985</v>
      </c>
      <c r="K396" s="211" t="s">
        <v>925</v>
      </c>
      <c r="L396" s="211" t="s">
        <v>925</v>
      </c>
      <c r="M396" s="211" t="s">
        <v>826</v>
      </c>
      <c r="N396" s="211" t="s">
        <v>14</v>
      </c>
      <c r="O396" s="211">
        <v>10</v>
      </c>
      <c r="P396" s="211" t="s">
        <v>37</v>
      </c>
      <c r="Q396" s="213" t="s">
        <v>108</v>
      </c>
      <c r="R396" s="218">
        <v>19809</v>
      </c>
      <c r="S396" s="229">
        <f t="shared" si="0"/>
        <v>198090</v>
      </c>
      <c r="T396" s="219">
        <v>44673</v>
      </c>
      <c r="U396" s="220">
        <v>44678</v>
      </c>
      <c r="V396" s="221">
        <v>44691</v>
      </c>
      <c r="W396" s="214" t="s">
        <v>2577</v>
      </c>
      <c r="X396" s="211" t="s">
        <v>53</v>
      </c>
      <c r="Y396" s="220" t="s">
        <v>1991</v>
      </c>
      <c r="Z396" s="216" t="s">
        <v>2087</v>
      </c>
      <c r="AA396" s="216" t="s">
        <v>1987</v>
      </c>
      <c r="AB396" s="227" t="s">
        <v>110</v>
      </c>
      <c r="AC396" s="295"/>
    </row>
    <row r="397" spans="1:29" ht="15.5" x14ac:dyDescent="0.35">
      <c r="A397" s="211">
        <v>5160</v>
      </c>
      <c r="B397" s="214" t="s">
        <v>2452</v>
      </c>
      <c r="C397" s="211">
        <v>6332</v>
      </c>
      <c r="D397" s="215" t="s">
        <v>110</v>
      </c>
      <c r="E397" s="215" t="s">
        <v>110</v>
      </c>
      <c r="F397" s="211" t="s">
        <v>2047</v>
      </c>
      <c r="G397" s="211" t="s">
        <v>2063</v>
      </c>
      <c r="H397" s="216" t="s">
        <v>1873</v>
      </c>
      <c r="I397" s="217" t="s">
        <v>1872</v>
      </c>
      <c r="J397" s="211" t="s">
        <v>1874</v>
      </c>
      <c r="K397" s="211" t="s">
        <v>1460</v>
      </c>
      <c r="L397" s="211" t="s">
        <v>99</v>
      </c>
      <c r="M397" s="211" t="s">
        <v>124</v>
      </c>
      <c r="N397" s="211" t="s">
        <v>14</v>
      </c>
      <c r="O397" s="211">
        <v>1</v>
      </c>
      <c r="P397" s="214" t="s">
        <v>276</v>
      </c>
      <c r="Q397" s="213" t="s">
        <v>108</v>
      </c>
      <c r="R397" s="218">
        <v>37943000</v>
      </c>
      <c r="S397" s="229">
        <f t="shared" si="0"/>
        <v>37943000</v>
      </c>
      <c r="T397" s="219">
        <v>44676</v>
      </c>
      <c r="U397" s="220">
        <v>44780</v>
      </c>
      <c r="V397" s="221">
        <v>44781</v>
      </c>
      <c r="W397" s="214" t="s">
        <v>1537</v>
      </c>
      <c r="X397" s="214" t="s">
        <v>16</v>
      </c>
      <c r="Y397" s="220" t="s">
        <v>2025</v>
      </c>
      <c r="Z397" s="216" t="s">
        <v>2087</v>
      </c>
      <c r="AA397" s="217" t="s">
        <v>2036</v>
      </c>
      <c r="AB397" s="227">
        <v>44666</v>
      </c>
      <c r="AC397" s="295"/>
    </row>
    <row r="398" spans="1:29" ht="15.5" x14ac:dyDescent="0.35">
      <c r="A398" s="211" t="s">
        <v>110</v>
      </c>
      <c r="B398" s="214" t="s">
        <v>2259</v>
      </c>
      <c r="C398" s="211" t="s">
        <v>110</v>
      </c>
      <c r="D398" s="215">
        <v>2378</v>
      </c>
      <c r="E398" s="215">
        <v>5172</v>
      </c>
      <c r="F398" s="211" t="s">
        <v>2077</v>
      </c>
      <c r="G398" s="211" t="s">
        <v>2104</v>
      </c>
      <c r="H398" s="216" t="s">
        <v>1814</v>
      </c>
      <c r="I398" s="217" t="s">
        <v>1813</v>
      </c>
      <c r="J398" s="211" t="s">
        <v>1815</v>
      </c>
      <c r="K398" s="211" t="s">
        <v>2075</v>
      </c>
      <c r="L398" s="211" t="s">
        <v>1452</v>
      </c>
      <c r="M398" s="211" t="s">
        <v>1061</v>
      </c>
      <c r="N398" s="211" t="s">
        <v>642</v>
      </c>
      <c r="O398" s="211">
        <v>1</v>
      </c>
      <c r="P398" s="211" t="s">
        <v>37</v>
      </c>
      <c r="Q398" s="213" t="s">
        <v>108</v>
      </c>
      <c r="R398" s="218">
        <v>9800000</v>
      </c>
      <c r="S398" s="229">
        <f t="shared" si="0"/>
        <v>9800000</v>
      </c>
      <c r="T398" s="219">
        <v>44676</v>
      </c>
      <c r="U398" s="220">
        <v>44685</v>
      </c>
      <c r="V398" s="221">
        <v>44726</v>
      </c>
      <c r="W398" s="211" t="s">
        <v>2814</v>
      </c>
      <c r="X398" s="211" t="s">
        <v>16</v>
      </c>
      <c r="Y398" s="220">
        <v>44564</v>
      </c>
      <c r="Z398" s="216" t="s">
        <v>110</v>
      </c>
      <c r="AA398" s="216" t="s">
        <v>2074</v>
      </c>
      <c r="AB398" s="227">
        <v>44671</v>
      </c>
      <c r="AC398" s="295"/>
    </row>
    <row r="399" spans="1:29" ht="15.5" x14ac:dyDescent="0.35">
      <c r="A399" s="211" t="s">
        <v>110</v>
      </c>
      <c r="B399" s="214" t="s">
        <v>2158</v>
      </c>
      <c r="C399" s="211" t="s">
        <v>110</v>
      </c>
      <c r="D399" s="215">
        <v>2377</v>
      </c>
      <c r="E399" s="215">
        <v>5178</v>
      </c>
      <c r="F399" s="211" t="s">
        <v>2065</v>
      </c>
      <c r="G399" s="211" t="s">
        <v>2105</v>
      </c>
      <c r="H399" s="216" t="s">
        <v>2066</v>
      </c>
      <c r="I399" s="217" t="s">
        <v>2070</v>
      </c>
      <c r="J399" s="211" t="s">
        <v>2031</v>
      </c>
      <c r="K399" s="211" t="s">
        <v>2061</v>
      </c>
      <c r="L399" s="211" t="s">
        <v>102</v>
      </c>
      <c r="M399" s="214" t="s">
        <v>796</v>
      </c>
      <c r="N399" s="211" t="s">
        <v>642</v>
      </c>
      <c r="O399" s="211">
        <v>2</v>
      </c>
      <c r="P399" s="211" t="s">
        <v>37</v>
      </c>
      <c r="Q399" s="213" t="s">
        <v>108</v>
      </c>
      <c r="R399" s="218">
        <v>1586000</v>
      </c>
      <c r="S399" s="229">
        <f t="shared" si="0"/>
        <v>3172000</v>
      </c>
      <c r="T399" s="219">
        <v>44676</v>
      </c>
      <c r="U399" s="220">
        <v>44699</v>
      </c>
      <c r="V399" s="221">
        <v>44693</v>
      </c>
      <c r="W399" s="211" t="s">
        <v>3198</v>
      </c>
      <c r="X399" s="211" t="s">
        <v>16</v>
      </c>
      <c r="Y399" s="220" t="s">
        <v>2032</v>
      </c>
      <c r="Z399" s="216">
        <v>7</v>
      </c>
      <c r="AA399" s="216" t="s">
        <v>2071</v>
      </c>
      <c r="AB399" s="227">
        <v>44670</v>
      </c>
      <c r="AC399" s="295"/>
    </row>
    <row r="400" spans="1:29" ht="15.5" x14ac:dyDescent="0.35">
      <c r="A400" s="211" t="s">
        <v>110</v>
      </c>
      <c r="B400" s="214" t="s">
        <v>2173</v>
      </c>
      <c r="C400" s="211" t="s">
        <v>110</v>
      </c>
      <c r="D400" s="215">
        <v>2423</v>
      </c>
      <c r="E400" s="215">
        <v>5269</v>
      </c>
      <c r="F400" s="211" t="s">
        <v>110</v>
      </c>
      <c r="G400" s="211" t="s">
        <v>110</v>
      </c>
      <c r="H400" s="216" t="s">
        <v>2000</v>
      </c>
      <c r="I400" s="217" t="s">
        <v>1999</v>
      </c>
      <c r="J400" s="211" t="s">
        <v>2001</v>
      </c>
      <c r="K400" s="211" t="s">
        <v>2112</v>
      </c>
      <c r="L400" s="211" t="s">
        <v>99</v>
      </c>
      <c r="M400" s="214" t="s">
        <v>796</v>
      </c>
      <c r="N400" s="211" t="s">
        <v>642</v>
      </c>
      <c r="O400" s="211">
        <v>1</v>
      </c>
      <c r="P400" s="211" t="s">
        <v>37</v>
      </c>
      <c r="Q400" s="213" t="s">
        <v>108</v>
      </c>
      <c r="R400" s="218">
        <v>1160000</v>
      </c>
      <c r="S400" s="229">
        <f t="shared" si="0"/>
        <v>1160000</v>
      </c>
      <c r="T400" s="219">
        <v>44656</v>
      </c>
      <c r="U400" s="220">
        <v>44694</v>
      </c>
      <c r="V400" s="221">
        <v>44699</v>
      </c>
      <c r="W400" s="211" t="s">
        <v>2813</v>
      </c>
      <c r="X400" s="211" t="s">
        <v>16</v>
      </c>
      <c r="Y400" s="220" t="s">
        <v>2003</v>
      </c>
      <c r="Z400" s="216"/>
      <c r="AA400" s="216" t="s">
        <v>2002</v>
      </c>
      <c r="AB400" s="227" t="s">
        <v>110</v>
      </c>
      <c r="AC400" s="295"/>
    </row>
    <row r="401" spans="1:29" ht="15.5" x14ac:dyDescent="0.35">
      <c r="A401" s="214">
        <v>5203</v>
      </c>
      <c r="B401" s="214" t="s">
        <v>2134</v>
      </c>
      <c r="C401" s="214">
        <v>6358</v>
      </c>
      <c r="D401" s="215" t="s">
        <v>110</v>
      </c>
      <c r="E401" s="215" t="s">
        <v>110</v>
      </c>
      <c r="F401" s="211" t="s">
        <v>110</v>
      </c>
      <c r="G401" s="211" t="s">
        <v>110</v>
      </c>
      <c r="H401" s="217" t="s">
        <v>717</v>
      </c>
      <c r="I401" s="217" t="s">
        <v>1489</v>
      </c>
      <c r="J401" s="211" t="s">
        <v>2966</v>
      </c>
      <c r="K401" s="214" t="s">
        <v>1241</v>
      </c>
      <c r="L401" s="211" t="s">
        <v>718</v>
      </c>
      <c r="M401" s="214" t="s">
        <v>327</v>
      </c>
      <c r="N401" s="214" t="s">
        <v>14</v>
      </c>
      <c r="O401" s="214">
        <v>80</v>
      </c>
      <c r="P401" s="214" t="s">
        <v>719</v>
      </c>
      <c r="Q401" s="223" t="s">
        <v>108</v>
      </c>
      <c r="R401" s="229">
        <v>687500</v>
      </c>
      <c r="S401" s="229">
        <f t="shared" si="0"/>
        <v>55000000</v>
      </c>
      <c r="T401" s="230">
        <v>44678</v>
      </c>
      <c r="U401" s="220">
        <v>44687</v>
      </c>
      <c r="V401" s="231">
        <v>44690</v>
      </c>
      <c r="W401" s="214" t="s">
        <v>21</v>
      </c>
      <c r="X401" s="214" t="s">
        <v>16</v>
      </c>
      <c r="Y401" s="220" t="s">
        <v>2072</v>
      </c>
      <c r="Z401" s="216" t="s">
        <v>328</v>
      </c>
      <c r="AA401" s="216" t="s">
        <v>2076</v>
      </c>
      <c r="AB401" s="227" t="s">
        <v>110</v>
      </c>
      <c r="AC401" s="295"/>
    </row>
    <row r="402" spans="1:29" ht="15.5" x14ac:dyDescent="0.35">
      <c r="A402" s="211">
        <v>5267</v>
      </c>
      <c r="B402" s="214" t="s">
        <v>2167</v>
      </c>
      <c r="C402" s="211">
        <v>6486</v>
      </c>
      <c r="D402" s="215" t="s">
        <v>110</v>
      </c>
      <c r="E402" s="215" t="s">
        <v>110</v>
      </c>
      <c r="F402" s="211" t="s">
        <v>110</v>
      </c>
      <c r="G402" s="211" t="s">
        <v>110</v>
      </c>
      <c r="H402" s="216" t="s">
        <v>330</v>
      </c>
      <c r="I402" s="217" t="s">
        <v>1994</v>
      </c>
      <c r="J402" s="211" t="s">
        <v>332</v>
      </c>
      <c r="K402" s="211" t="s">
        <v>321</v>
      </c>
      <c r="L402" s="211" t="s">
        <v>321</v>
      </c>
      <c r="M402" s="211" t="s">
        <v>795</v>
      </c>
      <c r="N402" s="211" t="s">
        <v>14</v>
      </c>
      <c r="O402" s="211">
        <v>2</v>
      </c>
      <c r="P402" s="211" t="s">
        <v>799</v>
      </c>
      <c r="Q402" s="213" t="s">
        <v>108</v>
      </c>
      <c r="R402" s="218">
        <v>1740000</v>
      </c>
      <c r="S402" s="229">
        <f t="shared" si="0"/>
        <v>3480000</v>
      </c>
      <c r="T402" s="219">
        <v>44686</v>
      </c>
      <c r="U402" s="227">
        <v>44693</v>
      </c>
      <c r="V402" s="221">
        <v>44694</v>
      </c>
      <c r="W402" s="211" t="s">
        <v>21</v>
      </c>
      <c r="X402" s="211" t="s">
        <v>16</v>
      </c>
      <c r="Y402" s="220">
        <v>44686</v>
      </c>
      <c r="Z402" s="216" t="s">
        <v>328</v>
      </c>
      <c r="AA402" s="216" t="s">
        <v>2056</v>
      </c>
      <c r="AB402" s="227" t="s">
        <v>110</v>
      </c>
      <c r="AC402" s="295"/>
    </row>
    <row r="403" spans="1:29" s="71" customFormat="1" ht="15.5" x14ac:dyDescent="0.35">
      <c r="A403" s="211">
        <v>5267</v>
      </c>
      <c r="B403" s="214" t="s">
        <v>2167</v>
      </c>
      <c r="C403" s="211">
        <v>6486</v>
      </c>
      <c r="D403" s="215" t="s">
        <v>110</v>
      </c>
      <c r="E403" s="215" t="s">
        <v>110</v>
      </c>
      <c r="F403" s="214" t="s">
        <v>110</v>
      </c>
      <c r="G403" s="214" t="s">
        <v>110</v>
      </c>
      <c r="H403" s="217" t="s">
        <v>331</v>
      </c>
      <c r="I403" s="217" t="s">
        <v>1996</v>
      </c>
      <c r="J403" s="214" t="s">
        <v>333</v>
      </c>
      <c r="K403" s="211" t="s">
        <v>321</v>
      </c>
      <c r="L403" s="211" t="s">
        <v>321</v>
      </c>
      <c r="M403" s="211" t="s">
        <v>795</v>
      </c>
      <c r="N403" s="214" t="s">
        <v>14</v>
      </c>
      <c r="O403" s="214">
        <v>2</v>
      </c>
      <c r="P403" s="214" t="s">
        <v>232</v>
      </c>
      <c r="Q403" s="223" t="s">
        <v>108</v>
      </c>
      <c r="R403" s="229">
        <v>250000</v>
      </c>
      <c r="S403" s="229">
        <f t="shared" si="0"/>
        <v>500000</v>
      </c>
      <c r="T403" s="219">
        <v>44686</v>
      </c>
      <c r="U403" s="227">
        <v>44693</v>
      </c>
      <c r="V403" s="221">
        <v>44694</v>
      </c>
      <c r="W403" s="214" t="s">
        <v>21</v>
      </c>
      <c r="X403" s="214" t="s">
        <v>16</v>
      </c>
      <c r="Y403" s="220">
        <v>44686</v>
      </c>
      <c r="Z403" s="216" t="s">
        <v>328</v>
      </c>
      <c r="AA403" s="216" t="s">
        <v>2056</v>
      </c>
      <c r="AB403" s="227" t="s">
        <v>110</v>
      </c>
      <c r="AC403" s="295"/>
    </row>
    <row r="404" spans="1:29" ht="15.5" x14ac:dyDescent="0.35">
      <c r="A404" s="211">
        <v>5459</v>
      </c>
      <c r="B404" s="214" t="s">
        <v>2384</v>
      </c>
      <c r="C404" s="211">
        <v>6741</v>
      </c>
      <c r="D404" s="215" t="s">
        <v>110</v>
      </c>
      <c r="E404" s="215" t="s">
        <v>110</v>
      </c>
      <c r="F404" s="211" t="s">
        <v>110</v>
      </c>
      <c r="G404" s="211" t="s">
        <v>110</v>
      </c>
      <c r="H404" s="216" t="s">
        <v>1885</v>
      </c>
      <c r="I404" s="217" t="s">
        <v>1887</v>
      </c>
      <c r="J404" s="211" t="s">
        <v>1884</v>
      </c>
      <c r="K404" s="211" t="s">
        <v>1450</v>
      </c>
      <c r="L404" s="211" t="s">
        <v>1450</v>
      </c>
      <c r="M404" s="211" t="s">
        <v>123</v>
      </c>
      <c r="N404" s="211" t="s">
        <v>14</v>
      </c>
      <c r="O404" s="211">
        <v>2</v>
      </c>
      <c r="P404" s="211" t="s">
        <v>37</v>
      </c>
      <c r="Q404" s="213" t="s">
        <v>108</v>
      </c>
      <c r="R404" s="218">
        <v>12493000</v>
      </c>
      <c r="S404" s="229">
        <f t="shared" ref="S404:S418" si="1">R404*O404</f>
        <v>24986000</v>
      </c>
      <c r="T404" s="219">
        <v>44699</v>
      </c>
      <c r="U404" s="220">
        <v>44732</v>
      </c>
      <c r="V404" s="221">
        <v>44764</v>
      </c>
      <c r="W404" s="214" t="s">
        <v>1537</v>
      </c>
      <c r="X404" s="214" t="s">
        <v>16</v>
      </c>
      <c r="Y404" s="220" t="s">
        <v>2172</v>
      </c>
      <c r="Z404" s="216" t="s">
        <v>2087</v>
      </c>
      <c r="AA404" s="214" t="s">
        <v>1886</v>
      </c>
      <c r="AB404" s="227" t="s">
        <v>110</v>
      </c>
      <c r="AC404" s="295"/>
    </row>
    <row r="405" spans="1:29" ht="15.5" x14ac:dyDescent="0.35">
      <c r="A405" s="211">
        <v>5329</v>
      </c>
      <c r="B405" s="214" t="s">
        <v>2288</v>
      </c>
      <c r="C405" s="211">
        <v>6531</v>
      </c>
      <c r="D405" s="215" t="s">
        <v>110</v>
      </c>
      <c r="E405" s="215" t="s">
        <v>110</v>
      </c>
      <c r="F405" s="211" t="s">
        <v>2100</v>
      </c>
      <c r="G405" s="211" t="s">
        <v>2125</v>
      </c>
      <c r="H405" s="216" t="s">
        <v>1979</v>
      </c>
      <c r="I405" s="217" t="s">
        <v>1980</v>
      </c>
      <c r="J405" s="211" t="s">
        <v>1986</v>
      </c>
      <c r="K405" s="211" t="s">
        <v>925</v>
      </c>
      <c r="L405" s="211" t="s">
        <v>1751</v>
      </c>
      <c r="M405" s="211" t="s">
        <v>826</v>
      </c>
      <c r="N405" s="211" t="s">
        <v>14</v>
      </c>
      <c r="O405" s="211">
        <v>4</v>
      </c>
      <c r="P405" s="211" t="s">
        <v>37</v>
      </c>
      <c r="Q405" s="213" t="s">
        <v>108</v>
      </c>
      <c r="R405" s="218">
        <v>1200000</v>
      </c>
      <c r="S405" s="229">
        <f t="shared" si="1"/>
        <v>4800000</v>
      </c>
      <c r="T405" s="219">
        <v>44690</v>
      </c>
      <c r="U405" s="220">
        <v>44735</v>
      </c>
      <c r="V405" s="221">
        <v>44735</v>
      </c>
      <c r="W405" s="214" t="s">
        <v>2577</v>
      </c>
      <c r="X405" s="211" t="s">
        <v>53</v>
      </c>
      <c r="Y405" s="220" t="s">
        <v>1991</v>
      </c>
      <c r="Z405" s="216" t="s">
        <v>2087</v>
      </c>
      <c r="AA405" s="216" t="s">
        <v>1987</v>
      </c>
      <c r="AB405" s="227">
        <v>44673</v>
      </c>
      <c r="AC405" s="295"/>
    </row>
    <row r="406" spans="1:29" ht="15.5" x14ac:dyDescent="0.35">
      <c r="A406" s="211">
        <v>5426</v>
      </c>
      <c r="B406" s="214" t="s">
        <v>2263</v>
      </c>
      <c r="C406" s="211">
        <v>6713</v>
      </c>
      <c r="D406" s="215" t="s">
        <v>110</v>
      </c>
      <c r="E406" s="215" t="s">
        <v>110</v>
      </c>
      <c r="F406" s="211" t="s">
        <v>110</v>
      </c>
      <c r="G406" s="211" t="s">
        <v>110</v>
      </c>
      <c r="H406" s="216" t="s">
        <v>2094</v>
      </c>
      <c r="I406" s="217" t="s">
        <v>829</v>
      </c>
      <c r="J406" s="211" t="s">
        <v>2004</v>
      </c>
      <c r="K406" s="211" t="s">
        <v>162</v>
      </c>
      <c r="L406" s="211" t="s">
        <v>162</v>
      </c>
      <c r="M406" s="211" t="s">
        <v>123</v>
      </c>
      <c r="N406" s="211" t="s">
        <v>14</v>
      </c>
      <c r="O406" s="211">
        <v>200</v>
      </c>
      <c r="P406" s="211" t="s">
        <v>37</v>
      </c>
      <c r="Q406" s="213" t="s">
        <v>108</v>
      </c>
      <c r="R406" s="218">
        <v>65000</v>
      </c>
      <c r="S406" s="229">
        <f t="shared" si="1"/>
        <v>13000000</v>
      </c>
      <c r="T406" s="219">
        <v>44697</v>
      </c>
      <c r="U406" s="220">
        <v>44722</v>
      </c>
      <c r="V406" s="221">
        <v>44727</v>
      </c>
      <c r="W406" s="211" t="s">
        <v>2813</v>
      </c>
      <c r="X406" s="211" t="s">
        <v>16</v>
      </c>
      <c r="Y406" s="220" t="s">
        <v>2038</v>
      </c>
      <c r="Z406" s="216" t="s">
        <v>2087</v>
      </c>
      <c r="AA406" s="216" t="s">
        <v>2005</v>
      </c>
      <c r="AB406" s="227" t="s">
        <v>110</v>
      </c>
      <c r="AC406" s="295"/>
    </row>
    <row r="407" spans="1:29" ht="15.5" x14ac:dyDescent="0.35">
      <c r="A407" s="211">
        <v>5415</v>
      </c>
      <c r="B407" s="214" t="s">
        <v>2258</v>
      </c>
      <c r="C407" s="211">
        <v>6715</v>
      </c>
      <c r="D407" s="215" t="s">
        <v>110</v>
      </c>
      <c r="E407" s="215" t="s">
        <v>110</v>
      </c>
      <c r="F407" s="215" t="s">
        <v>110</v>
      </c>
      <c r="G407" s="215" t="s">
        <v>110</v>
      </c>
      <c r="H407" s="216" t="s">
        <v>2162</v>
      </c>
      <c r="I407" s="217" t="s">
        <v>2080</v>
      </c>
      <c r="J407" s="211" t="s">
        <v>2168</v>
      </c>
      <c r="K407" s="211" t="s">
        <v>2163</v>
      </c>
      <c r="L407" s="211" t="s">
        <v>99</v>
      </c>
      <c r="M407" s="211" t="s">
        <v>826</v>
      </c>
      <c r="N407" s="211" t="s">
        <v>14</v>
      </c>
      <c r="O407" s="211">
        <v>2</v>
      </c>
      <c r="P407" s="211" t="s">
        <v>1092</v>
      </c>
      <c r="Q407" s="213" t="s">
        <v>108</v>
      </c>
      <c r="R407" s="218">
        <v>380000</v>
      </c>
      <c r="S407" s="229">
        <f t="shared" si="1"/>
        <v>760000</v>
      </c>
      <c r="T407" s="219">
        <v>44697</v>
      </c>
      <c r="U407" s="220">
        <v>44728</v>
      </c>
      <c r="V407" s="221">
        <v>44725</v>
      </c>
      <c r="W407" s="214" t="s">
        <v>1537</v>
      </c>
      <c r="X407" s="211" t="s">
        <v>53</v>
      </c>
      <c r="Y407" s="220" t="s">
        <v>2107</v>
      </c>
      <c r="Z407" s="216" t="s">
        <v>2087</v>
      </c>
      <c r="AA407" s="216" t="s">
        <v>2081</v>
      </c>
      <c r="AB407" s="227" t="s">
        <v>110</v>
      </c>
      <c r="AC407" s="295"/>
    </row>
    <row r="408" spans="1:29" ht="15.5" x14ac:dyDescent="0.35">
      <c r="A408" s="211" t="s">
        <v>110</v>
      </c>
      <c r="B408" s="214" t="s">
        <v>2186</v>
      </c>
      <c r="C408" s="211" t="s">
        <v>110</v>
      </c>
      <c r="D408" s="215">
        <v>2491</v>
      </c>
      <c r="E408" s="215">
        <v>5411</v>
      </c>
      <c r="F408" s="211" t="s">
        <v>2144</v>
      </c>
      <c r="G408" s="211" t="s">
        <v>2161</v>
      </c>
      <c r="H408" s="216" t="s">
        <v>2145</v>
      </c>
      <c r="I408" s="217" t="s">
        <v>2142</v>
      </c>
      <c r="J408" s="211" t="s">
        <v>2114</v>
      </c>
      <c r="K408" s="211" t="s">
        <v>1882</v>
      </c>
      <c r="L408" s="211" t="s">
        <v>1882</v>
      </c>
      <c r="M408" s="214" t="s">
        <v>796</v>
      </c>
      <c r="N408" s="211" t="s">
        <v>642</v>
      </c>
      <c r="O408" s="211">
        <v>1</v>
      </c>
      <c r="P408" s="211" t="s">
        <v>276</v>
      </c>
      <c r="Q408" s="213" t="s">
        <v>108</v>
      </c>
      <c r="R408" s="218">
        <v>2267000</v>
      </c>
      <c r="S408" s="229">
        <f t="shared" si="1"/>
        <v>2267000</v>
      </c>
      <c r="T408" s="219">
        <v>44697</v>
      </c>
      <c r="U408" s="220">
        <v>44707</v>
      </c>
      <c r="V408" s="221">
        <v>44704</v>
      </c>
      <c r="W408" s="211" t="s">
        <v>1565</v>
      </c>
      <c r="X408" s="211" t="s">
        <v>53</v>
      </c>
      <c r="Y408" s="220" t="s">
        <v>2116</v>
      </c>
      <c r="Z408" s="216"/>
      <c r="AA408" s="216" t="s">
        <v>2056</v>
      </c>
      <c r="AB408" s="227">
        <v>44691</v>
      </c>
      <c r="AC408" s="295"/>
    </row>
    <row r="409" spans="1:29" ht="15.5" x14ac:dyDescent="0.35">
      <c r="A409" s="211" t="s">
        <v>110</v>
      </c>
      <c r="B409" s="214" t="s">
        <v>2186</v>
      </c>
      <c r="C409" s="211" t="s">
        <v>110</v>
      </c>
      <c r="D409" s="215">
        <v>2491</v>
      </c>
      <c r="E409" s="215">
        <v>5411</v>
      </c>
      <c r="F409" s="211" t="s">
        <v>2144</v>
      </c>
      <c r="G409" s="211" t="s">
        <v>2161</v>
      </c>
      <c r="H409" s="216" t="s">
        <v>2164</v>
      </c>
      <c r="I409" s="217" t="s">
        <v>2143</v>
      </c>
      <c r="J409" s="211" t="s">
        <v>2115</v>
      </c>
      <c r="K409" s="211" t="s">
        <v>1882</v>
      </c>
      <c r="L409" s="211" t="s">
        <v>1882</v>
      </c>
      <c r="M409" s="214" t="s">
        <v>796</v>
      </c>
      <c r="N409" s="211" t="s">
        <v>642</v>
      </c>
      <c r="O409" s="211">
        <v>2</v>
      </c>
      <c r="P409" s="211" t="s">
        <v>44</v>
      </c>
      <c r="Q409" s="213" t="s">
        <v>108</v>
      </c>
      <c r="R409" s="218">
        <v>7557000</v>
      </c>
      <c r="S409" s="229">
        <f t="shared" si="1"/>
        <v>15114000</v>
      </c>
      <c r="T409" s="219">
        <v>44697</v>
      </c>
      <c r="U409" s="220">
        <v>44707</v>
      </c>
      <c r="V409" s="221">
        <v>44704</v>
      </c>
      <c r="W409" s="211" t="s">
        <v>1565</v>
      </c>
      <c r="X409" s="211" t="s">
        <v>53</v>
      </c>
      <c r="Y409" s="220" t="s">
        <v>2116</v>
      </c>
      <c r="Z409" s="216"/>
      <c r="AA409" s="216" t="s">
        <v>2056</v>
      </c>
      <c r="AB409" s="227">
        <v>44691</v>
      </c>
      <c r="AC409" s="295"/>
    </row>
    <row r="410" spans="1:29" ht="15.5" x14ac:dyDescent="0.35">
      <c r="A410" s="211" t="s">
        <v>110</v>
      </c>
      <c r="B410" s="214" t="s">
        <v>2243</v>
      </c>
      <c r="C410" s="211" t="s">
        <v>110</v>
      </c>
      <c r="D410" s="215">
        <v>2502</v>
      </c>
      <c r="E410" s="215">
        <v>5410</v>
      </c>
      <c r="F410" s="211" t="s">
        <v>110</v>
      </c>
      <c r="G410" s="211" t="s">
        <v>110</v>
      </c>
      <c r="H410" s="216" t="s">
        <v>2127</v>
      </c>
      <c r="I410" s="217" t="s">
        <v>2126</v>
      </c>
      <c r="J410" s="211" t="s">
        <v>2128</v>
      </c>
      <c r="K410" s="211" t="s">
        <v>2169</v>
      </c>
      <c r="L410" s="211" t="s">
        <v>284</v>
      </c>
      <c r="M410" s="211" t="s">
        <v>1118</v>
      </c>
      <c r="N410" s="211" t="s">
        <v>642</v>
      </c>
      <c r="O410" s="211">
        <v>20</v>
      </c>
      <c r="P410" s="211" t="s">
        <v>276</v>
      </c>
      <c r="Q410" s="213" t="s">
        <v>108</v>
      </c>
      <c r="R410" s="218">
        <v>4500</v>
      </c>
      <c r="S410" s="229">
        <f t="shared" si="1"/>
        <v>90000</v>
      </c>
      <c r="T410" s="219">
        <v>44697</v>
      </c>
      <c r="U410" s="220">
        <v>44701</v>
      </c>
      <c r="V410" s="221">
        <v>44719</v>
      </c>
      <c r="W410" s="211" t="s">
        <v>1565</v>
      </c>
      <c r="X410" s="211" t="s">
        <v>55</v>
      </c>
      <c r="Y410" s="220" t="s">
        <v>2130</v>
      </c>
      <c r="Z410" s="216"/>
      <c r="AA410" s="216" t="s">
        <v>2129</v>
      </c>
      <c r="AB410" s="227" t="s">
        <v>110</v>
      </c>
      <c r="AC410" s="295"/>
    </row>
    <row r="411" spans="1:29" ht="15.5" x14ac:dyDescent="0.35">
      <c r="A411" s="211">
        <v>5307</v>
      </c>
      <c r="B411" s="214" t="s">
        <v>2182</v>
      </c>
      <c r="C411" s="211">
        <v>6533</v>
      </c>
      <c r="D411" s="215" t="s">
        <v>110</v>
      </c>
      <c r="E411" s="215" t="s">
        <v>110</v>
      </c>
      <c r="F411" s="211" t="s">
        <v>110</v>
      </c>
      <c r="G411" s="211" t="s">
        <v>110</v>
      </c>
      <c r="H411" s="216" t="s">
        <v>1202</v>
      </c>
      <c r="I411" s="217" t="s">
        <v>1203</v>
      </c>
      <c r="J411" s="211" t="s">
        <v>1201</v>
      </c>
      <c r="K411" s="211" t="s">
        <v>1150</v>
      </c>
      <c r="L411" s="211" t="s">
        <v>218</v>
      </c>
      <c r="M411" s="211" t="s">
        <v>123</v>
      </c>
      <c r="N411" s="211" t="s">
        <v>14</v>
      </c>
      <c r="O411" s="211">
        <v>100</v>
      </c>
      <c r="P411" s="211" t="s">
        <v>47</v>
      </c>
      <c r="Q411" s="213" t="s">
        <v>108</v>
      </c>
      <c r="R411" s="218">
        <v>40000</v>
      </c>
      <c r="S411" s="229">
        <f t="shared" si="1"/>
        <v>4000000</v>
      </c>
      <c r="T411" s="219">
        <v>44444</v>
      </c>
      <c r="U411" s="220">
        <v>44697</v>
      </c>
      <c r="V411" s="221">
        <v>44701</v>
      </c>
      <c r="W411" s="211" t="s">
        <v>2813</v>
      </c>
      <c r="X411" s="211" t="s">
        <v>16</v>
      </c>
      <c r="Y411" s="220">
        <v>44690</v>
      </c>
      <c r="Z411" s="216" t="s">
        <v>328</v>
      </c>
      <c r="AA411" s="216" t="s">
        <v>2132</v>
      </c>
      <c r="AB411" s="227" t="s">
        <v>110</v>
      </c>
      <c r="AC411" s="295"/>
    </row>
    <row r="412" spans="1:29" ht="15.5" x14ac:dyDescent="0.35">
      <c r="A412" s="211" t="s">
        <v>110</v>
      </c>
      <c r="B412" s="214" t="s">
        <v>2257</v>
      </c>
      <c r="C412" s="211" t="s">
        <v>110</v>
      </c>
      <c r="D412" s="215">
        <v>2550</v>
      </c>
      <c r="E412" s="215">
        <v>5563</v>
      </c>
      <c r="F412" s="211" t="s">
        <v>110</v>
      </c>
      <c r="G412" s="211" t="s">
        <v>110</v>
      </c>
      <c r="H412" s="216" t="s">
        <v>2136</v>
      </c>
      <c r="I412" s="217" t="s">
        <v>2146</v>
      </c>
      <c r="J412" s="211" t="s">
        <v>2137</v>
      </c>
      <c r="K412" s="211" t="s">
        <v>2180</v>
      </c>
      <c r="L412" s="211" t="s">
        <v>99</v>
      </c>
      <c r="M412" s="211" t="s">
        <v>1967</v>
      </c>
      <c r="N412" s="211" t="s">
        <v>642</v>
      </c>
      <c r="O412" s="211">
        <v>5</v>
      </c>
      <c r="P412" s="211" t="s">
        <v>309</v>
      </c>
      <c r="Q412" s="213" t="s">
        <v>108</v>
      </c>
      <c r="R412" s="218">
        <v>61000</v>
      </c>
      <c r="S412" s="229">
        <f t="shared" si="1"/>
        <v>305000</v>
      </c>
      <c r="T412" s="219">
        <v>44704</v>
      </c>
      <c r="U412" s="220">
        <v>44718</v>
      </c>
      <c r="V412" s="221">
        <v>44725</v>
      </c>
      <c r="W412" s="211" t="s">
        <v>2813</v>
      </c>
      <c r="X412" s="211" t="s">
        <v>16</v>
      </c>
      <c r="Y412" s="220" t="s">
        <v>2147</v>
      </c>
      <c r="Z412" s="216"/>
      <c r="AA412" s="216" t="s">
        <v>2181</v>
      </c>
      <c r="AB412" s="227"/>
      <c r="AC412" s="295"/>
    </row>
    <row r="413" spans="1:29" ht="15.5" x14ac:dyDescent="0.35">
      <c r="A413" s="211">
        <v>5412</v>
      </c>
      <c r="B413" s="214" t="s">
        <v>2244</v>
      </c>
      <c r="C413" s="211">
        <v>6714</v>
      </c>
      <c r="D413" s="215" t="s">
        <v>110</v>
      </c>
      <c r="E413" s="215" t="s">
        <v>110</v>
      </c>
      <c r="F413" s="211" t="s">
        <v>110</v>
      </c>
      <c r="G413" s="211" t="s">
        <v>110</v>
      </c>
      <c r="H413" s="216" t="s">
        <v>1097</v>
      </c>
      <c r="I413" s="217" t="s">
        <v>1098</v>
      </c>
      <c r="J413" s="211" t="s">
        <v>1099</v>
      </c>
      <c r="K413" s="211" t="s">
        <v>99</v>
      </c>
      <c r="L413" s="211" t="s">
        <v>99</v>
      </c>
      <c r="M413" s="211" t="s">
        <v>123</v>
      </c>
      <c r="N413" s="211" t="s">
        <v>14</v>
      </c>
      <c r="O413" s="211">
        <v>10</v>
      </c>
      <c r="P413" s="211" t="s">
        <v>719</v>
      </c>
      <c r="Q413" s="213" t="s">
        <v>108</v>
      </c>
      <c r="R413" s="218">
        <v>103000</v>
      </c>
      <c r="S413" s="229">
        <f t="shared" si="1"/>
        <v>1030000</v>
      </c>
      <c r="T413" s="219">
        <v>44697</v>
      </c>
      <c r="U413" s="220">
        <v>44713</v>
      </c>
      <c r="V413" s="221">
        <v>44720</v>
      </c>
      <c r="W413" s="211" t="s">
        <v>2160</v>
      </c>
      <c r="X413" s="211" t="s">
        <v>55</v>
      </c>
      <c r="Y413" s="220" t="s">
        <v>2113</v>
      </c>
      <c r="Z413" s="216" t="s">
        <v>328</v>
      </c>
      <c r="AA413" s="216" t="s">
        <v>2155</v>
      </c>
      <c r="AB413" s="227" t="s">
        <v>110</v>
      </c>
      <c r="AC413" s="295"/>
    </row>
    <row r="414" spans="1:29" ht="15.5" x14ac:dyDescent="0.35">
      <c r="A414" s="211">
        <v>5473</v>
      </c>
      <c r="B414" s="214" t="s">
        <v>2231</v>
      </c>
      <c r="C414" s="211">
        <v>6870</v>
      </c>
      <c r="D414" s="215" t="s">
        <v>110</v>
      </c>
      <c r="E414" s="215" t="s">
        <v>110</v>
      </c>
      <c r="F414" s="211" t="s">
        <v>110</v>
      </c>
      <c r="G414" s="211" t="s">
        <v>110</v>
      </c>
      <c r="H414" s="216" t="s">
        <v>2165</v>
      </c>
      <c r="I414" s="217" t="s">
        <v>2184</v>
      </c>
      <c r="J414" s="211" t="s">
        <v>2183</v>
      </c>
      <c r="K414" s="211" t="s">
        <v>925</v>
      </c>
      <c r="L414" s="211" t="s">
        <v>925</v>
      </c>
      <c r="M414" s="211" t="s">
        <v>826</v>
      </c>
      <c r="N414" s="211" t="s">
        <v>14</v>
      </c>
      <c r="O414" s="211">
        <v>6</v>
      </c>
      <c r="P414" s="211" t="s">
        <v>276</v>
      </c>
      <c r="Q414" s="213" t="s">
        <v>108</v>
      </c>
      <c r="R414" s="218">
        <v>324461</v>
      </c>
      <c r="S414" s="229">
        <f t="shared" si="1"/>
        <v>1946766</v>
      </c>
      <c r="T414" s="219">
        <v>44704</v>
      </c>
      <c r="U414" s="220">
        <v>44713</v>
      </c>
      <c r="V414" s="221">
        <v>44714</v>
      </c>
      <c r="W414" s="211" t="s">
        <v>3198</v>
      </c>
      <c r="X414" s="211" t="s">
        <v>53</v>
      </c>
      <c r="Y414" s="220" t="s">
        <v>2171</v>
      </c>
      <c r="Z414" s="216" t="s">
        <v>2087</v>
      </c>
      <c r="AA414" s="216" t="s">
        <v>2166</v>
      </c>
      <c r="AB414" s="227"/>
      <c r="AC414" s="295"/>
    </row>
    <row r="415" spans="1:29" ht="15.5" x14ac:dyDescent="0.35">
      <c r="A415" s="211" t="s">
        <v>110</v>
      </c>
      <c r="B415" s="214" t="s">
        <v>2289</v>
      </c>
      <c r="C415" s="211" t="s">
        <v>110</v>
      </c>
      <c r="D415" s="215">
        <v>2609</v>
      </c>
      <c r="E415" s="215">
        <v>5653</v>
      </c>
      <c r="F415" s="211" t="s">
        <v>2187</v>
      </c>
      <c r="G415" s="211" t="s">
        <v>2227</v>
      </c>
      <c r="H415" s="216" t="s">
        <v>1650</v>
      </c>
      <c r="I415" s="217" t="s">
        <v>1651</v>
      </c>
      <c r="J415" s="211" t="s">
        <v>1652</v>
      </c>
      <c r="K415" s="211" t="s">
        <v>1153</v>
      </c>
      <c r="L415" s="211" t="s">
        <v>1153</v>
      </c>
      <c r="M415" s="214" t="s">
        <v>797</v>
      </c>
      <c r="N415" s="211" t="s">
        <v>642</v>
      </c>
      <c r="O415" s="211">
        <v>20</v>
      </c>
      <c r="P415" s="211" t="s">
        <v>37</v>
      </c>
      <c r="Q415" s="213" t="s">
        <v>108</v>
      </c>
      <c r="R415" s="218">
        <v>9650000</v>
      </c>
      <c r="S415" s="229">
        <f t="shared" si="1"/>
        <v>193000000</v>
      </c>
      <c r="T415" s="219">
        <v>44713</v>
      </c>
      <c r="U415" s="220">
        <v>44757</v>
      </c>
      <c r="V415" s="221">
        <v>44735</v>
      </c>
      <c r="W415" s="211" t="s">
        <v>2813</v>
      </c>
      <c r="X415" s="211" t="s">
        <v>16</v>
      </c>
      <c r="Y415" s="220" t="s">
        <v>2228</v>
      </c>
      <c r="Z415" s="216"/>
      <c r="AA415" s="216" t="s">
        <v>2188</v>
      </c>
      <c r="AB415" s="227">
        <v>44706</v>
      </c>
      <c r="AC415" s="297" t="s">
        <v>2219</v>
      </c>
    </row>
    <row r="416" spans="1:29" ht="15.5" x14ac:dyDescent="0.35">
      <c r="A416" s="211" t="s">
        <v>110</v>
      </c>
      <c r="B416" s="214" t="s">
        <v>2368</v>
      </c>
      <c r="C416" s="211" t="s">
        <v>110</v>
      </c>
      <c r="D416" s="215">
        <v>2677</v>
      </c>
      <c r="E416" s="215">
        <v>5778</v>
      </c>
      <c r="F416" s="211" t="s">
        <v>2229</v>
      </c>
      <c r="G416" s="211" t="s">
        <v>2246</v>
      </c>
      <c r="H416" s="216" t="s">
        <v>1650</v>
      </c>
      <c r="I416" s="217" t="s">
        <v>1651</v>
      </c>
      <c r="J416" s="211" t="s">
        <v>1652</v>
      </c>
      <c r="K416" s="211" t="s">
        <v>1153</v>
      </c>
      <c r="L416" s="211" t="s">
        <v>1153</v>
      </c>
      <c r="M416" s="214" t="s">
        <v>797</v>
      </c>
      <c r="N416" s="211" t="s">
        <v>642</v>
      </c>
      <c r="O416" s="211">
        <v>20</v>
      </c>
      <c r="P416" s="211" t="s">
        <v>37</v>
      </c>
      <c r="Q416" s="213" t="s">
        <v>108</v>
      </c>
      <c r="R416" s="218">
        <v>9650000</v>
      </c>
      <c r="S416" s="229">
        <f t="shared" si="1"/>
        <v>193000000</v>
      </c>
      <c r="T416" s="219">
        <v>44725</v>
      </c>
      <c r="U416" s="220">
        <v>44768</v>
      </c>
      <c r="V416" s="221">
        <v>44755</v>
      </c>
      <c r="W416" s="211" t="s">
        <v>2813</v>
      </c>
      <c r="X416" s="211" t="s">
        <v>16</v>
      </c>
      <c r="Y416" s="220">
        <v>44700</v>
      </c>
      <c r="Z416" s="216"/>
      <c r="AA416" s="216" t="s">
        <v>2188</v>
      </c>
      <c r="AB416" s="227">
        <v>44713</v>
      </c>
      <c r="AC416" s="297" t="s">
        <v>2195</v>
      </c>
    </row>
    <row r="417" spans="1:29" ht="15.5" x14ac:dyDescent="0.35">
      <c r="A417" s="211" t="s">
        <v>110</v>
      </c>
      <c r="B417" s="214" t="s">
        <v>2538</v>
      </c>
      <c r="C417" s="211" t="s">
        <v>110</v>
      </c>
      <c r="D417" s="215">
        <v>2845</v>
      </c>
      <c r="E417" s="215">
        <v>6144</v>
      </c>
      <c r="F417" s="211" t="s">
        <v>2296</v>
      </c>
      <c r="G417" s="211" t="s">
        <v>2335</v>
      </c>
      <c r="H417" s="216" t="s">
        <v>1650</v>
      </c>
      <c r="I417" s="217" t="s">
        <v>1651</v>
      </c>
      <c r="J417" s="211" t="s">
        <v>1652</v>
      </c>
      <c r="K417" s="211" t="s">
        <v>1153</v>
      </c>
      <c r="L417" s="211" t="s">
        <v>1153</v>
      </c>
      <c r="M417" s="214" t="s">
        <v>797</v>
      </c>
      <c r="N417" s="211" t="s">
        <v>642</v>
      </c>
      <c r="O417" s="211">
        <v>20</v>
      </c>
      <c r="P417" s="211" t="s">
        <v>37</v>
      </c>
      <c r="Q417" s="213" t="s">
        <v>108</v>
      </c>
      <c r="R417" s="218">
        <v>9650000</v>
      </c>
      <c r="S417" s="229">
        <f t="shared" si="1"/>
        <v>193000000</v>
      </c>
      <c r="T417" s="219">
        <v>44747</v>
      </c>
      <c r="U417" s="220">
        <v>44792</v>
      </c>
      <c r="V417" s="221">
        <v>44810</v>
      </c>
      <c r="W417" s="211" t="s">
        <v>2813</v>
      </c>
      <c r="X417" s="211" t="s">
        <v>16</v>
      </c>
      <c r="Y417" s="220">
        <v>44700</v>
      </c>
      <c r="Z417" s="216"/>
      <c r="AA417" s="216" t="s">
        <v>2188</v>
      </c>
      <c r="AB417" s="227">
        <v>44740</v>
      </c>
      <c r="AC417" s="297" t="s">
        <v>2196</v>
      </c>
    </row>
    <row r="418" spans="1:29" ht="15.5" x14ac:dyDescent="0.35">
      <c r="A418" s="211" t="s">
        <v>110</v>
      </c>
      <c r="B418" s="214" t="s">
        <v>2539</v>
      </c>
      <c r="C418" s="211" t="s">
        <v>110</v>
      </c>
      <c r="D418" s="215">
        <v>2917</v>
      </c>
      <c r="E418" s="215">
        <v>6347</v>
      </c>
      <c r="F418" s="211" t="s">
        <v>2359</v>
      </c>
      <c r="G418" s="211" t="s">
        <v>2374</v>
      </c>
      <c r="H418" s="216" t="s">
        <v>1650</v>
      </c>
      <c r="I418" s="217" t="s">
        <v>1651</v>
      </c>
      <c r="J418" s="211" t="s">
        <v>1652</v>
      </c>
      <c r="K418" s="211" t="s">
        <v>1153</v>
      </c>
      <c r="L418" s="211" t="s">
        <v>1153</v>
      </c>
      <c r="M418" s="214" t="s">
        <v>797</v>
      </c>
      <c r="N418" s="211" t="s">
        <v>642</v>
      </c>
      <c r="O418" s="211">
        <v>20</v>
      </c>
      <c r="P418" s="211" t="s">
        <v>37</v>
      </c>
      <c r="Q418" s="213" t="s">
        <v>108</v>
      </c>
      <c r="R418" s="218">
        <v>9650000</v>
      </c>
      <c r="S418" s="229">
        <f t="shared" si="1"/>
        <v>193000000</v>
      </c>
      <c r="T418" s="219">
        <v>44760</v>
      </c>
      <c r="U418" s="220">
        <v>44805</v>
      </c>
      <c r="V418" s="221">
        <v>44810</v>
      </c>
      <c r="W418" s="211" t="s">
        <v>2813</v>
      </c>
      <c r="X418" s="211" t="s">
        <v>16</v>
      </c>
      <c r="Y418" s="220">
        <v>44700</v>
      </c>
      <c r="Z418" s="216"/>
      <c r="AA418" s="216" t="s">
        <v>2188</v>
      </c>
      <c r="AB418" s="227">
        <v>44754</v>
      </c>
      <c r="AC418" s="297" t="s">
        <v>2197</v>
      </c>
    </row>
    <row r="419" spans="1:29" ht="15.5" x14ac:dyDescent="0.35">
      <c r="A419" s="211" t="s">
        <v>110</v>
      </c>
      <c r="B419" s="214" t="s">
        <v>2628</v>
      </c>
      <c r="C419" s="211" t="s">
        <v>110</v>
      </c>
      <c r="D419" s="215">
        <v>3079</v>
      </c>
      <c r="E419" s="215">
        <v>6575</v>
      </c>
      <c r="F419" s="211" t="s">
        <v>2432</v>
      </c>
      <c r="G419" s="211" t="s">
        <v>2447</v>
      </c>
      <c r="H419" s="216" t="s">
        <v>1650</v>
      </c>
      <c r="I419" s="217" t="s">
        <v>1651</v>
      </c>
      <c r="J419" s="211" t="s">
        <v>1652</v>
      </c>
      <c r="K419" s="211" t="s">
        <v>1153</v>
      </c>
      <c r="L419" s="211" t="s">
        <v>1153</v>
      </c>
      <c r="M419" s="214" t="s">
        <v>797</v>
      </c>
      <c r="N419" s="211" t="s">
        <v>642</v>
      </c>
      <c r="O419" s="211">
        <v>20</v>
      </c>
      <c r="P419" s="211" t="s">
        <v>37</v>
      </c>
      <c r="Q419" s="213" t="s">
        <v>108</v>
      </c>
      <c r="R419" s="218">
        <v>9650000</v>
      </c>
      <c r="S419" s="229">
        <f t="shared" ref="S419:S440" si="2">R419*O419</f>
        <v>193000000</v>
      </c>
      <c r="T419" s="219">
        <v>44781</v>
      </c>
      <c r="U419" s="220">
        <v>44826</v>
      </c>
      <c r="V419" s="221">
        <v>44826</v>
      </c>
      <c r="W419" s="211" t="s">
        <v>2813</v>
      </c>
      <c r="X419" s="211" t="s">
        <v>16</v>
      </c>
      <c r="Y419" s="220">
        <v>44700</v>
      </c>
      <c r="Z419" s="216"/>
      <c r="AA419" s="216" t="s">
        <v>2188</v>
      </c>
      <c r="AB419" s="227">
        <v>44776</v>
      </c>
      <c r="AC419" s="297" t="s">
        <v>2198</v>
      </c>
    </row>
    <row r="420" spans="1:29" ht="15.5" x14ac:dyDescent="0.35">
      <c r="A420" s="211" t="s">
        <v>110</v>
      </c>
      <c r="B420" s="214" t="s">
        <v>2708</v>
      </c>
      <c r="C420" s="211" t="s">
        <v>110</v>
      </c>
      <c r="D420" s="215">
        <v>3148</v>
      </c>
      <c r="E420" s="215">
        <v>6732</v>
      </c>
      <c r="F420" s="211" t="s">
        <v>2463</v>
      </c>
      <c r="G420" s="211" t="s">
        <v>2477</v>
      </c>
      <c r="H420" s="216" t="s">
        <v>1650</v>
      </c>
      <c r="I420" s="217" t="s">
        <v>1651</v>
      </c>
      <c r="J420" s="211" t="s">
        <v>1652</v>
      </c>
      <c r="K420" s="211" t="s">
        <v>1153</v>
      </c>
      <c r="L420" s="211" t="s">
        <v>1153</v>
      </c>
      <c r="M420" s="214" t="s">
        <v>797</v>
      </c>
      <c r="N420" s="211" t="s">
        <v>642</v>
      </c>
      <c r="O420" s="211">
        <v>20</v>
      </c>
      <c r="P420" s="211" t="s">
        <v>37</v>
      </c>
      <c r="Q420" s="213" t="s">
        <v>108</v>
      </c>
      <c r="R420" s="218">
        <v>9650000</v>
      </c>
      <c r="S420" s="229">
        <f t="shared" si="2"/>
        <v>193000000</v>
      </c>
      <c r="T420" s="219">
        <v>44791</v>
      </c>
      <c r="U420" s="220">
        <v>44837</v>
      </c>
      <c r="V420" s="221">
        <v>44841</v>
      </c>
      <c r="W420" s="211" t="s">
        <v>2813</v>
      </c>
      <c r="X420" s="211" t="s">
        <v>16</v>
      </c>
      <c r="Y420" s="220">
        <v>44700</v>
      </c>
      <c r="Z420" s="216"/>
      <c r="AA420" s="216" t="s">
        <v>2188</v>
      </c>
      <c r="AB420" s="227">
        <v>44784</v>
      </c>
      <c r="AC420" s="298" t="s">
        <v>2199</v>
      </c>
    </row>
    <row r="421" spans="1:29" s="71" customFormat="1" ht="15.5" x14ac:dyDescent="0.35">
      <c r="A421" s="211">
        <v>5551</v>
      </c>
      <c r="B421" s="214" t="s">
        <v>2369</v>
      </c>
      <c r="C421" s="211">
        <v>6943</v>
      </c>
      <c r="D421" s="215" t="s">
        <v>110</v>
      </c>
      <c r="E421" s="215" t="s">
        <v>110</v>
      </c>
      <c r="F421" s="211" t="s">
        <v>110</v>
      </c>
      <c r="G421" s="211" t="s">
        <v>110</v>
      </c>
      <c r="H421" s="216" t="s">
        <v>1337</v>
      </c>
      <c r="I421" s="217" t="s">
        <v>1383</v>
      </c>
      <c r="J421" s="211">
        <v>120</v>
      </c>
      <c r="K421" s="211" t="s">
        <v>99</v>
      </c>
      <c r="L421" s="211" t="s">
        <v>99</v>
      </c>
      <c r="M421" s="211" t="s">
        <v>123</v>
      </c>
      <c r="N421" s="211" t="s">
        <v>14</v>
      </c>
      <c r="O421" s="211">
        <v>400</v>
      </c>
      <c r="P421" s="211" t="s">
        <v>47</v>
      </c>
      <c r="Q421" s="213" t="s">
        <v>108</v>
      </c>
      <c r="R421" s="218">
        <v>102000</v>
      </c>
      <c r="S421" s="229">
        <f t="shared" si="2"/>
        <v>40800000</v>
      </c>
      <c r="T421" s="219">
        <v>44705</v>
      </c>
      <c r="U421" s="220">
        <v>44747</v>
      </c>
      <c r="V421" s="221">
        <v>44755</v>
      </c>
      <c r="W421" s="211" t="s">
        <v>21</v>
      </c>
      <c r="X421" s="211" t="s">
        <v>16</v>
      </c>
      <c r="Y421" s="220" t="s">
        <v>2073</v>
      </c>
      <c r="Z421" s="216" t="s">
        <v>328</v>
      </c>
      <c r="AA421" s="216" t="s">
        <v>2076</v>
      </c>
      <c r="AB421" s="227"/>
      <c r="AC421" s="295"/>
    </row>
    <row r="422" spans="1:29" ht="15.5" x14ac:dyDescent="0.35">
      <c r="A422" s="211">
        <v>5589</v>
      </c>
      <c r="B422" s="214" t="s">
        <v>2262</v>
      </c>
      <c r="C422" s="211">
        <v>6987</v>
      </c>
      <c r="D422" s="215" t="s">
        <v>110</v>
      </c>
      <c r="E422" s="215" t="s">
        <v>110</v>
      </c>
      <c r="F422" s="211" t="s">
        <v>110</v>
      </c>
      <c r="G422" s="211" t="s">
        <v>110</v>
      </c>
      <c r="H422" s="216" t="s">
        <v>1566</v>
      </c>
      <c r="I422" s="217" t="s">
        <v>1563</v>
      </c>
      <c r="J422" s="211" t="s">
        <v>1534</v>
      </c>
      <c r="K422" s="211" t="s">
        <v>162</v>
      </c>
      <c r="L422" s="211" t="s">
        <v>162</v>
      </c>
      <c r="M422" s="211" t="s">
        <v>123</v>
      </c>
      <c r="N422" s="211" t="s">
        <v>14</v>
      </c>
      <c r="O422" s="211">
        <v>10</v>
      </c>
      <c r="P422" s="211" t="s">
        <v>37</v>
      </c>
      <c r="Q422" s="226" t="s">
        <v>108</v>
      </c>
      <c r="R422" s="218">
        <v>850000</v>
      </c>
      <c r="S422" s="229">
        <f t="shared" si="2"/>
        <v>8500000</v>
      </c>
      <c r="T422" s="219">
        <v>44707</v>
      </c>
      <c r="U422" s="220">
        <v>44729</v>
      </c>
      <c r="V422" s="221">
        <v>44727</v>
      </c>
      <c r="W422" s="211" t="s">
        <v>2814</v>
      </c>
      <c r="X422" s="211" t="s">
        <v>16</v>
      </c>
      <c r="Y422" s="220">
        <v>44707</v>
      </c>
      <c r="Z422" s="216" t="s">
        <v>328</v>
      </c>
      <c r="AA422" s="216" t="s">
        <v>2056</v>
      </c>
      <c r="AB422" s="227"/>
      <c r="AC422" s="295"/>
    </row>
    <row r="423" spans="1:29" ht="15.5" x14ac:dyDescent="0.35">
      <c r="A423" s="211" t="s">
        <v>110</v>
      </c>
      <c r="B423" s="214" t="s">
        <v>2337</v>
      </c>
      <c r="C423" s="211" t="s">
        <v>110</v>
      </c>
      <c r="D423" s="215">
        <v>2742</v>
      </c>
      <c r="E423" s="215">
        <v>5891</v>
      </c>
      <c r="F423" s="211" t="s">
        <v>2264</v>
      </c>
      <c r="G423" s="211" t="s">
        <v>2271</v>
      </c>
      <c r="H423" s="216" t="s">
        <v>2190</v>
      </c>
      <c r="I423" s="217" t="s">
        <v>2191</v>
      </c>
      <c r="J423" s="211" t="s">
        <v>2192</v>
      </c>
      <c r="K423" s="211" t="s">
        <v>2193</v>
      </c>
      <c r="L423" s="211" t="s">
        <v>1751</v>
      </c>
      <c r="M423" s="211" t="s">
        <v>1061</v>
      </c>
      <c r="N423" s="211" t="s">
        <v>642</v>
      </c>
      <c r="O423" s="211">
        <v>1</v>
      </c>
      <c r="P423" s="211" t="s">
        <v>37</v>
      </c>
      <c r="Q423" s="226" t="s">
        <v>108</v>
      </c>
      <c r="R423" s="218">
        <v>6000000</v>
      </c>
      <c r="S423" s="229">
        <f t="shared" si="2"/>
        <v>6000000</v>
      </c>
      <c r="T423" s="219">
        <v>44733</v>
      </c>
      <c r="U423" s="220">
        <v>44736</v>
      </c>
      <c r="V423" s="221">
        <v>44747</v>
      </c>
      <c r="W423" s="211" t="s">
        <v>1662</v>
      </c>
      <c r="X423" s="211" t="s">
        <v>16</v>
      </c>
      <c r="Y423" s="220" t="s">
        <v>2242</v>
      </c>
      <c r="Z423" s="216"/>
      <c r="AA423" s="216" t="s">
        <v>2056</v>
      </c>
      <c r="AB423" s="227">
        <v>44725</v>
      </c>
      <c r="AC423" s="295"/>
    </row>
    <row r="424" spans="1:29" ht="15.5" x14ac:dyDescent="0.35">
      <c r="A424" s="211">
        <v>5800</v>
      </c>
      <c r="B424" s="214" t="s">
        <v>2332</v>
      </c>
      <c r="C424" s="211">
        <v>7330</v>
      </c>
      <c r="D424" s="215" t="s">
        <v>110</v>
      </c>
      <c r="E424" s="215" t="s">
        <v>110</v>
      </c>
      <c r="F424" s="211" t="s">
        <v>110</v>
      </c>
      <c r="G424" s="211" t="s">
        <v>110</v>
      </c>
      <c r="H424" s="216" t="s">
        <v>2206</v>
      </c>
      <c r="I424" s="217" t="s">
        <v>2207</v>
      </c>
      <c r="J424" s="211" t="s">
        <v>2200</v>
      </c>
      <c r="K424" s="211" t="s">
        <v>2265</v>
      </c>
      <c r="L424" s="211" t="s">
        <v>2265</v>
      </c>
      <c r="M424" s="211" t="s">
        <v>1282</v>
      </c>
      <c r="N424" s="211" t="s">
        <v>14</v>
      </c>
      <c r="O424" s="211">
        <v>100</v>
      </c>
      <c r="P424" s="211" t="s">
        <v>37</v>
      </c>
      <c r="Q424" s="226" t="s">
        <v>108</v>
      </c>
      <c r="R424" s="218">
        <v>795000</v>
      </c>
      <c r="S424" s="229">
        <f t="shared" si="2"/>
        <v>79500000</v>
      </c>
      <c r="T424" s="219">
        <v>44728</v>
      </c>
      <c r="U424" s="220">
        <v>44736</v>
      </c>
      <c r="V424" s="221">
        <v>44743</v>
      </c>
      <c r="W424" s="211" t="s">
        <v>2814</v>
      </c>
      <c r="X424" s="211" t="s">
        <v>55</v>
      </c>
      <c r="Y424" s="220" t="s">
        <v>2218</v>
      </c>
      <c r="Z424" s="216" t="s">
        <v>2087</v>
      </c>
      <c r="AA424" s="216" t="s">
        <v>2155</v>
      </c>
      <c r="AB424" s="227" t="s">
        <v>110</v>
      </c>
      <c r="AC424" s="295"/>
    </row>
    <row r="425" spans="1:29" ht="15.5" x14ac:dyDescent="0.35">
      <c r="A425" s="211">
        <v>5800</v>
      </c>
      <c r="B425" s="214" t="s">
        <v>2332</v>
      </c>
      <c r="C425" s="211">
        <v>7330</v>
      </c>
      <c r="D425" s="215" t="s">
        <v>110</v>
      </c>
      <c r="E425" s="215" t="s">
        <v>110</v>
      </c>
      <c r="F425" s="211" t="s">
        <v>110</v>
      </c>
      <c r="G425" s="211" t="s">
        <v>110</v>
      </c>
      <c r="H425" s="216" t="s">
        <v>2208</v>
      </c>
      <c r="I425" s="217" t="s">
        <v>2209</v>
      </c>
      <c r="J425" s="211" t="s">
        <v>2201</v>
      </c>
      <c r="K425" s="211" t="s">
        <v>2265</v>
      </c>
      <c r="L425" s="211" t="s">
        <v>2265</v>
      </c>
      <c r="M425" s="211" t="s">
        <v>1282</v>
      </c>
      <c r="N425" s="211" t="s">
        <v>14</v>
      </c>
      <c r="O425" s="211">
        <v>100</v>
      </c>
      <c r="P425" s="211" t="s">
        <v>37</v>
      </c>
      <c r="Q425" s="226" t="s">
        <v>108</v>
      </c>
      <c r="R425" s="218">
        <v>245000</v>
      </c>
      <c r="S425" s="229">
        <f t="shared" si="2"/>
        <v>24500000</v>
      </c>
      <c r="T425" s="219">
        <v>44728</v>
      </c>
      <c r="U425" s="220">
        <v>44736</v>
      </c>
      <c r="V425" s="221">
        <v>44743</v>
      </c>
      <c r="W425" s="211" t="s">
        <v>2814</v>
      </c>
      <c r="X425" s="211" t="s">
        <v>55</v>
      </c>
      <c r="Y425" s="220" t="s">
        <v>2218</v>
      </c>
      <c r="Z425" s="216" t="s">
        <v>2087</v>
      </c>
      <c r="AA425" s="216" t="s">
        <v>2155</v>
      </c>
      <c r="AB425" s="227" t="s">
        <v>110</v>
      </c>
      <c r="AC425" s="295"/>
    </row>
    <row r="426" spans="1:29" ht="15.5" x14ac:dyDescent="0.35">
      <c r="A426" s="211">
        <v>5800</v>
      </c>
      <c r="B426" s="214" t="s">
        <v>2332</v>
      </c>
      <c r="C426" s="211">
        <v>7330</v>
      </c>
      <c r="D426" s="215" t="s">
        <v>110</v>
      </c>
      <c r="E426" s="215" t="s">
        <v>110</v>
      </c>
      <c r="F426" s="211" t="s">
        <v>110</v>
      </c>
      <c r="G426" s="211" t="s">
        <v>110</v>
      </c>
      <c r="H426" s="216" t="s">
        <v>2210</v>
      </c>
      <c r="I426" s="217" t="s">
        <v>2211</v>
      </c>
      <c r="J426" s="211" t="s">
        <v>2202</v>
      </c>
      <c r="K426" s="211" t="s">
        <v>2265</v>
      </c>
      <c r="L426" s="211" t="s">
        <v>2265</v>
      </c>
      <c r="M426" s="211" t="s">
        <v>1282</v>
      </c>
      <c r="N426" s="211" t="s">
        <v>14</v>
      </c>
      <c r="O426" s="211">
        <v>100</v>
      </c>
      <c r="P426" s="211" t="s">
        <v>37</v>
      </c>
      <c r="Q426" s="226" t="s">
        <v>108</v>
      </c>
      <c r="R426" s="218">
        <v>860000</v>
      </c>
      <c r="S426" s="229">
        <f t="shared" si="2"/>
        <v>86000000</v>
      </c>
      <c r="T426" s="219">
        <v>44728</v>
      </c>
      <c r="U426" s="220">
        <v>44736</v>
      </c>
      <c r="V426" s="221">
        <v>44743</v>
      </c>
      <c r="W426" s="211" t="s">
        <v>2814</v>
      </c>
      <c r="X426" s="211" t="s">
        <v>55</v>
      </c>
      <c r="Y426" s="220" t="s">
        <v>2218</v>
      </c>
      <c r="Z426" s="216" t="s">
        <v>2087</v>
      </c>
      <c r="AA426" s="216" t="s">
        <v>2155</v>
      </c>
      <c r="AB426" s="227" t="s">
        <v>110</v>
      </c>
      <c r="AC426" s="295"/>
    </row>
    <row r="427" spans="1:29" ht="15.5" x14ac:dyDescent="0.35">
      <c r="A427" s="211">
        <v>5800</v>
      </c>
      <c r="B427" s="214" t="s">
        <v>2332</v>
      </c>
      <c r="C427" s="211">
        <v>7330</v>
      </c>
      <c r="D427" s="215" t="s">
        <v>110</v>
      </c>
      <c r="E427" s="215" t="s">
        <v>110</v>
      </c>
      <c r="F427" s="211" t="s">
        <v>110</v>
      </c>
      <c r="G427" s="211" t="s">
        <v>110</v>
      </c>
      <c r="H427" s="216" t="s">
        <v>2212</v>
      </c>
      <c r="I427" s="217" t="s">
        <v>2213</v>
      </c>
      <c r="J427" s="211" t="s">
        <v>2203</v>
      </c>
      <c r="K427" s="211" t="s">
        <v>2265</v>
      </c>
      <c r="L427" s="211" t="s">
        <v>2265</v>
      </c>
      <c r="M427" s="211" t="s">
        <v>1282</v>
      </c>
      <c r="N427" s="211" t="s">
        <v>14</v>
      </c>
      <c r="O427" s="211">
        <v>100</v>
      </c>
      <c r="P427" s="211" t="s">
        <v>37</v>
      </c>
      <c r="Q427" s="226" t="s">
        <v>108</v>
      </c>
      <c r="R427" s="218">
        <v>276000</v>
      </c>
      <c r="S427" s="229">
        <f t="shared" si="2"/>
        <v>27600000</v>
      </c>
      <c r="T427" s="219">
        <v>44728</v>
      </c>
      <c r="U427" s="220">
        <v>44736</v>
      </c>
      <c r="V427" s="221">
        <v>44743</v>
      </c>
      <c r="W427" s="211" t="s">
        <v>2814</v>
      </c>
      <c r="X427" s="211" t="s">
        <v>55</v>
      </c>
      <c r="Y427" s="220" t="s">
        <v>2218</v>
      </c>
      <c r="Z427" s="216" t="s">
        <v>2087</v>
      </c>
      <c r="AA427" s="216" t="s">
        <v>2155</v>
      </c>
      <c r="AB427" s="227" t="s">
        <v>110</v>
      </c>
      <c r="AC427" s="295"/>
    </row>
    <row r="428" spans="1:29" ht="15.5" x14ac:dyDescent="0.35">
      <c r="A428" s="211">
        <v>5800</v>
      </c>
      <c r="B428" s="214" t="s">
        <v>2332</v>
      </c>
      <c r="C428" s="211">
        <v>7330</v>
      </c>
      <c r="D428" s="215" t="s">
        <v>110</v>
      </c>
      <c r="E428" s="215" t="s">
        <v>110</v>
      </c>
      <c r="F428" s="211" t="s">
        <v>110</v>
      </c>
      <c r="G428" s="211" t="s">
        <v>110</v>
      </c>
      <c r="H428" s="216" t="s">
        <v>2214</v>
      </c>
      <c r="I428" s="217" t="s">
        <v>2215</v>
      </c>
      <c r="J428" s="211" t="s">
        <v>2204</v>
      </c>
      <c r="K428" s="211" t="s">
        <v>2265</v>
      </c>
      <c r="L428" s="211" t="s">
        <v>2265</v>
      </c>
      <c r="M428" s="211" t="s">
        <v>1282</v>
      </c>
      <c r="N428" s="211" t="s">
        <v>14</v>
      </c>
      <c r="O428" s="211">
        <v>600</v>
      </c>
      <c r="P428" s="211" t="s">
        <v>37</v>
      </c>
      <c r="Q428" s="226" t="s">
        <v>108</v>
      </c>
      <c r="R428" s="218">
        <v>55000</v>
      </c>
      <c r="S428" s="229">
        <f t="shared" si="2"/>
        <v>33000000</v>
      </c>
      <c r="T428" s="219">
        <v>44728</v>
      </c>
      <c r="U428" s="220">
        <v>44736</v>
      </c>
      <c r="V428" s="221">
        <v>44743</v>
      </c>
      <c r="W428" s="211" t="s">
        <v>2814</v>
      </c>
      <c r="X428" s="211" t="s">
        <v>55</v>
      </c>
      <c r="Y428" s="220" t="s">
        <v>2218</v>
      </c>
      <c r="Z428" s="216" t="s">
        <v>2087</v>
      </c>
      <c r="AA428" s="216" t="s">
        <v>2155</v>
      </c>
      <c r="AB428" s="227" t="s">
        <v>110</v>
      </c>
      <c r="AC428" s="295"/>
    </row>
    <row r="429" spans="1:29" ht="15.5" x14ac:dyDescent="0.35">
      <c r="A429" s="211">
        <v>5800</v>
      </c>
      <c r="B429" s="214" t="s">
        <v>2332</v>
      </c>
      <c r="C429" s="211">
        <v>7330</v>
      </c>
      <c r="D429" s="215" t="s">
        <v>110</v>
      </c>
      <c r="E429" s="215" t="s">
        <v>110</v>
      </c>
      <c r="F429" s="211" t="s">
        <v>110</v>
      </c>
      <c r="G429" s="211" t="s">
        <v>110</v>
      </c>
      <c r="H429" s="216" t="s">
        <v>2216</v>
      </c>
      <c r="I429" s="217" t="s">
        <v>2217</v>
      </c>
      <c r="J429" s="211" t="s">
        <v>2205</v>
      </c>
      <c r="K429" s="211" t="s">
        <v>2265</v>
      </c>
      <c r="L429" s="211" t="s">
        <v>2265</v>
      </c>
      <c r="M429" s="211" t="s">
        <v>1282</v>
      </c>
      <c r="N429" s="211" t="s">
        <v>14</v>
      </c>
      <c r="O429" s="211">
        <v>1200</v>
      </c>
      <c r="P429" s="211" t="s">
        <v>37</v>
      </c>
      <c r="Q429" s="226" t="s">
        <v>108</v>
      </c>
      <c r="R429" s="218">
        <v>22000</v>
      </c>
      <c r="S429" s="229">
        <f t="shared" si="2"/>
        <v>26400000</v>
      </c>
      <c r="T429" s="219">
        <v>44728</v>
      </c>
      <c r="U429" s="220">
        <v>44736</v>
      </c>
      <c r="V429" s="221">
        <v>44743</v>
      </c>
      <c r="W429" s="211" t="s">
        <v>2814</v>
      </c>
      <c r="X429" s="211" t="s">
        <v>55</v>
      </c>
      <c r="Y429" s="220" t="s">
        <v>2218</v>
      </c>
      <c r="Z429" s="216" t="s">
        <v>2087</v>
      </c>
      <c r="AA429" s="216" t="s">
        <v>2155</v>
      </c>
      <c r="AB429" s="227" t="s">
        <v>110</v>
      </c>
      <c r="AC429" s="295"/>
    </row>
    <row r="430" spans="1:29" ht="15.5" x14ac:dyDescent="0.35">
      <c r="A430" s="211" t="s">
        <v>110</v>
      </c>
      <c r="B430" s="214" t="s">
        <v>2423</v>
      </c>
      <c r="C430" s="211" t="s">
        <v>110</v>
      </c>
      <c r="D430" s="215">
        <v>2759</v>
      </c>
      <c r="E430" s="215">
        <v>5915</v>
      </c>
      <c r="F430" s="211" t="s">
        <v>110</v>
      </c>
      <c r="G430" s="211" t="s">
        <v>110</v>
      </c>
      <c r="H430" s="216" t="s">
        <v>2224</v>
      </c>
      <c r="I430" s="217" t="s">
        <v>2221</v>
      </c>
      <c r="J430" s="211" t="s">
        <v>2220</v>
      </c>
      <c r="K430" s="211" t="s">
        <v>2222</v>
      </c>
      <c r="L430" s="211" t="s">
        <v>1452</v>
      </c>
      <c r="M430" s="214" t="s">
        <v>796</v>
      </c>
      <c r="N430" s="211" t="s">
        <v>642</v>
      </c>
      <c r="O430" s="211">
        <v>1</v>
      </c>
      <c r="P430" s="211" t="s">
        <v>37</v>
      </c>
      <c r="Q430" s="226" t="s">
        <v>108</v>
      </c>
      <c r="R430" s="218">
        <v>1250000</v>
      </c>
      <c r="S430" s="229">
        <f t="shared" si="2"/>
        <v>1250000</v>
      </c>
      <c r="T430" s="219">
        <v>44734</v>
      </c>
      <c r="U430" s="220">
        <v>44743</v>
      </c>
      <c r="V430" s="221">
        <v>44775</v>
      </c>
      <c r="W430" s="211" t="s">
        <v>2160</v>
      </c>
      <c r="X430" s="211" t="s">
        <v>53</v>
      </c>
      <c r="Y430" s="220" t="s">
        <v>2225</v>
      </c>
      <c r="Z430" s="216"/>
      <c r="AA430" s="216" t="s">
        <v>2223</v>
      </c>
      <c r="AB430" s="245" t="s">
        <v>2349</v>
      </c>
      <c r="AC430" s="295"/>
    </row>
    <row r="431" spans="1:29" ht="15.5" x14ac:dyDescent="0.35">
      <c r="A431" s="211">
        <v>5712</v>
      </c>
      <c r="B431" s="214" t="s">
        <v>2274</v>
      </c>
      <c r="C431" s="211">
        <v>7196</v>
      </c>
      <c r="D431" s="215" t="s">
        <v>110</v>
      </c>
      <c r="E431" s="215" t="s">
        <v>110</v>
      </c>
      <c r="F431" s="211" t="s">
        <v>110</v>
      </c>
      <c r="G431" s="211" t="s">
        <v>110</v>
      </c>
      <c r="H431" s="216" t="s">
        <v>717</v>
      </c>
      <c r="I431" s="217" t="s">
        <v>1489</v>
      </c>
      <c r="J431" s="211" t="s">
        <v>2966</v>
      </c>
      <c r="K431" s="211" t="s">
        <v>1241</v>
      </c>
      <c r="L431" s="211" t="s">
        <v>718</v>
      </c>
      <c r="M431" s="211" t="s">
        <v>327</v>
      </c>
      <c r="N431" s="211" t="s">
        <v>14</v>
      </c>
      <c r="O431" s="211">
        <v>80</v>
      </c>
      <c r="P431" s="211" t="s">
        <v>719</v>
      </c>
      <c r="Q431" s="226" t="s">
        <v>108</v>
      </c>
      <c r="R431" s="218">
        <v>687500</v>
      </c>
      <c r="S431" s="229">
        <f t="shared" si="2"/>
        <v>55000000</v>
      </c>
      <c r="T431" s="219">
        <v>44719</v>
      </c>
      <c r="U431" s="220">
        <v>44733</v>
      </c>
      <c r="V431" s="221">
        <v>44733</v>
      </c>
      <c r="W431" s="211" t="s">
        <v>21</v>
      </c>
      <c r="X431" s="211" t="s">
        <v>16</v>
      </c>
      <c r="Y431" s="220">
        <v>44714</v>
      </c>
      <c r="Z431" s="216" t="s">
        <v>328</v>
      </c>
      <c r="AA431" s="216" t="s">
        <v>2076</v>
      </c>
      <c r="AB431" s="227" t="s">
        <v>110</v>
      </c>
      <c r="AC431" s="295"/>
    </row>
    <row r="432" spans="1:29" ht="15.5" x14ac:dyDescent="0.35">
      <c r="A432" s="211" t="s">
        <v>2343</v>
      </c>
      <c r="B432" s="214" t="s">
        <v>2540</v>
      </c>
      <c r="C432" s="211" t="s">
        <v>2329</v>
      </c>
      <c r="D432" s="215" t="s">
        <v>110</v>
      </c>
      <c r="E432" s="215" t="s">
        <v>110</v>
      </c>
      <c r="F432" s="211" t="s">
        <v>110</v>
      </c>
      <c r="G432" s="211" t="s">
        <v>110</v>
      </c>
      <c r="H432" s="216" t="s">
        <v>1410</v>
      </c>
      <c r="I432" s="217" t="s">
        <v>1408</v>
      </c>
      <c r="J432" s="211" t="s">
        <v>1407</v>
      </c>
      <c r="K432" s="211" t="s">
        <v>1461</v>
      </c>
      <c r="L432" s="211" t="s">
        <v>30</v>
      </c>
      <c r="M432" s="211" t="s">
        <v>795</v>
      </c>
      <c r="N432" s="211" t="s">
        <v>14</v>
      </c>
      <c r="O432" s="211">
        <v>100</v>
      </c>
      <c r="P432" s="211" t="s">
        <v>276</v>
      </c>
      <c r="Q432" s="226" t="s">
        <v>390</v>
      </c>
      <c r="R432" s="237">
        <v>58.6</v>
      </c>
      <c r="S432" s="229">
        <f t="shared" si="2"/>
        <v>5860</v>
      </c>
      <c r="T432" s="219">
        <v>44746</v>
      </c>
      <c r="U432" s="220">
        <v>44805</v>
      </c>
      <c r="V432" s="221">
        <v>44810</v>
      </c>
      <c r="W432" s="211" t="s">
        <v>3198</v>
      </c>
      <c r="X432" s="211" t="s">
        <v>16</v>
      </c>
      <c r="Y432" s="220" t="s">
        <v>2232</v>
      </c>
      <c r="Z432" s="216"/>
      <c r="AA432" s="216" t="s">
        <v>2056</v>
      </c>
      <c r="AB432" s="227" t="s">
        <v>2328</v>
      </c>
      <c r="AC432" s="295"/>
    </row>
    <row r="433" spans="1:29" ht="15.5" x14ac:dyDescent="0.35">
      <c r="A433" s="211">
        <v>5690</v>
      </c>
      <c r="B433" s="214" t="s">
        <v>2314</v>
      </c>
      <c r="C433" s="211">
        <v>7151</v>
      </c>
      <c r="D433" s="215" t="s">
        <v>110</v>
      </c>
      <c r="E433" s="215" t="s">
        <v>110</v>
      </c>
      <c r="F433" s="211" t="s">
        <v>110</v>
      </c>
      <c r="G433" s="211" t="s">
        <v>110</v>
      </c>
      <c r="H433" s="216" t="s">
        <v>995</v>
      </c>
      <c r="I433" s="217" t="s">
        <v>997</v>
      </c>
      <c r="J433" s="211" t="s">
        <v>996</v>
      </c>
      <c r="K433" s="211" t="s">
        <v>176</v>
      </c>
      <c r="L433" s="211" t="s">
        <v>176</v>
      </c>
      <c r="M433" s="211" t="s">
        <v>123</v>
      </c>
      <c r="N433" s="211" t="s">
        <v>14</v>
      </c>
      <c r="O433" s="211">
        <v>20</v>
      </c>
      <c r="P433" s="211" t="s">
        <v>276</v>
      </c>
      <c r="Q433" s="226" t="s">
        <v>108</v>
      </c>
      <c r="R433" s="218">
        <v>149000</v>
      </c>
      <c r="S433" s="229">
        <f t="shared" si="2"/>
        <v>2980000</v>
      </c>
      <c r="T433" s="219">
        <v>44718</v>
      </c>
      <c r="U433" s="220">
        <v>44739</v>
      </c>
      <c r="V433" s="221">
        <v>44743</v>
      </c>
      <c r="W433" s="211" t="s">
        <v>2814</v>
      </c>
      <c r="X433" s="211" t="s">
        <v>16</v>
      </c>
      <c r="Y433" s="220">
        <v>44715</v>
      </c>
      <c r="Z433" s="216" t="s">
        <v>328</v>
      </c>
      <c r="AA433" s="216"/>
      <c r="AB433" s="227" t="s">
        <v>110</v>
      </c>
      <c r="AC433" s="295"/>
    </row>
    <row r="434" spans="1:29" ht="15.5" x14ac:dyDescent="0.35">
      <c r="A434" s="211" t="s">
        <v>110</v>
      </c>
      <c r="B434" s="214" t="s">
        <v>2422</v>
      </c>
      <c r="C434" s="211" t="s">
        <v>110</v>
      </c>
      <c r="D434" s="215">
        <v>2769</v>
      </c>
      <c r="E434" s="215">
        <v>5943</v>
      </c>
      <c r="F434" s="211" t="s">
        <v>2261</v>
      </c>
      <c r="G434" s="211" t="s">
        <v>2278</v>
      </c>
      <c r="H434" s="216" t="s">
        <v>2256</v>
      </c>
      <c r="I434" s="217" t="s">
        <v>1060</v>
      </c>
      <c r="J434" s="211" t="s">
        <v>2255</v>
      </c>
      <c r="K434" s="211" t="s">
        <v>2532</v>
      </c>
      <c r="L434" s="211" t="s">
        <v>2532</v>
      </c>
      <c r="M434" s="211" t="s">
        <v>63</v>
      </c>
      <c r="N434" s="211" t="s">
        <v>642</v>
      </c>
      <c r="O434" s="211">
        <v>1</v>
      </c>
      <c r="P434" s="211" t="s">
        <v>276</v>
      </c>
      <c r="Q434" s="226" t="s">
        <v>108</v>
      </c>
      <c r="R434" s="218">
        <v>150000000</v>
      </c>
      <c r="S434" s="229">
        <f t="shared" si="2"/>
        <v>150000000</v>
      </c>
      <c r="T434" s="219">
        <v>44734</v>
      </c>
      <c r="U434" s="220">
        <v>44763</v>
      </c>
      <c r="V434" s="221">
        <v>44775</v>
      </c>
      <c r="W434" s="211" t="s">
        <v>2813</v>
      </c>
      <c r="X434" s="211" t="s">
        <v>16</v>
      </c>
      <c r="Y434" s="220">
        <v>44721</v>
      </c>
      <c r="Z434" s="216" t="s">
        <v>2280</v>
      </c>
      <c r="AA434" s="216" t="s">
        <v>2181</v>
      </c>
      <c r="AB434" s="227">
        <v>44728</v>
      </c>
      <c r="AC434" s="295"/>
    </row>
    <row r="435" spans="1:29" s="71" customFormat="1" ht="15.5" x14ac:dyDescent="0.35">
      <c r="A435" s="211" t="s">
        <v>110</v>
      </c>
      <c r="B435" s="214" t="s">
        <v>2292</v>
      </c>
      <c r="C435" s="211" t="s">
        <v>110</v>
      </c>
      <c r="D435" s="215">
        <v>2666</v>
      </c>
      <c r="E435" s="215">
        <v>5766</v>
      </c>
      <c r="F435" s="211" t="s">
        <v>110</v>
      </c>
      <c r="G435" s="211" t="s">
        <v>110</v>
      </c>
      <c r="H435" s="216" t="s">
        <v>2249</v>
      </c>
      <c r="I435" s="217" t="s">
        <v>2250</v>
      </c>
      <c r="J435" s="211" t="s">
        <v>2252</v>
      </c>
      <c r="K435" s="211" t="s">
        <v>2251</v>
      </c>
      <c r="L435" s="211" t="s">
        <v>1568</v>
      </c>
      <c r="M435" s="214" t="s">
        <v>796</v>
      </c>
      <c r="N435" s="211" t="s">
        <v>642</v>
      </c>
      <c r="O435" s="214">
        <v>1</v>
      </c>
      <c r="P435" s="214" t="s">
        <v>276</v>
      </c>
      <c r="Q435" s="223" t="s">
        <v>108</v>
      </c>
      <c r="R435" s="229">
        <v>681000</v>
      </c>
      <c r="S435" s="229">
        <f t="shared" si="2"/>
        <v>681000</v>
      </c>
      <c r="T435" s="219">
        <v>44722</v>
      </c>
      <c r="U435" s="220">
        <v>44732</v>
      </c>
      <c r="V435" s="221">
        <v>44736</v>
      </c>
      <c r="W435" s="211" t="s">
        <v>3198</v>
      </c>
      <c r="X435" s="211" t="s">
        <v>16</v>
      </c>
      <c r="Y435" s="220" t="s">
        <v>2253</v>
      </c>
      <c r="Z435" s="222"/>
      <c r="AA435" s="216" t="s">
        <v>2181</v>
      </c>
      <c r="AB435" s="227" t="s">
        <v>110</v>
      </c>
      <c r="AC435" s="295"/>
    </row>
    <row r="436" spans="1:29" s="71" customFormat="1" ht="15.5" x14ac:dyDescent="0.35">
      <c r="A436" s="211">
        <v>6033</v>
      </c>
      <c r="B436" s="214" t="s">
        <v>2399</v>
      </c>
      <c r="C436" s="211">
        <v>7636</v>
      </c>
      <c r="D436" s="215" t="s">
        <v>110</v>
      </c>
      <c r="E436" s="215" t="s">
        <v>110</v>
      </c>
      <c r="F436" s="211" t="s">
        <v>110</v>
      </c>
      <c r="G436" s="211" t="s">
        <v>110</v>
      </c>
      <c r="H436" s="216" t="s">
        <v>2266</v>
      </c>
      <c r="I436" s="217" t="s">
        <v>2267</v>
      </c>
      <c r="J436" s="211" t="s">
        <v>2268</v>
      </c>
      <c r="K436" s="211" t="s">
        <v>1751</v>
      </c>
      <c r="L436" s="211" t="s">
        <v>1751</v>
      </c>
      <c r="M436" s="214" t="s">
        <v>1282</v>
      </c>
      <c r="N436" s="211" t="s">
        <v>14</v>
      </c>
      <c r="O436" s="214">
        <v>10</v>
      </c>
      <c r="P436" s="214" t="s">
        <v>107</v>
      </c>
      <c r="Q436" s="223" t="s">
        <v>108</v>
      </c>
      <c r="R436" s="229">
        <v>1150000</v>
      </c>
      <c r="S436" s="229">
        <f t="shared" si="2"/>
        <v>11500000</v>
      </c>
      <c r="T436" s="219">
        <v>44740</v>
      </c>
      <c r="U436" s="220">
        <v>44747</v>
      </c>
      <c r="V436" s="221">
        <v>44764</v>
      </c>
      <c r="W436" s="211" t="s">
        <v>2814</v>
      </c>
      <c r="X436" s="211" t="s">
        <v>55</v>
      </c>
      <c r="Y436" s="220" t="s">
        <v>2269</v>
      </c>
      <c r="Z436" s="222" t="s">
        <v>2087</v>
      </c>
      <c r="AA436" s="216" t="s">
        <v>2155</v>
      </c>
      <c r="AB436" s="227" t="s">
        <v>110</v>
      </c>
      <c r="AC436" s="295"/>
    </row>
    <row r="437" spans="1:29" ht="15.5" x14ac:dyDescent="0.35">
      <c r="A437" s="211">
        <v>5868</v>
      </c>
      <c r="B437" s="214" t="s">
        <v>2400</v>
      </c>
      <c r="C437" s="211">
        <v>7347</v>
      </c>
      <c r="D437" s="215" t="s">
        <v>110</v>
      </c>
      <c r="E437" s="215" t="s">
        <v>110</v>
      </c>
      <c r="F437" s="211" t="s">
        <v>110</v>
      </c>
      <c r="G437" s="211" t="s">
        <v>110</v>
      </c>
      <c r="H437" s="216" t="s">
        <v>1123</v>
      </c>
      <c r="I437" s="217" t="s">
        <v>1141</v>
      </c>
      <c r="J437" s="211" t="s">
        <v>1142</v>
      </c>
      <c r="K437" s="211" t="s">
        <v>1426</v>
      </c>
      <c r="L437" s="211" t="s">
        <v>102</v>
      </c>
      <c r="M437" s="211" t="s">
        <v>123</v>
      </c>
      <c r="N437" s="211" t="s">
        <v>14</v>
      </c>
      <c r="O437" s="211">
        <v>30</v>
      </c>
      <c r="P437" s="211" t="s">
        <v>1124</v>
      </c>
      <c r="Q437" s="213" t="s">
        <v>108</v>
      </c>
      <c r="R437" s="218">
        <v>800000</v>
      </c>
      <c r="S437" s="229">
        <f t="shared" si="2"/>
        <v>24000000</v>
      </c>
      <c r="T437" s="219">
        <v>44729</v>
      </c>
      <c r="U437" s="220">
        <v>44767</v>
      </c>
      <c r="V437" s="221">
        <v>44767</v>
      </c>
      <c r="W437" s="211" t="s">
        <v>2814</v>
      </c>
      <c r="X437" s="211" t="s">
        <v>16</v>
      </c>
      <c r="Y437" s="220">
        <v>44725</v>
      </c>
      <c r="Z437" s="222" t="s">
        <v>328</v>
      </c>
      <c r="AA437" s="216" t="s">
        <v>2290</v>
      </c>
      <c r="AB437" s="227" t="s">
        <v>110</v>
      </c>
      <c r="AC437" s="295"/>
    </row>
    <row r="438" spans="1:29" ht="15.5" x14ac:dyDescent="0.35">
      <c r="A438" s="211" t="s">
        <v>110</v>
      </c>
      <c r="B438" s="214" t="s">
        <v>2383</v>
      </c>
      <c r="C438" s="211" t="s">
        <v>110</v>
      </c>
      <c r="D438" s="215">
        <v>2847</v>
      </c>
      <c r="E438" s="215">
        <v>6145</v>
      </c>
      <c r="F438" s="211" t="s">
        <v>2311</v>
      </c>
      <c r="G438" s="211" t="s">
        <v>2334</v>
      </c>
      <c r="H438" s="216" t="s">
        <v>2272</v>
      </c>
      <c r="I438" s="217" t="s">
        <v>2273</v>
      </c>
      <c r="J438" s="211" t="s">
        <v>2310</v>
      </c>
      <c r="K438" s="211" t="s">
        <v>1426</v>
      </c>
      <c r="L438" s="211" t="s">
        <v>99</v>
      </c>
      <c r="M438" s="214" t="s">
        <v>796</v>
      </c>
      <c r="N438" s="211" t="s">
        <v>642</v>
      </c>
      <c r="O438" s="211">
        <v>10</v>
      </c>
      <c r="P438" s="211" t="s">
        <v>37</v>
      </c>
      <c r="Q438" s="213" t="s">
        <v>108</v>
      </c>
      <c r="R438" s="218">
        <v>1562000</v>
      </c>
      <c r="S438" s="229">
        <f t="shared" si="2"/>
        <v>15620000</v>
      </c>
      <c r="T438" s="219">
        <v>44747</v>
      </c>
      <c r="U438" s="220">
        <v>44778</v>
      </c>
      <c r="V438" s="221">
        <v>44764</v>
      </c>
      <c r="W438" s="211" t="s">
        <v>2813</v>
      </c>
      <c r="X438" s="211" t="s">
        <v>16</v>
      </c>
      <c r="Y438" s="220">
        <v>44733</v>
      </c>
      <c r="Z438" s="222"/>
      <c r="AA438" s="216" t="s">
        <v>2181</v>
      </c>
      <c r="AB438" s="227">
        <v>44740</v>
      </c>
      <c r="AC438" s="295"/>
    </row>
    <row r="439" spans="1:29" ht="15.5" x14ac:dyDescent="0.35">
      <c r="A439" s="211">
        <v>6205</v>
      </c>
      <c r="B439" s="214" t="s">
        <v>2435</v>
      </c>
      <c r="C439" s="211">
        <v>8163</v>
      </c>
      <c r="D439" s="215" t="s">
        <v>110</v>
      </c>
      <c r="E439" s="215" t="s">
        <v>110</v>
      </c>
      <c r="F439" s="211" t="s">
        <v>110</v>
      </c>
      <c r="G439" s="211" t="s">
        <v>110</v>
      </c>
      <c r="H439" s="216" t="s">
        <v>976</v>
      </c>
      <c r="I439" s="217" t="s">
        <v>977</v>
      </c>
      <c r="J439" s="211" t="s">
        <v>2275</v>
      </c>
      <c r="K439" s="211" t="s">
        <v>1426</v>
      </c>
      <c r="L439" s="211" t="s">
        <v>99</v>
      </c>
      <c r="M439" s="211" t="s">
        <v>123</v>
      </c>
      <c r="N439" s="211" t="s">
        <v>14</v>
      </c>
      <c r="O439" s="211">
        <v>10</v>
      </c>
      <c r="P439" s="211" t="s">
        <v>37</v>
      </c>
      <c r="Q439" s="213" t="s">
        <v>108</v>
      </c>
      <c r="R439" s="218">
        <v>381000</v>
      </c>
      <c r="S439" s="229">
        <f t="shared" si="2"/>
        <v>3810000</v>
      </c>
      <c r="T439" s="219">
        <v>44754</v>
      </c>
      <c r="U439" s="220">
        <v>44774</v>
      </c>
      <c r="V439" s="221">
        <v>44776</v>
      </c>
      <c r="W439" s="211" t="s">
        <v>21</v>
      </c>
      <c r="X439" s="211" t="s">
        <v>16</v>
      </c>
      <c r="Y439" s="220" t="s">
        <v>2331</v>
      </c>
      <c r="Z439" s="222" t="s">
        <v>2087</v>
      </c>
      <c r="AA439" s="216" t="s">
        <v>2181</v>
      </c>
      <c r="AB439" s="227"/>
      <c r="AC439" s="295"/>
    </row>
    <row r="440" spans="1:29" ht="15.5" x14ac:dyDescent="0.35">
      <c r="A440" s="211">
        <v>6205</v>
      </c>
      <c r="B440" s="214" t="s">
        <v>2435</v>
      </c>
      <c r="C440" s="211">
        <v>8163</v>
      </c>
      <c r="D440" s="215" t="s">
        <v>110</v>
      </c>
      <c r="E440" s="215" t="s">
        <v>110</v>
      </c>
      <c r="F440" s="211" t="s">
        <v>110</v>
      </c>
      <c r="G440" s="211" t="s">
        <v>110</v>
      </c>
      <c r="H440" s="216" t="s">
        <v>976</v>
      </c>
      <c r="I440" s="217" t="s">
        <v>2287</v>
      </c>
      <c r="J440" s="211" t="s">
        <v>2276</v>
      </c>
      <c r="K440" s="211" t="s">
        <v>1426</v>
      </c>
      <c r="L440" s="211" t="s">
        <v>99</v>
      </c>
      <c r="M440" s="211" t="s">
        <v>123</v>
      </c>
      <c r="N440" s="211" t="s">
        <v>14</v>
      </c>
      <c r="O440" s="211">
        <v>10</v>
      </c>
      <c r="P440" s="211" t="s">
        <v>44</v>
      </c>
      <c r="Q440" s="213" t="s">
        <v>108</v>
      </c>
      <c r="R440" s="218">
        <v>172000</v>
      </c>
      <c r="S440" s="229">
        <f t="shared" si="2"/>
        <v>1720000</v>
      </c>
      <c r="T440" s="219">
        <v>44754</v>
      </c>
      <c r="U440" s="220">
        <v>44774</v>
      </c>
      <c r="V440" s="221">
        <v>44776</v>
      </c>
      <c r="W440" s="211" t="s">
        <v>21</v>
      </c>
      <c r="X440" s="211" t="s">
        <v>16</v>
      </c>
      <c r="Y440" s="220" t="s">
        <v>2331</v>
      </c>
      <c r="Z440" s="222" t="s">
        <v>2087</v>
      </c>
      <c r="AA440" s="216" t="s">
        <v>2181</v>
      </c>
      <c r="AB440" s="227"/>
      <c r="AC440" s="295"/>
    </row>
    <row r="441" spans="1:29" ht="15.5" x14ac:dyDescent="0.35">
      <c r="A441" s="211" t="s">
        <v>110</v>
      </c>
      <c r="B441" s="214" t="s">
        <v>2398</v>
      </c>
      <c r="C441" s="211" t="s">
        <v>110</v>
      </c>
      <c r="D441" s="215">
        <v>2836</v>
      </c>
      <c r="E441" s="215">
        <v>6122</v>
      </c>
      <c r="F441" s="211" t="s">
        <v>110</v>
      </c>
      <c r="G441" s="211" t="s">
        <v>110</v>
      </c>
      <c r="H441" s="216" t="s">
        <v>2321</v>
      </c>
      <c r="I441" s="217" t="s">
        <v>2322</v>
      </c>
      <c r="J441" s="211" t="s">
        <v>2323</v>
      </c>
      <c r="K441" s="211" t="s">
        <v>2327</v>
      </c>
      <c r="L441" s="211" t="s">
        <v>1751</v>
      </c>
      <c r="M441" s="214" t="s">
        <v>796</v>
      </c>
      <c r="N441" s="211" t="s">
        <v>642</v>
      </c>
      <c r="O441" s="211">
        <v>5</v>
      </c>
      <c r="P441" s="211" t="s">
        <v>37</v>
      </c>
      <c r="Q441" s="213" t="s">
        <v>108</v>
      </c>
      <c r="R441" s="218">
        <v>116000</v>
      </c>
      <c r="S441" s="218">
        <f>Product_Name[[#This Row],[Đơn giá
Unit Price]]*Product_Name[[#This Row],[Số lượng
Quantity]]</f>
        <v>580000</v>
      </c>
      <c r="T441" s="219">
        <v>44746</v>
      </c>
      <c r="U441" s="220">
        <v>44753</v>
      </c>
      <c r="V441" s="221">
        <v>44764</v>
      </c>
      <c r="W441" s="214" t="s">
        <v>2577</v>
      </c>
      <c r="X441" s="211" t="s">
        <v>16</v>
      </c>
      <c r="Y441" s="220" t="s">
        <v>2291</v>
      </c>
      <c r="Z441" s="222"/>
      <c r="AA441" s="216" t="s">
        <v>2181</v>
      </c>
      <c r="AB441" s="227" t="s">
        <v>110</v>
      </c>
      <c r="AC441" s="295"/>
    </row>
    <row r="442" spans="1:29" ht="15.5" x14ac:dyDescent="0.35">
      <c r="A442" s="211" t="s">
        <v>110</v>
      </c>
      <c r="B442" s="214" t="s">
        <v>2398</v>
      </c>
      <c r="C442" s="211" t="s">
        <v>110</v>
      </c>
      <c r="D442" s="215">
        <v>2836</v>
      </c>
      <c r="E442" s="215">
        <v>6122</v>
      </c>
      <c r="F442" s="211" t="s">
        <v>110</v>
      </c>
      <c r="G442" s="211" t="s">
        <v>110</v>
      </c>
      <c r="H442" s="216" t="s">
        <v>2326</v>
      </c>
      <c r="I442" s="217" t="s">
        <v>2325</v>
      </c>
      <c r="J442" s="211" t="s">
        <v>2324</v>
      </c>
      <c r="K442" s="211" t="s">
        <v>2327</v>
      </c>
      <c r="L442" s="211" t="s">
        <v>1751</v>
      </c>
      <c r="M442" s="214" t="s">
        <v>796</v>
      </c>
      <c r="N442" s="211" t="s">
        <v>642</v>
      </c>
      <c r="O442" s="211">
        <v>5</v>
      </c>
      <c r="P442" s="211" t="s">
        <v>37</v>
      </c>
      <c r="Q442" s="213" t="s">
        <v>108</v>
      </c>
      <c r="R442" s="218">
        <v>144000</v>
      </c>
      <c r="S442" s="218">
        <f>Product_Name[[#This Row],[Đơn giá
Unit Price]]*Product_Name[[#This Row],[Số lượng
Quantity]]</f>
        <v>720000</v>
      </c>
      <c r="T442" s="219">
        <v>44746</v>
      </c>
      <c r="U442" s="220">
        <v>44753</v>
      </c>
      <c r="V442" s="221">
        <v>44764</v>
      </c>
      <c r="W442" s="214" t="s">
        <v>2577</v>
      </c>
      <c r="X442" s="211" t="s">
        <v>16</v>
      </c>
      <c r="Y442" s="220" t="s">
        <v>2291</v>
      </c>
      <c r="Z442" s="222"/>
      <c r="AA442" s="216" t="s">
        <v>2181</v>
      </c>
      <c r="AB442" s="227" t="s">
        <v>110</v>
      </c>
      <c r="AC442" s="295"/>
    </row>
    <row r="443" spans="1:29" ht="15.5" x14ac:dyDescent="0.35">
      <c r="A443" s="211">
        <v>6029</v>
      </c>
      <c r="B443" s="214" t="s">
        <v>2375</v>
      </c>
      <c r="C443" s="211">
        <v>7601</v>
      </c>
      <c r="D443" s="215" t="s">
        <v>110</v>
      </c>
      <c r="E443" s="215" t="s">
        <v>110</v>
      </c>
      <c r="F443" s="211" t="s">
        <v>110</v>
      </c>
      <c r="G443" s="211" t="s">
        <v>110</v>
      </c>
      <c r="H443" s="216" t="s">
        <v>2018</v>
      </c>
      <c r="I443" s="217" t="s">
        <v>2019</v>
      </c>
      <c r="J443" s="211" t="s">
        <v>2017</v>
      </c>
      <c r="K443" s="211" t="s">
        <v>99</v>
      </c>
      <c r="L443" s="211" t="s">
        <v>99</v>
      </c>
      <c r="M443" s="211" t="s">
        <v>123</v>
      </c>
      <c r="N443" s="211" t="s">
        <v>14</v>
      </c>
      <c r="O443" s="211">
        <v>6</v>
      </c>
      <c r="P443" s="211" t="s">
        <v>37</v>
      </c>
      <c r="Q443" s="213" t="s">
        <v>108</v>
      </c>
      <c r="R443" s="218">
        <v>2051000</v>
      </c>
      <c r="S443" s="218">
        <f t="shared" ref="S443:S459" si="3">R443*O443</f>
        <v>12306000</v>
      </c>
      <c r="T443" s="219">
        <v>44739</v>
      </c>
      <c r="U443" s="220">
        <v>44753</v>
      </c>
      <c r="V443" s="221">
        <v>44760</v>
      </c>
      <c r="W443" s="211" t="s">
        <v>21</v>
      </c>
      <c r="X443" s="211" t="s">
        <v>16</v>
      </c>
      <c r="Y443" s="220">
        <v>44735</v>
      </c>
      <c r="Z443" s="222" t="s">
        <v>2087</v>
      </c>
      <c r="AA443" s="216" t="s">
        <v>2290</v>
      </c>
      <c r="AB443" s="227"/>
      <c r="AC443" s="295"/>
    </row>
    <row r="444" spans="1:29" ht="15.5" x14ac:dyDescent="0.35">
      <c r="A444" s="211" t="s">
        <v>110</v>
      </c>
      <c r="B444" s="214" t="s">
        <v>2442</v>
      </c>
      <c r="C444" s="211" t="s">
        <v>110</v>
      </c>
      <c r="D444" s="215">
        <v>2846</v>
      </c>
      <c r="E444" s="215">
        <v>6151</v>
      </c>
      <c r="F444" s="211" t="s">
        <v>2297</v>
      </c>
      <c r="G444" s="211" t="s">
        <v>2333</v>
      </c>
      <c r="H444" s="216" t="s">
        <v>2294</v>
      </c>
      <c r="I444" s="217" t="s">
        <v>2295</v>
      </c>
      <c r="J444" s="211" t="s">
        <v>2293</v>
      </c>
      <c r="K444" s="211" t="s">
        <v>1564</v>
      </c>
      <c r="L444" s="211" t="s">
        <v>1564</v>
      </c>
      <c r="M444" s="211" t="s">
        <v>2336</v>
      </c>
      <c r="N444" s="211" t="s">
        <v>642</v>
      </c>
      <c r="O444" s="211">
        <v>1</v>
      </c>
      <c r="P444" s="211" t="s">
        <v>37</v>
      </c>
      <c r="Q444" s="213" t="s">
        <v>108</v>
      </c>
      <c r="R444" s="218">
        <v>2910000</v>
      </c>
      <c r="S444" s="218">
        <f t="shared" si="3"/>
        <v>2910000</v>
      </c>
      <c r="T444" s="219">
        <v>44747</v>
      </c>
      <c r="U444" s="220">
        <v>44754</v>
      </c>
      <c r="V444" s="221">
        <v>44777</v>
      </c>
      <c r="W444" s="211" t="s">
        <v>2813</v>
      </c>
      <c r="X444" s="211" t="s">
        <v>16</v>
      </c>
      <c r="Y444" s="220">
        <v>44739</v>
      </c>
      <c r="Z444" s="222"/>
      <c r="AA444" s="216" t="s">
        <v>2181</v>
      </c>
      <c r="AB444" s="227">
        <v>44740</v>
      </c>
      <c r="AC444" s="295"/>
    </row>
    <row r="445" spans="1:29" ht="15.5" x14ac:dyDescent="0.35">
      <c r="A445" s="211">
        <v>6112</v>
      </c>
      <c r="B445" s="214" t="s">
        <v>2372</v>
      </c>
      <c r="C445" s="211">
        <v>7724</v>
      </c>
      <c r="D445" s="215" t="s">
        <v>110</v>
      </c>
      <c r="E445" s="215" t="s">
        <v>110</v>
      </c>
      <c r="F445" s="211" t="s">
        <v>110</v>
      </c>
      <c r="G445" s="211" t="s">
        <v>110</v>
      </c>
      <c r="H445" s="216" t="s">
        <v>2302</v>
      </c>
      <c r="I445" s="217" t="s">
        <v>2305</v>
      </c>
      <c r="J445" s="211" t="s">
        <v>2298</v>
      </c>
      <c r="K445" s="211" t="s">
        <v>2265</v>
      </c>
      <c r="L445" s="211" t="s">
        <v>2265</v>
      </c>
      <c r="M445" s="211" t="s">
        <v>1282</v>
      </c>
      <c r="N445" s="211" t="s">
        <v>14</v>
      </c>
      <c r="O445" s="211">
        <v>100</v>
      </c>
      <c r="P445" s="211" t="s">
        <v>276</v>
      </c>
      <c r="Q445" s="213" t="s">
        <v>108</v>
      </c>
      <c r="R445" s="218">
        <v>1200000</v>
      </c>
      <c r="S445" s="218">
        <f t="shared" si="3"/>
        <v>120000000</v>
      </c>
      <c r="T445" s="219">
        <v>44746</v>
      </c>
      <c r="U445" s="220">
        <v>44753</v>
      </c>
      <c r="V445" s="221">
        <v>44757</v>
      </c>
      <c r="W445" s="211" t="s">
        <v>2814</v>
      </c>
      <c r="X445" s="211" t="s">
        <v>55</v>
      </c>
      <c r="Y445" s="220" t="s">
        <v>2309</v>
      </c>
      <c r="Z445" s="222" t="s">
        <v>2087</v>
      </c>
      <c r="AA445" s="216" t="s">
        <v>2155</v>
      </c>
      <c r="AB445" s="227" t="s">
        <v>110</v>
      </c>
      <c r="AC445" s="295"/>
    </row>
    <row r="446" spans="1:29" ht="15.5" x14ac:dyDescent="0.35">
      <c r="A446" s="211">
        <v>6112</v>
      </c>
      <c r="B446" s="214" t="s">
        <v>2372</v>
      </c>
      <c r="C446" s="211">
        <v>7724</v>
      </c>
      <c r="D446" s="215" t="s">
        <v>110</v>
      </c>
      <c r="E446" s="215" t="s">
        <v>110</v>
      </c>
      <c r="F446" s="211" t="s">
        <v>110</v>
      </c>
      <c r="G446" s="211" t="s">
        <v>110</v>
      </c>
      <c r="H446" s="216" t="s">
        <v>2303</v>
      </c>
      <c r="I446" s="217" t="s">
        <v>2306</v>
      </c>
      <c r="J446" s="211" t="s">
        <v>2299</v>
      </c>
      <c r="K446" s="211" t="s">
        <v>2265</v>
      </c>
      <c r="L446" s="211" t="s">
        <v>2265</v>
      </c>
      <c r="M446" s="211" t="s">
        <v>1282</v>
      </c>
      <c r="N446" s="211" t="s">
        <v>14</v>
      </c>
      <c r="O446" s="211">
        <v>100</v>
      </c>
      <c r="P446" s="211" t="s">
        <v>276</v>
      </c>
      <c r="Q446" s="213" t="s">
        <v>108</v>
      </c>
      <c r="R446" s="218">
        <v>350000</v>
      </c>
      <c r="S446" s="218">
        <f t="shared" si="3"/>
        <v>35000000</v>
      </c>
      <c r="T446" s="219">
        <v>44746</v>
      </c>
      <c r="U446" s="220">
        <v>44753</v>
      </c>
      <c r="V446" s="221">
        <v>44757</v>
      </c>
      <c r="W446" s="211" t="s">
        <v>2814</v>
      </c>
      <c r="X446" s="211" t="s">
        <v>55</v>
      </c>
      <c r="Y446" s="220" t="s">
        <v>2309</v>
      </c>
      <c r="Z446" s="222" t="s">
        <v>2087</v>
      </c>
      <c r="AA446" s="216" t="s">
        <v>2155</v>
      </c>
      <c r="AB446" s="227" t="s">
        <v>110</v>
      </c>
      <c r="AC446" s="295"/>
    </row>
    <row r="447" spans="1:29" ht="15.5" x14ac:dyDescent="0.35">
      <c r="A447" s="211">
        <v>6112</v>
      </c>
      <c r="B447" s="214" t="s">
        <v>2372</v>
      </c>
      <c r="C447" s="211">
        <v>7724</v>
      </c>
      <c r="D447" s="215" t="s">
        <v>110</v>
      </c>
      <c r="E447" s="215" t="s">
        <v>110</v>
      </c>
      <c r="F447" s="211" t="s">
        <v>110</v>
      </c>
      <c r="G447" s="211" t="s">
        <v>110</v>
      </c>
      <c r="H447" s="216" t="s">
        <v>2304</v>
      </c>
      <c r="I447" s="217" t="s">
        <v>2307</v>
      </c>
      <c r="J447" s="211" t="s">
        <v>2300</v>
      </c>
      <c r="K447" s="211" t="s">
        <v>2265</v>
      </c>
      <c r="L447" s="211" t="s">
        <v>2265</v>
      </c>
      <c r="M447" s="211" t="s">
        <v>1282</v>
      </c>
      <c r="N447" s="211" t="s">
        <v>14</v>
      </c>
      <c r="O447" s="211">
        <v>600</v>
      </c>
      <c r="P447" s="211" t="s">
        <v>276</v>
      </c>
      <c r="Q447" s="213" t="s">
        <v>108</v>
      </c>
      <c r="R447" s="218">
        <v>62500</v>
      </c>
      <c r="S447" s="218">
        <f t="shared" si="3"/>
        <v>37500000</v>
      </c>
      <c r="T447" s="219">
        <v>44746</v>
      </c>
      <c r="U447" s="220">
        <v>44753</v>
      </c>
      <c r="V447" s="221">
        <v>44757</v>
      </c>
      <c r="W447" s="211" t="s">
        <v>2814</v>
      </c>
      <c r="X447" s="211" t="s">
        <v>55</v>
      </c>
      <c r="Y447" s="220" t="s">
        <v>2309</v>
      </c>
      <c r="Z447" s="222" t="s">
        <v>2087</v>
      </c>
      <c r="AA447" s="216" t="s">
        <v>2155</v>
      </c>
      <c r="AB447" s="227" t="s">
        <v>110</v>
      </c>
      <c r="AC447" s="295"/>
    </row>
    <row r="448" spans="1:29" ht="15.5" x14ac:dyDescent="0.35">
      <c r="A448" s="211">
        <v>6112</v>
      </c>
      <c r="B448" s="214" t="s">
        <v>2372</v>
      </c>
      <c r="C448" s="211">
        <v>7724</v>
      </c>
      <c r="D448" s="215" t="s">
        <v>110</v>
      </c>
      <c r="E448" s="215" t="s">
        <v>110</v>
      </c>
      <c r="F448" s="211" t="s">
        <v>110</v>
      </c>
      <c r="G448" s="211" t="s">
        <v>110</v>
      </c>
      <c r="H448" s="216" t="s">
        <v>2304</v>
      </c>
      <c r="I448" s="217" t="s">
        <v>2308</v>
      </c>
      <c r="J448" s="211" t="s">
        <v>2301</v>
      </c>
      <c r="K448" s="211" t="s">
        <v>2265</v>
      </c>
      <c r="L448" s="211" t="s">
        <v>2265</v>
      </c>
      <c r="M448" s="211" t="s">
        <v>1282</v>
      </c>
      <c r="N448" s="211" t="s">
        <v>14</v>
      </c>
      <c r="O448" s="211">
        <v>300</v>
      </c>
      <c r="P448" s="211" t="s">
        <v>276</v>
      </c>
      <c r="Q448" s="213" t="s">
        <v>108</v>
      </c>
      <c r="R448" s="218">
        <v>70000</v>
      </c>
      <c r="S448" s="218">
        <f t="shared" si="3"/>
        <v>21000000</v>
      </c>
      <c r="T448" s="219">
        <v>44746</v>
      </c>
      <c r="U448" s="220">
        <v>44753</v>
      </c>
      <c r="V448" s="221">
        <v>44757</v>
      </c>
      <c r="W448" s="211" t="s">
        <v>2814</v>
      </c>
      <c r="X448" s="211" t="s">
        <v>55</v>
      </c>
      <c r="Y448" s="220" t="s">
        <v>2309</v>
      </c>
      <c r="Z448" s="222" t="s">
        <v>2087</v>
      </c>
      <c r="AA448" s="216" t="s">
        <v>2155</v>
      </c>
      <c r="AB448" s="227" t="s">
        <v>110</v>
      </c>
      <c r="AC448" s="295"/>
    </row>
    <row r="449" spans="1:29" ht="31" x14ac:dyDescent="0.35">
      <c r="A449" s="211">
        <v>6134</v>
      </c>
      <c r="B449" s="223" t="s">
        <v>2605</v>
      </c>
      <c r="C449" s="211">
        <v>8066</v>
      </c>
      <c r="D449" s="215" t="s">
        <v>110</v>
      </c>
      <c r="E449" s="215" t="s">
        <v>110</v>
      </c>
      <c r="F449" s="211" t="s">
        <v>110</v>
      </c>
      <c r="G449" s="213" t="s">
        <v>2604</v>
      </c>
      <c r="H449" s="216" t="s">
        <v>1669</v>
      </c>
      <c r="I449" s="217" t="s">
        <v>1666</v>
      </c>
      <c r="J449" s="211" t="s">
        <v>1682</v>
      </c>
      <c r="K449" s="211" t="s">
        <v>1751</v>
      </c>
      <c r="L449" s="211" t="s">
        <v>1751</v>
      </c>
      <c r="M449" s="211" t="s">
        <v>1282</v>
      </c>
      <c r="N449" s="211" t="s">
        <v>14</v>
      </c>
      <c r="O449" s="211">
        <v>150</v>
      </c>
      <c r="P449" s="211" t="s">
        <v>964</v>
      </c>
      <c r="Q449" s="213" t="s">
        <v>108</v>
      </c>
      <c r="R449" s="218">
        <v>1975000</v>
      </c>
      <c r="S449" s="218">
        <f t="shared" si="3"/>
        <v>296250000</v>
      </c>
      <c r="T449" s="219">
        <v>44747</v>
      </c>
      <c r="U449" s="220">
        <v>44754</v>
      </c>
      <c r="V449" s="221">
        <v>44820</v>
      </c>
      <c r="W449" s="211" t="s">
        <v>2814</v>
      </c>
      <c r="X449" s="211" t="s">
        <v>16</v>
      </c>
      <c r="Y449" s="220">
        <v>44742</v>
      </c>
      <c r="Z449" s="222" t="s">
        <v>2087</v>
      </c>
      <c r="AA449" s="216" t="s">
        <v>2155</v>
      </c>
      <c r="AB449" s="227" t="s">
        <v>110</v>
      </c>
      <c r="AC449" s="295"/>
    </row>
    <row r="450" spans="1:29" ht="15.5" x14ac:dyDescent="0.35">
      <c r="A450" s="211">
        <v>6134</v>
      </c>
      <c r="B450" s="214" t="s">
        <v>2421</v>
      </c>
      <c r="C450" s="211">
        <v>8066</v>
      </c>
      <c r="D450" s="215" t="s">
        <v>110</v>
      </c>
      <c r="E450" s="215" t="s">
        <v>110</v>
      </c>
      <c r="F450" s="211" t="s">
        <v>110</v>
      </c>
      <c r="G450" s="211" t="s">
        <v>110</v>
      </c>
      <c r="H450" s="216" t="s">
        <v>1670</v>
      </c>
      <c r="I450" s="217" t="s">
        <v>1681</v>
      </c>
      <c r="J450" s="211" t="s">
        <v>1683</v>
      </c>
      <c r="K450" s="211" t="s">
        <v>1751</v>
      </c>
      <c r="L450" s="211" t="s">
        <v>1751</v>
      </c>
      <c r="M450" s="211" t="s">
        <v>1282</v>
      </c>
      <c r="N450" s="211" t="s">
        <v>14</v>
      </c>
      <c r="O450" s="211">
        <v>20</v>
      </c>
      <c r="P450" s="211" t="s">
        <v>964</v>
      </c>
      <c r="Q450" s="213" t="s">
        <v>108</v>
      </c>
      <c r="R450" s="218">
        <v>3375000</v>
      </c>
      <c r="S450" s="218">
        <f t="shared" si="3"/>
        <v>67500000</v>
      </c>
      <c r="T450" s="219">
        <v>44747</v>
      </c>
      <c r="U450" s="220">
        <v>44754</v>
      </c>
      <c r="V450" s="221">
        <v>44775</v>
      </c>
      <c r="W450" s="211" t="s">
        <v>2814</v>
      </c>
      <c r="X450" s="211" t="s">
        <v>16</v>
      </c>
      <c r="Y450" s="220">
        <v>44742</v>
      </c>
      <c r="Z450" s="222" t="s">
        <v>2087</v>
      </c>
      <c r="AA450" s="216" t="s">
        <v>2155</v>
      </c>
      <c r="AB450" s="227" t="s">
        <v>110</v>
      </c>
      <c r="AC450" s="295"/>
    </row>
    <row r="451" spans="1:29" ht="15.5" x14ac:dyDescent="0.35">
      <c r="A451" s="211">
        <v>6133</v>
      </c>
      <c r="B451" s="214" t="s">
        <v>2464</v>
      </c>
      <c r="C451" s="211">
        <v>8067</v>
      </c>
      <c r="D451" s="215" t="s">
        <v>110</v>
      </c>
      <c r="E451" s="215" t="s">
        <v>110</v>
      </c>
      <c r="F451" s="211" t="s">
        <v>110</v>
      </c>
      <c r="G451" s="211" t="s">
        <v>110</v>
      </c>
      <c r="H451" s="216" t="s">
        <v>1671</v>
      </c>
      <c r="I451" s="217" t="s">
        <v>1667</v>
      </c>
      <c r="J451" s="211" t="s">
        <v>1868</v>
      </c>
      <c r="K451" s="211" t="s">
        <v>1100</v>
      </c>
      <c r="L451" s="211" t="s">
        <v>1100</v>
      </c>
      <c r="M451" s="211" t="s">
        <v>1282</v>
      </c>
      <c r="N451" s="211" t="s">
        <v>14</v>
      </c>
      <c r="O451" s="211">
        <v>30000</v>
      </c>
      <c r="P451" s="211" t="s">
        <v>37</v>
      </c>
      <c r="Q451" s="213" t="s">
        <v>108</v>
      </c>
      <c r="R451" s="218">
        <v>5300</v>
      </c>
      <c r="S451" s="218">
        <f t="shared" si="3"/>
        <v>159000000</v>
      </c>
      <c r="T451" s="219">
        <v>44747</v>
      </c>
      <c r="U451" s="220">
        <v>44768</v>
      </c>
      <c r="V451" s="221">
        <v>44784</v>
      </c>
      <c r="W451" s="211" t="s">
        <v>2814</v>
      </c>
      <c r="X451" s="211" t="s">
        <v>16</v>
      </c>
      <c r="Y451" s="220">
        <v>44742</v>
      </c>
      <c r="Z451" s="222" t="s">
        <v>2087</v>
      </c>
      <c r="AA451" s="216" t="s">
        <v>2155</v>
      </c>
      <c r="AB451" s="227" t="s">
        <v>110</v>
      </c>
      <c r="AC451" s="295"/>
    </row>
    <row r="452" spans="1:29" ht="15.5" x14ac:dyDescent="0.35">
      <c r="A452" s="211">
        <v>6133</v>
      </c>
      <c r="B452" s="214" t="s">
        <v>2464</v>
      </c>
      <c r="C452" s="211">
        <v>8067</v>
      </c>
      <c r="D452" s="215" t="s">
        <v>110</v>
      </c>
      <c r="E452" s="215" t="s">
        <v>110</v>
      </c>
      <c r="F452" s="211" t="s">
        <v>110</v>
      </c>
      <c r="G452" s="211" t="s">
        <v>110</v>
      </c>
      <c r="H452" s="216" t="s">
        <v>1672</v>
      </c>
      <c r="I452" s="217" t="s">
        <v>1668</v>
      </c>
      <c r="J452" s="211" t="s">
        <v>1869</v>
      </c>
      <c r="K452" s="211" t="s">
        <v>1100</v>
      </c>
      <c r="L452" s="211" t="s">
        <v>1100</v>
      </c>
      <c r="M452" s="211" t="s">
        <v>1282</v>
      </c>
      <c r="N452" s="211" t="s">
        <v>14</v>
      </c>
      <c r="O452" s="211">
        <v>40000</v>
      </c>
      <c r="P452" s="211" t="s">
        <v>37</v>
      </c>
      <c r="Q452" s="213" t="s">
        <v>108</v>
      </c>
      <c r="R452" s="218">
        <v>7300</v>
      </c>
      <c r="S452" s="218">
        <f t="shared" si="3"/>
        <v>292000000</v>
      </c>
      <c r="T452" s="219">
        <v>44747</v>
      </c>
      <c r="U452" s="220">
        <v>44768</v>
      </c>
      <c r="V452" s="221">
        <v>44784</v>
      </c>
      <c r="W452" s="211" t="s">
        <v>2814</v>
      </c>
      <c r="X452" s="211" t="s">
        <v>16</v>
      </c>
      <c r="Y452" s="220">
        <v>44742</v>
      </c>
      <c r="Z452" s="222" t="s">
        <v>2087</v>
      </c>
      <c r="AA452" s="216" t="s">
        <v>2155</v>
      </c>
      <c r="AB452" s="227" t="s">
        <v>110</v>
      </c>
      <c r="AC452" s="295"/>
    </row>
    <row r="453" spans="1:29" ht="15.5" x14ac:dyDescent="0.35">
      <c r="A453" s="211">
        <v>6083</v>
      </c>
      <c r="B453" s="214" t="s">
        <v>2513</v>
      </c>
      <c r="C453" s="211">
        <v>7679</v>
      </c>
      <c r="D453" s="215" t="s">
        <v>110</v>
      </c>
      <c r="E453" s="215" t="s">
        <v>110</v>
      </c>
      <c r="F453" s="211" t="s">
        <v>110</v>
      </c>
      <c r="G453" s="211">
        <v>200</v>
      </c>
      <c r="H453" s="216" t="s">
        <v>2206</v>
      </c>
      <c r="I453" s="217" t="s">
        <v>2207</v>
      </c>
      <c r="J453" s="211" t="s">
        <v>2200</v>
      </c>
      <c r="K453" s="211" t="s">
        <v>2265</v>
      </c>
      <c r="L453" s="211" t="s">
        <v>2265</v>
      </c>
      <c r="M453" s="211" t="s">
        <v>1282</v>
      </c>
      <c r="N453" s="211" t="s">
        <v>14</v>
      </c>
      <c r="O453" s="211">
        <v>400</v>
      </c>
      <c r="P453" s="211" t="s">
        <v>37</v>
      </c>
      <c r="Q453" s="226" t="s">
        <v>108</v>
      </c>
      <c r="R453" s="218">
        <v>795000</v>
      </c>
      <c r="S453" s="218">
        <f t="shared" si="3"/>
        <v>318000000</v>
      </c>
      <c r="T453" s="219">
        <v>44743</v>
      </c>
      <c r="U453" s="220">
        <v>44753</v>
      </c>
      <c r="V453" s="221">
        <v>44796</v>
      </c>
      <c r="W453" s="211" t="s">
        <v>2814</v>
      </c>
      <c r="X453" s="211" t="s">
        <v>55</v>
      </c>
      <c r="Y453" s="220">
        <v>44742</v>
      </c>
      <c r="Z453" s="222" t="s">
        <v>2087</v>
      </c>
      <c r="AA453" s="216" t="s">
        <v>2155</v>
      </c>
      <c r="AB453" s="227" t="s">
        <v>110</v>
      </c>
      <c r="AC453" s="295"/>
    </row>
    <row r="454" spans="1:29" ht="15.5" x14ac:dyDescent="0.35">
      <c r="A454" s="211">
        <v>6083</v>
      </c>
      <c r="B454" s="214" t="s">
        <v>2478</v>
      </c>
      <c r="C454" s="211">
        <v>7679</v>
      </c>
      <c r="D454" s="215" t="s">
        <v>110</v>
      </c>
      <c r="E454" s="215" t="s">
        <v>110</v>
      </c>
      <c r="F454" s="211" t="s">
        <v>110</v>
      </c>
      <c r="G454" s="211" t="s">
        <v>110</v>
      </c>
      <c r="H454" s="216" t="s">
        <v>2208</v>
      </c>
      <c r="I454" s="217" t="s">
        <v>2209</v>
      </c>
      <c r="J454" s="211" t="s">
        <v>2201</v>
      </c>
      <c r="K454" s="211" t="s">
        <v>2265</v>
      </c>
      <c r="L454" s="211" t="s">
        <v>2265</v>
      </c>
      <c r="M454" s="211" t="s">
        <v>1282</v>
      </c>
      <c r="N454" s="211" t="s">
        <v>14</v>
      </c>
      <c r="O454" s="211">
        <v>400</v>
      </c>
      <c r="P454" s="211" t="s">
        <v>37</v>
      </c>
      <c r="Q454" s="226" t="s">
        <v>108</v>
      </c>
      <c r="R454" s="218">
        <v>245000</v>
      </c>
      <c r="S454" s="218">
        <f t="shared" si="3"/>
        <v>98000000</v>
      </c>
      <c r="T454" s="219">
        <v>44743</v>
      </c>
      <c r="U454" s="220">
        <v>44753</v>
      </c>
      <c r="V454" s="221">
        <v>44792</v>
      </c>
      <c r="W454" s="211" t="s">
        <v>2814</v>
      </c>
      <c r="X454" s="211" t="s">
        <v>55</v>
      </c>
      <c r="Y454" s="220">
        <v>44742</v>
      </c>
      <c r="Z454" s="222" t="s">
        <v>2087</v>
      </c>
      <c r="AA454" s="216" t="s">
        <v>2155</v>
      </c>
      <c r="AB454" s="227" t="s">
        <v>110</v>
      </c>
      <c r="AC454" s="295"/>
    </row>
    <row r="455" spans="1:29" ht="15.5" x14ac:dyDescent="0.35">
      <c r="A455" s="211">
        <v>6083</v>
      </c>
      <c r="B455" s="214" t="s">
        <v>2405</v>
      </c>
      <c r="C455" s="211">
        <v>7679</v>
      </c>
      <c r="D455" s="215" t="s">
        <v>110</v>
      </c>
      <c r="E455" s="215" t="s">
        <v>110</v>
      </c>
      <c r="F455" s="211" t="s">
        <v>110</v>
      </c>
      <c r="G455" s="211" t="s">
        <v>110</v>
      </c>
      <c r="H455" s="216" t="s">
        <v>2210</v>
      </c>
      <c r="I455" s="217" t="s">
        <v>2211</v>
      </c>
      <c r="J455" s="211" t="s">
        <v>2202</v>
      </c>
      <c r="K455" s="211" t="s">
        <v>2265</v>
      </c>
      <c r="L455" s="211" t="s">
        <v>2265</v>
      </c>
      <c r="M455" s="211" t="s">
        <v>1282</v>
      </c>
      <c r="N455" s="211" t="s">
        <v>14</v>
      </c>
      <c r="O455" s="211">
        <v>100</v>
      </c>
      <c r="P455" s="211" t="s">
        <v>37</v>
      </c>
      <c r="Q455" s="226" t="s">
        <v>108</v>
      </c>
      <c r="R455" s="218">
        <v>860000</v>
      </c>
      <c r="S455" s="218">
        <f t="shared" si="3"/>
        <v>86000000</v>
      </c>
      <c r="T455" s="219">
        <v>44743</v>
      </c>
      <c r="U455" s="220">
        <v>44753</v>
      </c>
      <c r="V455" s="221">
        <v>44767</v>
      </c>
      <c r="W455" s="211" t="s">
        <v>2814</v>
      </c>
      <c r="X455" s="211" t="s">
        <v>55</v>
      </c>
      <c r="Y455" s="220">
        <v>44742</v>
      </c>
      <c r="Z455" s="222" t="s">
        <v>2087</v>
      </c>
      <c r="AA455" s="216" t="s">
        <v>2155</v>
      </c>
      <c r="AB455" s="227" t="s">
        <v>110</v>
      </c>
      <c r="AC455" s="295"/>
    </row>
    <row r="456" spans="1:29" ht="15.5" x14ac:dyDescent="0.35">
      <c r="A456" s="211">
        <v>6083</v>
      </c>
      <c r="B456" s="214" t="s">
        <v>2405</v>
      </c>
      <c r="C456" s="211">
        <v>7679</v>
      </c>
      <c r="D456" s="215" t="s">
        <v>110</v>
      </c>
      <c r="E456" s="215" t="s">
        <v>110</v>
      </c>
      <c r="F456" s="211" t="s">
        <v>110</v>
      </c>
      <c r="G456" s="211" t="s">
        <v>110</v>
      </c>
      <c r="H456" s="216" t="s">
        <v>2212</v>
      </c>
      <c r="I456" s="217" t="s">
        <v>2213</v>
      </c>
      <c r="J456" s="211" t="s">
        <v>2203</v>
      </c>
      <c r="K456" s="211" t="s">
        <v>2265</v>
      </c>
      <c r="L456" s="211" t="s">
        <v>2265</v>
      </c>
      <c r="M456" s="211" t="s">
        <v>1282</v>
      </c>
      <c r="N456" s="211" t="s">
        <v>14</v>
      </c>
      <c r="O456" s="211">
        <v>100</v>
      </c>
      <c r="P456" s="211" t="s">
        <v>37</v>
      </c>
      <c r="Q456" s="226" t="s">
        <v>108</v>
      </c>
      <c r="R456" s="218">
        <v>276000</v>
      </c>
      <c r="S456" s="218">
        <f t="shared" si="3"/>
        <v>27600000</v>
      </c>
      <c r="T456" s="219">
        <v>44743</v>
      </c>
      <c r="U456" s="220">
        <v>44753</v>
      </c>
      <c r="V456" s="221">
        <v>44767</v>
      </c>
      <c r="W456" s="211" t="s">
        <v>2814</v>
      </c>
      <c r="X456" s="211" t="s">
        <v>55</v>
      </c>
      <c r="Y456" s="220">
        <v>44742</v>
      </c>
      <c r="Z456" s="222" t="s">
        <v>2087</v>
      </c>
      <c r="AA456" s="216" t="s">
        <v>2155</v>
      </c>
      <c r="AB456" s="227" t="s">
        <v>110</v>
      </c>
      <c r="AC456" s="295"/>
    </row>
    <row r="457" spans="1:29" ht="15.5" x14ac:dyDescent="0.35">
      <c r="A457" s="211">
        <v>6083</v>
      </c>
      <c r="B457" s="214" t="s">
        <v>2478</v>
      </c>
      <c r="C457" s="211">
        <v>7679</v>
      </c>
      <c r="D457" s="215" t="s">
        <v>110</v>
      </c>
      <c r="E457" s="215" t="s">
        <v>110</v>
      </c>
      <c r="F457" s="211" t="s">
        <v>110</v>
      </c>
      <c r="G457" s="211" t="s">
        <v>110</v>
      </c>
      <c r="H457" s="216" t="s">
        <v>2214</v>
      </c>
      <c r="I457" s="217" t="s">
        <v>2215</v>
      </c>
      <c r="J457" s="211" t="s">
        <v>2204</v>
      </c>
      <c r="K457" s="211" t="s">
        <v>2265</v>
      </c>
      <c r="L457" s="211" t="s">
        <v>2265</v>
      </c>
      <c r="M457" s="211" t="s">
        <v>1282</v>
      </c>
      <c r="N457" s="211" t="s">
        <v>14</v>
      </c>
      <c r="O457" s="211">
        <v>1600</v>
      </c>
      <c r="P457" s="211" t="s">
        <v>37</v>
      </c>
      <c r="Q457" s="226" t="s">
        <v>108</v>
      </c>
      <c r="R457" s="218">
        <v>55000</v>
      </c>
      <c r="S457" s="218">
        <f t="shared" si="3"/>
        <v>88000000</v>
      </c>
      <c r="T457" s="219">
        <v>44743</v>
      </c>
      <c r="U457" s="220">
        <v>44753</v>
      </c>
      <c r="V457" s="221">
        <v>44792</v>
      </c>
      <c r="W457" s="211" t="s">
        <v>2814</v>
      </c>
      <c r="X457" s="211" t="s">
        <v>55</v>
      </c>
      <c r="Y457" s="220">
        <v>44742</v>
      </c>
      <c r="Z457" s="222" t="s">
        <v>2087</v>
      </c>
      <c r="AA457" s="216" t="s">
        <v>2155</v>
      </c>
      <c r="AB457" s="227" t="s">
        <v>110</v>
      </c>
      <c r="AC457" s="295"/>
    </row>
    <row r="458" spans="1:29" ht="15.5" x14ac:dyDescent="0.35">
      <c r="A458" s="211">
        <v>6083</v>
      </c>
      <c r="B458" s="214" t="s">
        <v>2478</v>
      </c>
      <c r="C458" s="211">
        <v>7679</v>
      </c>
      <c r="D458" s="215" t="s">
        <v>110</v>
      </c>
      <c r="E458" s="215" t="s">
        <v>110</v>
      </c>
      <c r="F458" s="211" t="s">
        <v>110</v>
      </c>
      <c r="G458" s="211" t="s">
        <v>110</v>
      </c>
      <c r="H458" s="216" t="s">
        <v>2216</v>
      </c>
      <c r="I458" s="217" t="s">
        <v>2217</v>
      </c>
      <c r="J458" s="211" t="s">
        <v>2205</v>
      </c>
      <c r="K458" s="211" t="s">
        <v>2265</v>
      </c>
      <c r="L458" s="211" t="s">
        <v>2265</v>
      </c>
      <c r="M458" s="211" t="s">
        <v>1282</v>
      </c>
      <c r="N458" s="211" t="s">
        <v>14</v>
      </c>
      <c r="O458" s="211">
        <v>3200</v>
      </c>
      <c r="P458" s="211" t="s">
        <v>37</v>
      </c>
      <c r="Q458" s="226" t="s">
        <v>108</v>
      </c>
      <c r="R458" s="218">
        <v>22000</v>
      </c>
      <c r="S458" s="218">
        <f t="shared" si="3"/>
        <v>70400000</v>
      </c>
      <c r="T458" s="219">
        <v>44743</v>
      </c>
      <c r="U458" s="220">
        <v>44753</v>
      </c>
      <c r="V458" s="221">
        <v>44792</v>
      </c>
      <c r="W458" s="211" t="s">
        <v>2814</v>
      </c>
      <c r="X458" s="211" t="s">
        <v>55</v>
      </c>
      <c r="Y458" s="220">
        <v>44742</v>
      </c>
      <c r="Z458" s="222" t="s">
        <v>2087</v>
      </c>
      <c r="AA458" s="216" t="s">
        <v>2155</v>
      </c>
      <c r="AB458" s="227" t="s">
        <v>110</v>
      </c>
      <c r="AC458" s="295"/>
    </row>
    <row r="459" spans="1:29" ht="15.5" x14ac:dyDescent="0.35">
      <c r="A459" s="211">
        <v>6246</v>
      </c>
      <c r="B459" s="214" t="s">
        <v>2379</v>
      </c>
      <c r="C459" s="211">
        <v>8198</v>
      </c>
      <c r="D459" s="215" t="s">
        <v>110</v>
      </c>
      <c r="E459" s="215" t="s">
        <v>110</v>
      </c>
      <c r="F459" s="211" t="s">
        <v>110</v>
      </c>
      <c r="G459" s="211" t="s">
        <v>110</v>
      </c>
      <c r="H459" s="216" t="s">
        <v>2362</v>
      </c>
      <c r="I459" s="217" t="s">
        <v>2361</v>
      </c>
      <c r="J459" s="211" t="s">
        <v>2363</v>
      </c>
      <c r="K459" s="211" t="s">
        <v>1150</v>
      </c>
      <c r="L459" s="211" t="s">
        <v>218</v>
      </c>
      <c r="M459" s="211" t="s">
        <v>123</v>
      </c>
      <c r="N459" s="211" t="s">
        <v>14</v>
      </c>
      <c r="O459" s="211">
        <v>500</v>
      </c>
      <c r="P459" s="211" t="s">
        <v>47</v>
      </c>
      <c r="Q459" s="226" t="s">
        <v>108</v>
      </c>
      <c r="R459" s="218">
        <v>42000</v>
      </c>
      <c r="S459" s="218">
        <f t="shared" si="3"/>
        <v>21000000</v>
      </c>
      <c r="T459" s="219">
        <v>44755</v>
      </c>
      <c r="U459" s="220">
        <v>44762</v>
      </c>
      <c r="V459" s="221">
        <v>44763</v>
      </c>
      <c r="W459" s="211" t="s">
        <v>2813</v>
      </c>
      <c r="X459" s="211" t="s">
        <v>16</v>
      </c>
      <c r="Y459" s="220">
        <v>44742</v>
      </c>
      <c r="Z459" s="222" t="s">
        <v>328</v>
      </c>
      <c r="AA459" s="216" t="s">
        <v>2132</v>
      </c>
      <c r="AB459" s="227"/>
      <c r="AC459" s="295"/>
    </row>
    <row r="460" spans="1:29" ht="15.5" x14ac:dyDescent="0.35">
      <c r="A460" s="211">
        <v>6200</v>
      </c>
      <c r="B460" s="214" t="s">
        <v>2401</v>
      </c>
      <c r="C460" s="211" t="s">
        <v>2353</v>
      </c>
      <c r="D460" s="215" t="s">
        <v>110</v>
      </c>
      <c r="E460" s="215" t="s">
        <v>110</v>
      </c>
      <c r="F460" s="211" t="s">
        <v>110</v>
      </c>
      <c r="G460" s="211" t="s">
        <v>110</v>
      </c>
      <c r="H460" s="216" t="s">
        <v>2315</v>
      </c>
      <c r="I460" s="217" t="s">
        <v>2316</v>
      </c>
      <c r="J460" s="211" t="s">
        <v>2352</v>
      </c>
      <c r="K460" s="211" t="s">
        <v>2061</v>
      </c>
      <c r="L460" s="211" t="s">
        <v>102</v>
      </c>
      <c r="M460" s="211" t="s">
        <v>123</v>
      </c>
      <c r="N460" s="211" t="s">
        <v>14</v>
      </c>
      <c r="O460" s="211">
        <v>10</v>
      </c>
      <c r="P460" s="211" t="s">
        <v>799</v>
      </c>
      <c r="Q460" s="226" t="s">
        <v>108</v>
      </c>
      <c r="R460" s="218">
        <v>106000</v>
      </c>
      <c r="S460" s="218">
        <f>Product_Name[[#This Row],[Đơn giá
Unit Price]]*Product_Name[[#This Row],[Số lượng
Quantity]]</f>
        <v>1060000</v>
      </c>
      <c r="T460" s="219">
        <v>44754</v>
      </c>
      <c r="U460" s="220">
        <v>44785</v>
      </c>
      <c r="V460" s="221">
        <v>44767</v>
      </c>
      <c r="W460" s="214" t="s">
        <v>1537</v>
      </c>
      <c r="X460" s="211" t="s">
        <v>55</v>
      </c>
      <c r="Y460" s="220" t="s">
        <v>2317</v>
      </c>
      <c r="Z460" s="222" t="s">
        <v>2087</v>
      </c>
      <c r="AA460" s="216" t="s">
        <v>2155</v>
      </c>
      <c r="AB460" s="227" t="s">
        <v>110</v>
      </c>
      <c r="AC460" s="295"/>
    </row>
    <row r="461" spans="1:29" ht="15.5" x14ac:dyDescent="0.35">
      <c r="A461" s="211" t="s">
        <v>110</v>
      </c>
      <c r="B461" s="214" t="s">
        <v>2564</v>
      </c>
      <c r="C461" s="211" t="s">
        <v>110</v>
      </c>
      <c r="D461" s="215">
        <v>2950</v>
      </c>
      <c r="E461" s="215">
        <v>6360</v>
      </c>
      <c r="F461" s="211" t="s">
        <v>2380</v>
      </c>
      <c r="G461" s="211" t="s">
        <v>2385</v>
      </c>
      <c r="H461" s="216" t="s">
        <v>2319</v>
      </c>
      <c r="I461" s="217" t="s">
        <v>2273</v>
      </c>
      <c r="J461" s="211" t="s">
        <v>2318</v>
      </c>
      <c r="K461" s="211" t="s">
        <v>733</v>
      </c>
      <c r="L461" s="211" t="s">
        <v>733</v>
      </c>
      <c r="M461" s="214" t="s">
        <v>796</v>
      </c>
      <c r="N461" s="211" t="s">
        <v>642</v>
      </c>
      <c r="O461" s="211">
        <v>1</v>
      </c>
      <c r="P461" s="211" t="s">
        <v>37</v>
      </c>
      <c r="Q461" s="226" t="s">
        <v>108</v>
      </c>
      <c r="R461" s="218">
        <v>18970000</v>
      </c>
      <c r="S461" s="218">
        <f>Product_Name[[#This Row],[Đơn giá
Unit Price]]*Product_Name[[#This Row],[Số lượng
Quantity]]</f>
        <v>18970000</v>
      </c>
      <c r="T461" s="219">
        <v>44764</v>
      </c>
      <c r="U461" s="220">
        <v>44795</v>
      </c>
      <c r="V461" s="221">
        <v>44816</v>
      </c>
      <c r="W461" s="214" t="s">
        <v>2577</v>
      </c>
      <c r="X461" s="211" t="s">
        <v>55</v>
      </c>
      <c r="Y461" s="220" t="s">
        <v>2338</v>
      </c>
      <c r="Z461" s="222"/>
      <c r="AA461" s="216" t="s">
        <v>2320</v>
      </c>
      <c r="AB461" s="227">
        <v>44761</v>
      </c>
      <c r="AC461" s="295"/>
    </row>
    <row r="462" spans="1:29" ht="15.5" x14ac:dyDescent="0.35">
      <c r="A462" s="211">
        <v>6100</v>
      </c>
      <c r="B462" s="214" t="s">
        <v>2728</v>
      </c>
      <c r="C462" s="211">
        <v>7723</v>
      </c>
      <c r="D462" s="215" t="s">
        <v>110</v>
      </c>
      <c r="E462" s="215" t="s">
        <v>110</v>
      </c>
      <c r="F462" s="211" t="s">
        <v>110</v>
      </c>
      <c r="G462" s="211" t="s">
        <v>110</v>
      </c>
      <c r="H462" s="216" t="s">
        <v>1410</v>
      </c>
      <c r="I462" s="217" t="s">
        <v>1408</v>
      </c>
      <c r="J462" s="211" t="s">
        <v>1407</v>
      </c>
      <c r="K462" s="211" t="s">
        <v>1461</v>
      </c>
      <c r="L462" s="211" t="s">
        <v>30</v>
      </c>
      <c r="M462" s="211" t="s">
        <v>795</v>
      </c>
      <c r="N462" s="211" t="s">
        <v>14</v>
      </c>
      <c r="O462" s="211">
        <v>200</v>
      </c>
      <c r="P462" s="211" t="s">
        <v>276</v>
      </c>
      <c r="Q462" s="226" t="s">
        <v>390</v>
      </c>
      <c r="R462" s="237">
        <v>58.6</v>
      </c>
      <c r="S462" s="218">
        <f>Product_Name[[#This Row],[Đơn giá
Unit Price]]*Product_Name[[#This Row],[Số lượng
Quantity]]</f>
        <v>11720</v>
      </c>
      <c r="T462" s="219">
        <v>44746</v>
      </c>
      <c r="U462" s="220">
        <v>44823</v>
      </c>
      <c r="V462" s="221">
        <v>44848</v>
      </c>
      <c r="W462" s="211" t="s">
        <v>3198</v>
      </c>
      <c r="X462" s="211" t="s">
        <v>16</v>
      </c>
      <c r="Y462" s="220">
        <v>44746</v>
      </c>
      <c r="Z462" s="222" t="s">
        <v>2087</v>
      </c>
      <c r="AA462" s="216" t="s">
        <v>2056</v>
      </c>
      <c r="AB462" s="227"/>
      <c r="AC462" s="295"/>
    </row>
    <row r="463" spans="1:29" ht="15.5" x14ac:dyDescent="0.35">
      <c r="A463" s="211">
        <v>6188</v>
      </c>
      <c r="B463" s="214" t="s">
        <v>2377</v>
      </c>
      <c r="C463" s="211">
        <v>8143</v>
      </c>
      <c r="D463" s="215" t="s">
        <v>110</v>
      </c>
      <c r="E463" s="215" t="s">
        <v>110</v>
      </c>
      <c r="F463" s="211" t="s">
        <v>110</v>
      </c>
      <c r="G463" s="211" t="s">
        <v>110</v>
      </c>
      <c r="H463" s="216" t="s">
        <v>219</v>
      </c>
      <c r="I463" s="217" t="s">
        <v>2330</v>
      </c>
      <c r="J463" s="211" t="s">
        <v>933</v>
      </c>
      <c r="K463" s="211" t="s">
        <v>210</v>
      </c>
      <c r="L463" s="211" t="s">
        <v>210</v>
      </c>
      <c r="M463" s="211" t="s">
        <v>327</v>
      </c>
      <c r="N463" s="211" t="s">
        <v>14</v>
      </c>
      <c r="O463" s="211">
        <v>2</v>
      </c>
      <c r="P463" s="211" t="s">
        <v>105</v>
      </c>
      <c r="Q463" s="226" t="s">
        <v>108</v>
      </c>
      <c r="R463" s="218">
        <v>345000</v>
      </c>
      <c r="S463" s="218">
        <f>Product_Name[[#This Row],[Đơn giá
Unit Price]]*Product_Name[[#This Row],[Số lượng
Quantity]]</f>
        <v>690000</v>
      </c>
      <c r="T463" s="219">
        <v>44753</v>
      </c>
      <c r="U463" s="220">
        <v>44760</v>
      </c>
      <c r="V463" s="221">
        <v>44760</v>
      </c>
      <c r="W463" s="211" t="s">
        <v>21</v>
      </c>
      <c r="X463" s="211" t="s">
        <v>16</v>
      </c>
      <c r="Y463" s="220">
        <v>44746</v>
      </c>
      <c r="Z463" s="222" t="s">
        <v>2087</v>
      </c>
      <c r="AA463" s="216" t="s">
        <v>2181</v>
      </c>
      <c r="AB463" s="227"/>
      <c r="AC463" s="295"/>
    </row>
    <row r="464" spans="1:29" ht="15.5" x14ac:dyDescent="0.35">
      <c r="A464" s="211">
        <v>6279</v>
      </c>
      <c r="B464" s="214" t="s">
        <v>2443</v>
      </c>
      <c r="C464" s="211">
        <v>8242</v>
      </c>
      <c r="D464" s="215" t="s">
        <v>110</v>
      </c>
      <c r="E464" s="215" t="s">
        <v>110</v>
      </c>
      <c r="F464" s="211" t="s">
        <v>110</v>
      </c>
      <c r="G464" s="211" t="s">
        <v>110</v>
      </c>
      <c r="H464" s="216" t="s">
        <v>2370</v>
      </c>
      <c r="I464" s="217" t="s">
        <v>2341</v>
      </c>
      <c r="J464" s="211" t="s">
        <v>2340</v>
      </c>
      <c r="K464" s="211" t="s">
        <v>1426</v>
      </c>
      <c r="L464" s="211" t="s">
        <v>1281</v>
      </c>
      <c r="M464" s="211" t="s">
        <v>826</v>
      </c>
      <c r="N464" s="211" t="s">
        <v>14</v>
      </c>
      <c r="O464" s="211">
        <v>5</v>
      </c>
      <c r="P464" s="211" t="s">
        <v>276</v>
      </c>
      <c r="Q464" s="226" t="s">
        <v>108</v>
      </c>
      <c r="R464" s="218">
        <v>65000</v>
      </c>
      <c r="S464" s="218">
        <f>Product_Name[[#This Row],[Đơn giá
Unit Price]]*Product_Name[[#This Row],[Số lượng
Quantity]]</f>
        <v>325000</v>
      </c>
      <c r="T464" s="219">
        <v>44757</v>
      </c>
      <c r="U464" s="220">
        <v>44781</v>
      </c>
      <c r="V464" s="221">
        <v>44778</v>
      </c>
      <c r="W464" s="211" t="s">
        <v>21</v>
      </c>
      <c r="X464" s="211" t="s">
        <v>54</v>
      </c>
      <c r="Y464" s="220" t="s">
        <v>2342</v>
      </c>
      <c r="Z464" s="222" t="s">
        <v>2087</v>
      </c>
      <c r="AA464" s="216" t="s">
        <v>2290</v>
      </c>
      <c r="AB464" s="227"/>
      <c r="AC464" s="295"/>
    </row>
    <row r="465" spans="1:29" ht="15.5" x14ac:dyDescent="0.35">
      <c r="A465" s="211" t="s">
        <v>110</v>
      </c>
      <c r="B465" s="214" t="s">
        <v>2624</v>
      </c>
      <c r="C465" s="211" t="s">
        <v>110</v>
      </c>
      <c r="D465" s="215">
        <v>2946</v>
      </c>
      <c r="E465" s="215">
        <v>6331</v>
      </c>
      <c r="F465" s="211" t="s">
        <v>2371</v>
      </c>
      <c r="G465" s="211" t="s">
        <v>2381</v>
      </c>
      <c r="H465" s="216" t="s">
        <v>2345</v>
      </c>
      <c r="I465" s="217" t="s">
        <v>2346</v>
      </c>
      <c r="J465" s="211" t="s">
        <v>2344</v>
      </c>
      <c r="K465" s="211" t="s">
        <v>733</v>
      </c>
      <c r="L465" s="211" t="s">
        <v>733</v>
      </c>
      <c r="M465" s="214" t="s">
        <v>796</v>
      </c>
      <c r="N465" s="211" t="s">
        <v>642</v>
      </c>
      <c r="O465" s="211">
        <v>10</v>
      </c>
      <c r="P465" s="211" t="s">
        <v>44</v>
      </c>
      <c r="Q465" s="226" t="s">
        <v>108</v>
      </c>
      <c r="R465" s="218">
        <v>12345000</v>
      </c>
      <c r="S465" s="218">
        <f>Product_Name[[#This Row],[Đơn giá
Unit Price]]*Product_Name[[#This Row],[Số lượng
Quantity]]</f>
        <v>123450000</v>
      </c>
      <c r="T465" s="219">
        <v>44764</v>
      </c>
      <c r="U465" s="220">
        <v>44805</v>
      </c>
      <c r="V465" s="221">
        <v>44824</v>
      </c>
      <c r="W465" s="211" t="s">
        <v>21</v>
      </c>
      <c r="X465" s="211" t="s">
        <v>16</v>
      </c>
      <c r="Y465" s="220" t="s">
        <v>2350</v>
      </c>
      <c r="Z465" s="222"/>
      <c r="AA465" s="216" t="s">
        <v>2181</v>
      </c>
      <c r="AB465" s="227">
        <v>44758</v>
      </c>
      <c r="AC465" s="295"/>
    </row>
    <row r="466" spans="1:29" ht="15.5" x14ac:dyDescent="0.35">
      <c r="A466" s="211" t="s">
        <v>110</v>
      </c>
      <c r="B466" s="214" t="s">
        <v>2419</v>
      </c>
      <c r="C466" s="211" t="s">
        <v>110</v>
      </c>
      <c r="D466" s="215">
        <v>2909</v>
      </c>
      <c r="E466" s="215">
        <v>6285</v>
      </c>
      <c r="F466" s="211" t="s">
        <v>110</v>
      </c>
      <c r="G466" s="211" t="s">
        <v>110</v>
      </c>
      <c r="H466" s="216" t="s">
        <v>2347</v>
      </c>
      <c r="I466" s="217" t="s">
        <v>2351</v>
      </c>
      <c r="J466" s="211" t="s">
        <v>2373</v>
      </c>
      <c r="K466" s="211" t="s">
        <v>1810</v>
      </c>
      <c r="L466" s="211" t="s">
        <v>176</v>
      </c>
      <c r="M466" s="214" t="s">
        <v>796</v>
      </c>
      <c r="N466" s="211" t="s">
        <v>642</v>
      </c>
      <c r="O466" s="211">
        <v>2</v>
      </c>
      <c r="P466" s="211" t="s">
        <v>276</v>
      </c>
      <c r="Q466" s="226" t="s">
        <v>108</v>
      </c>
      <c r="R466" s="218">
        <v>630000</v>
      </c>
      <c r="S466" s="218">
        <f>Product_Name[[#This Row],[Đơn giá
Unit Price]]*Product_Name[[#This Row],[Số lượng
Quantity]]</f>
        <v>1260000</v>
      </c>
      <c r="T466" s="219">
        <v>44758</v>
      </c>
      <c r="U466" s="220">
        <v>44774</v>
      </c>
      <c r="V466" s="221">
        <v>44774</v>
      </c>
      <c r="W466" s="214" t="s">
        <v>1537</v>
      </c>
      <c r="X466" s="211" t="s">
        <v>16</v>
      </c>
      <c r="Y466" s="220" t="s">
        <v>2358</v>
      </c>
      <c r="Z466" s="222"/>
      <c r="AA466" s="216" t="s">
        <v>2348</v>
      </c>
      <c r="AB466" s="227" t="s">
        <v>110</v>
      </c>
      <c r="AC466" s="295"/>
    </row>
    <row r="467" spans="1:29" ht="15.5" x14ac:dyDescent="0.35">
      <c r="A467" s="211">
        <v>6199</v>
      </c>
      <c r="B467" s="214" t="s">
        <v>2378</v>
      </c>
      <c r="C467" s="211">
        <v>8164</v>
      </c>
      <c r="D467" s="215" t="s">
        <v>110</v>
      </c>
      <c r="E467" s="215" t="s">
        <v>110</v>
      </c>
      <c r="F467" s="214" t="s">
        <v>110</v>
      </c>
      <c r="G467" s="214" t="s">
        <v>110</v>
      </c>
      <c r="H467" s="216" t="s">
        <v>1019</v>
      </c>
      <c r="I467" s="217" t="s">
        <v>1020</v>
      </c>
      <c r="J467" s="211" t="s">
        <v>1235</v>
      </c>
      <c r="K467" s="211" t="s">
        <v>1237</v>
      </c>
      <c r="L467" s="211" t="s">
        <v>1238</v>
      </c>
      <c r="M467" s="211" t="s">
        <v>795</v>
      </c>
      <c r="N467" s="211" t="s">
        <v>14</v>
      </c>
      <c r="O467" s="211">
        <v>54</v>
      </c>
      <c r="P467" s="211" t="s">
        <v>1015</v>
      </c>
      <c r="Q467" s="213" t="s">
        <v>108</v>
      </c>
      <c r="R467" s="218">
        <v>814800</v>
      </c>
      <c r="S467" s="229">
        <f>Product_Name[[#This Row],[Đơn giá
Unit Price]]*Product_Name[[#This Row],[Số lượng
Quantity]]</f>
        <v>43999200</v>
      </c>
      <c r="T467" s="219">
        <v>44754</v>
      </c>
      <c r="U467" s="220">
        <v>44761</v>
      </c>
      <c r="V467" s="221">
        <v>44761</v>
      </c>
      <c r="W467" s="214" t="s">
        <v>2577</v>
      </c>
      <c r="X467" s="214" t="s">
        <v>16</v>
      </c>
      <c r="Y467" s="220">
        <v>44754</v>
      </c>
      <c r="Z467" s="222" t="s">
        <v>2087</v>
      </c>
      <c r="AA467" s="216"/>
      <c r="AB467" s="227"/>
      <c r="AC467" s="295"/>
    </row>
    <row r="468" spans="1:29" ht="15.5" x14ac:dyDescent="0.35">
      <c r="A468" s="211">
        <v>6343</v>
      </c>
      <c r="B468" s="214" t="s">
        <v>2420</v>
      </c>
      <c r="C468" s="211">
        <v>8331</v>
      </c>
      <c r="D468" s="215" t="s">
        <v>110</v>
      </c>
      <c r="E468" s="215" t="s">
        <v>110</v>
      </c>
      <c r="F468" s="211" t="s">
        <v>110</v>
      </c>
      <c r="G468" s="211" t="s">
        <v>110</v>
      </c>
      <c r="H468" s="216" t="s">
        <v>2355</v>
      </c>
      <c r="I468" s="217" t="s">
        <v>2354</v>
      </c>
      <c r="J468" s="211" t="s">
        <v>2356</v>
      </c>
      <c r="K468" s="211" t="s">
        <v>1751</v>
      </c>
      <c r="L468" s="211" t="s">
        <v>1751</v>
      </c>
      <c r="M468" s="211" t="s">
        <v>1282</v>
      </c>
      <c r="N468" s="211" t="s">
        <v>14</v>
      </c>
      <c r="O468" s="211">
        <v>1</v>
      </c>
      <c r="P468" s="211" t="s">
        <v>1074</v>
      </c>
      <c r="Q468" s="226" t="s">
        <v>108</v>
      </c>
      <c r="R468" s="218">
        <v>910000</v>
      </c>
      <c r="S468" s="218">
        <f>Product_Name[[#This Row],[Đơn giá
Unit Price]]*Product_Name[[#This Row],[Số lượng
Quantity]]</f>
        <v>910000</v>
      </c>
      <c r="T468" s="219">
        <v>44762</v>
      </c>
      <c r="U468" s="220">
        <v>44767</v>
      </c>
      <c r="V468" s="221">
        <v>44774</v>
      </c>
      <c r="W468" s="211" t="s">
        <v>2160</v>
      </c>
      <c r="X468" s="211" t="s">
        <v>55</v>
      </c>
      <c r="Y468" s="220" t="s">
        <v>2357</v>
      </c>
      <c r="Z468" s="222" t="s">
        <v>2087</v>
      </c>
      <c r="AA468" s="216" t="s">
        <v>2155</v>
      </c>
      <c r="AB468" s="227" t="s">
        <v>110</v>
      </c>
      <c r="AC468" s="295"/>
    </row>
    <row r="469" spans="1:29" ht="15.5" x14ac:dyDescent="0.35">
      <c r="A469" s="211">
        <v>6303</v>
      </c>
      <c r="B469" s="214" t="s">
        <v>2402</v>
      </c>
      <c r="C469" s="211">
        <v>8259</v>
      </c>
      <c r="D469" s="215" t="s">
        <v>110</v>
      </c>
      <c r="E469" s="215" t="s">
        <v>110</v>
      </c>
      <c r="F469" s="211" t="s">
        <v>110</v>
      </c>
      <c r="G469" s="211" t="s">
        <v>110</v>
      </c>
      <c r="H469" s="216" t="s">
        <v>350</v>
      </c>
      <c r="I469" s="217" t="s">
        <v>2364</v>
      </c>
      <c r="J469" s="211" t="s">
        <v>2376</v>
      </c>
      <c r="K469" s="211" t="s">
        <v>2367</v>
      </c>
      <c r="L469" s="211" t="s">
        <v>99</v>
      </c>
      <c r="M469" s="211" t="s">
        <v>123</v>
      </c>
      <c r="N469" s="211" t="s">
        <v>14</v>
      </c>
      <c r="O469" s="211">
        <v>24</v>
      </c>
      <c r="P469" s="211" t="s">
        <v>232</v>
      </c>
      <c r="Q469" s="213" t="s">
        <v>108</v>
      </c>
      <c r="R469" s="218">
        <v>44000</v>
      </c>
      <c r="S469" s="218">
        <f>Product_Name[[#This Row],[Đơn giá
Unit Price]]*Product_Name[[#This Row],[Số lượng
Quantity]]</f>
        <v>1056000</v>
      </c>
      <c r="T469" s="219">
        <v>44761</v>
      </c>
      <c r="U469" s="220">
        <v>44767</v>
      </c>
      <c r="V469" s="221">
        <v>44768</v>
      </c>
      <c r="W469" s="211" t="s">
        <v>21</v>
      </c>
      <c r="X469" s="211" t="s">
        <v>16</v>
      </c>
      <c r="Y469" s="220">
        <v>44755</v>
      </c>
      <c r="Z469" s="222" t="s">
        <v>2087</v>
      </c>
      <c r="AA469" s="216" t="s">
        <v>2181</v>
      </c>
      <c r="AB469" s="227"/>
      <c r="AC469" s="295"/>
    </row>
    <row r="470" spans="1:29" ht="15.5" x14ac:dyDescent="0.35">
      <c r="A470" s="211">
        <v>6303</v>
      </c>
      <c r="B470" s="214" t="s">
        <v>2402</v>
      </c>
      <c r="C470" s="211">
        <v>8259</v>
      </c>
      <c r="D470" s="215" t="s">
        <v>110</v>
      </c>
      <c r="E470" s="215" t="s">
        <v>110</v>
      </c>
      <c r="F470" s="211" t="s">
        <v>110</v>
      </c>
      <c r="G470" s="211" t="s">
        <v>110</v>
      </c>
      <c r="H470" s="216" t="s">
        <v>351</v>
      </c>
      <c r="I470" s="217" t="s">
        <v>2365</v>
      </c>
      <c r="J470" s="211" t="s">
        <v>353</v>
      </c>
      <c r="K470" s="211" t="s">
        <v>2367</v>
      </c>
      <c r="L470" s="211" t="s">
        <v>99</v>
      </c>
      <c r="M470" s="211" t="s">
        <v>123</v>
      </c>
      <c r="N470" s="211" t="s">
        <v>14</v>
      </c>
      <c r="O470" s="211">
        <v>24</v>
      </c>
      <c r="P470" s="211" t="s">
        <v>232</v>
      </c>
      <c r="Q470" s="213" t="s">
        <v>108</v>
      </c>
      <c r="R470" s="218">
        <v>44000</v>
      </c>
      <c r="S470" s="218">
        <f>Product_Name[[#This Row],[Đơn giá
Unit Price]]*Product_Name[[#This Row],[Số lượng
Quantity]]</f>
        <v>1056000</v>
      </c>
      <c r="T470" s="219">
        <v>44761</v>
      </c>
      <c r="U470" s="220">
        <v>44767</v>
      </c>
      <c r="V470" s="221">
        <v>44768</v>
      </c>
      <c r="W470" s="211" t="s">
        <v>21</v>
      </c>
      <c r="X470" s="211" t="s">
        <v>16</v>
      </c>
      <c r="Y470" s="220">
        <v>44755</v>
      </c>
      <c r="Z470" s="222" t="s">
        <v>2087</v>
      </c>
      <c r="AA470" s="216" t="s">
        <v>2181</v>
      </c>
      <c r="AB470" s="227"/>
      <c r="AC470" s="295"/>
    </row>
    <row r="471" spans="1:29" ht="15.5" x14ac:dyDescent="0.35">
      <c r="A471" s="211">
        <v>6303</v>
      </c>
      <c r="B471" s="214" t="s">
        <v>2402</v>
      </c>
      <c r="C471" s="211">
        <v>8259</v>
      </c>
      <c r="D471" s="215" t="s">
        <v>110</v>
      </c>
      <c r="E471" s="215" t="s">
        <v>110</v>
      </c>
      <c r="F471" s="211" t="s">
        <v>110</v>
      </c>
      <c r="G471" s="211" t="s">
        <v>110</v>
      </c>
      <c r="H471" s="216" t="s">
        <v>352</v>
      </c>
      <c r="I471" s="217" t="s">
        <v>2366</v>
      </c>
      <c r="J471" s="211" t="s">
        <v>354</v>
      </c>
      <c r="K471" s="211" t="s">
        <v>2367</v>
      </c>
      <c r="L471" s="211" t="s">
        <v>99</v>
      </c>
      <c r="M471" s="211" t="s">
        <v>123</v>
      </c>
      <c r="N471" s="211" t="s">
        <v>14</v>
      </c>
      <c r="O471" s="211">
        <v>24</v>
      </c>
      <c r="P471" s="211" t="s">
        <v>232</v>
      </c>
      <c r="Q471" s="213" t="s">
        <v>108</v>
      </c>
      <c r="R471" s="218">
        <v>65000</v>
      </c>
      <c r="S471" s="218">
        <f>Product_Name[[#This Row],[Đơn giá
Unit Price]]*Product_Name[[#This Row],[Số lượng
Quantity]]</f>
        <v>1560000</v>
      </c>
      <c r="T471" s="219">
        <v>44761</v>
      </c>
      <c r="U471" s="220">
        <v>44767</v>
      </c>
      <c r="V471" s="221">
        <v>44768</v>
      </c>
      <c r="W471" s="211" t="s">
        <v>21</v>
      </c>
      <c r="X471" s="211" t="s">
        <v>16</v>
      </c>
      <c r="Y471" s="220">
        <v>44755</v>
      </c>
      <c r="Z471" s="222" t="s">
        <v>2087</v>
      </c>
      <c r="AA471" s="216" t="s">
        <v>2181</v>
      </c>
      <c r="AB471" s="227"/>
      <c r="AC471" s="295"/>
    </row>
    <row r="472" spans="1:29" ht="15.5" x14ac:dyDescent="0.35">
      <c r="A472" s="211">
        <v>6342</v>
      </c>
      <c r="B472" s="214" t="s">
        <v>2444</v>
      </c>
      <c r="C472" s="211">
        <v>8335</v>
      </c>
      <c r="D472" s="215" t="s">
        <v>110</v>
      </c>
      <c r="E472" s="215" t="s">
        <v>110</v>
      </c>
      <c r="F472" s="211" t="s">
        <v>110</v>
      </c>
      <c r="G472" s="211" t="s">
        <v>110</v>
      </c>
      <c r="H472" s="216" t="s">
        <v>1642</v>
      </c>
      <c r="I472" s="217" t="s">
        <v>1280</v>
      </c>
      <c r="J472" s="211" t="s">
        <v>1641</v>
      </c>
      <c r="K472" s="211" t="s">
        <v>1281</v>
      </c>
      <c r="L472" s="211" t="s">
        <v>1281</v>
      </c>
      <c r="M472" s="211" t="s">
        <v>1282</v>
      </c>
      <c r="N472" s="211" t="s">
        <v>14</v>
      </c>
      <c r="O472" s="211">
        <v>1</v>
      </c>
      <c r="P472" s="211" t="s">
        <v>1643</v>
      </c>
      <c r="Q472" s="226" t="s">
        <v>108</v>
      </c>
      <c r="R472" s="218">
        <v>742000</v>
      </c>
      <c r="S472" s="218">
        <f>Product_Name[[#This Row],[Đơn giá
Unit Price]]*Product_Name[[#This Row],[Số lượng
Quantity]]</f>
        <v>742000</v>
      </c>
      <c r="T472" s="219">
        <v>44764</v>
      </c>
      <c r="U472" s="220">
        <v>44778</v>
      </c>
      <c r="V472" s="221">
        <v>44778</v>
      </c>
      <c r="W472" s="211" t="s">
        <v>2160</v>
      </c>
      <c r="X472" s="211" t="s">
        <v>16</v>
      </c>
      <c r="Y472" s="220">
        <v>44762</v>
      </c>
      <c r="Z472" s="222" t="s">
        <v>2087</v>
      </c>
      <c r="AA472" s="216" t="s">
        <v>2155</v>
      </c>
      <c r="AB472" s="227" t="s">
        <v>110</v>
      </c>
      <c r="AC472" s="295"/>
    </row>
    <row r="473" spans="1:29" ht="15.5" x14ac:dyDescent="0.35">
      <c r="A473" s="211">
        <v>6342</v>
      </c>
      <c r="B473" s="214" t="s">
        <v>2444</v>
      </c>
      <c r="C473" s="211">
        <v>8335</v>
      </c>
      <c r="D473" s="215" t="s">
        <v>110</v>
      </c>
      <c r="E473" s="215" t="s">
        <v>110</v>
      </c>
      <c r="F473" s="211" t="s">
        <v>110</v>
      </c>
      <c r="G473" s="211" t="s">
        <v>110</v>
      </c>
      <c r="H473" s="216" t="s">
        <v>2677</v>
      </c>
      <c r="I473" s="217" t="s">
        <v>1289</v>
      </c>
      <c r="J473" s="211" t="s">
        <v>1287</v>
      </c>
      <c r="K473" s="211" t="s">
        <v>1281</v>
      </c>
      <c r="L473" s="211" t="s">
        <v>1281</v>
      </c>
      <c r="M473" s="211" t="s">
        <v>1282</v>
      </c>
      <c r="N473" s="211" t="s">
        <v>14</v>
      </c>
      <c r="O473" s="211">
        <v>10</v>
      </c>
      <c r="P473" s="211" t="s">
        <v>1074</v>
      </c>
      <c r="Q473" s="226" t="s">
        <v>108</v>
      </c>
      <c r="R473" s="218">
        <v>72000</v>
      </c>
      <c r="S473" s="218">
        <f>Product_Name[[#This Row],[Đơn giá
Unit Price]]*Product_Name[[#This Row],[Số lượng
Quantity]]</f>
        <v>720000</v>
      </c>
      <c r="T473" s="219">
        <v>44764</v>
      </c>
      <c r="U473" s="220">
        <v>44778</v>
      </c>
      <c r="V473" s="221">
        <v>44778</v>
      </c>
      <c r="W473" s="211" t="s">
        <v>2160</v>
      </c>
      <c r="X473" s="211" t="s">
        <v>16</v>
      </c>
      <c r="Y473" s="220">
        <v>44762</v>
      </c>
      <c r="Z473" s="222" t="s">
        <v>2087</v>
      </c>
      <c r="AA473" s="216" t="s">
        <v>2155</v>
      </c>
      <c r="AB473" s="227" t="s">
        <v>110</v>
      </c>
      <c r="AC473" s="295"/>
    </row>
    <row r="474" spans="1:29" ht="15.5" x14ac:dyDescent="0.35">
      <c r="A474" s="211">
        <v>6363</v>
      </c>
      <c r="B474" s="214" t="s">
        <v>2445</v>
      </c>
      <c r="C474" s="211">
        <v>8365</v>
      </c>
      <c r="D474" s="215" t="s">
        <v>110</v>
      </c>
      <c r="E474" s="215" t="s">
        <v>110</v>
      </c>
      <c r="F474" s="211" t="s">
        <v>110</v>
      </c>
      <c r="G474" s="211" t="s">
        <v>110</v>
      </c>
      <c r="H474" s="216" t="s">
        <v>2302</v>
      </c>
      <c r="I474" s="217" t="s">
        <v>2305</v>
      </c>
      <c r="J474" s="211" t="s">
        <v>2298</v>
      </c>
      <c r="K474" s="211" t="s">
        <v>2265</v>
      </c>
      <c r="L474" s="211" t="s">
        <v>2265</v>
      </c>
      <c r="M474" s="211" t="s">
        <v>1282</v>
      </c>
      <c r="N474" s="211" t="s">
        <v>14</v>
      </c>
      <c r="O474" s="211">
        <v>100</v>
      </c>
      <c r="P474" s="211" t="s">
        <v>276</v>
      </c>
      <c r="Q474" s="226" t="s">
        <v>108</v>
      </c>
      <c r="R474" s="218">
        <v>1200000</v>
      </c>
      <c r="S474" s="218">
        <f>R474*O474</f>
        <v>120000000</v>
      </c>
      <c r="T474" s="219">
        <v>44764</v>
      </c>
      <c r="U474" s="220">
        <v>44774</v>
      </c>
      <c r="V474" s="221">
        <v>44778</v>
      </c>
      <c r="W474" s="211" t="s">
        <v>2814</v>
      </c>
      <c r="X474" s="211" t="s">
        <v>55</v>
      </c>
      <c r="Y474" s="220">
        <v>44764</v>
      </c>
      <c r="Z474" s="222" t="s">
        <v>2087</v>
      </c>
      <c r="AA474" s="216" t="s">
        <v>2155</v>
      </c>
      <c r="AB474" s="227" t="s">
        <v>110</v>
      </c>
      <c r="AC474" s="295"/>
    </row>
    <row r="475" spans="1:29" ht="15.5" x14ac:dyDescent="0.35">
      <c r="A475" s="211">
        <v>6363</v>
      </c>
      <c r="B475" s="214" t="s">
        <v>2445</v>
      </c>
      <c r="C475" s="211">
        <v>8365</v>
      </c>
      <c r="D475" s="215" t="s">
        <v>110</v>
      </c>
      <c r="E475" s="215" t="s">
        <v>110</v>
      </c>
      <c r="F475" s="211" t="s">
        <v>110</v>
      </c>
      <c r="G475" s="211" t="s">
        <v>110</v>
      </c>
      <c r="H475" s="216" t="s">
        <v>2303</v>
      </c>
      <c r="I475" s="217" t="s">
        <v>2306</v>
      </c>
      <c r="J475" s="211" t="s">
        <v>2299</v>
      </c>
      <c r="K475" s="211" t="s">
        <v>2265</v>
      </c>
      <c r="L475" s="211" t="s">
        <v>2265</v>
      </c>
      <c r="M475" s="211" t="s">
        <v>1282</v>
      </c>
      <c r="N475" s="211" t="s">
        <v>14</v>
      </c>
      <c r="O475" s="211">
        <v>100</v>
      </c>
      <c r="P475" s="211" t="s">
        <v>276</v>
      </c>
      <c r="Q475" s="226" t="s">
        <v>108</v>
      </c>
      <c r="R475" s="218">
        <v>350000</v>
      </c>
      <c r="S475" s="218">
        <f>R475*O475</f>
        <v>35000000</v>
      </c>
      <c r="T475" s="219">
        <v>44764</v>
      </c>
      <c r="U475" s="220">
        <v>44774</v>
      </c>
      <c r="V475" s="221">
        <v>44778</v>
      </c>
      <c r="W475" s="211" t="s">
        <v>2814</v>
      </c>
      <c r="X475" s="211" t="s">
        <v>55</v>
      </c>
      <c r="Y475" s="220">
        <v>44764</v>
      </c>
      <c r="Z475" s="222" t="s">
        <v>2087</v>
      </c>
      <c r="AA475" s="216" t="s">
        <v>2155</v>
      </c>
      <c r="AB475" s="227" t="s">
        <v>110</v>
      </c>
      <c r="AC475" s="295"/>
    </row>
    <row r="476" spans="1:29" ht="15.5" x14ac:dyDescent="0.35">
      <c r="A476" s="211">
        <v>6363</v>
      </c>
      <c r="B476" s="214" t="s">
        <v>2445</v>
      </c>
      <c r="C476" s="211">
        <v>8365</v>
      </c>
      <c r="D476" s="215" t="s">
        <v>110</v>
      </c>
      <c r="E476" s="215" t="s">
        <v>110</v>
      </c>
      <c r="F476" s="211" t="s">
        <v>110</v>
      </c>
      <c r="G476" s="211" t="s">
        <v>110</v>
      </c>
      <c r="H476" s="216" t="s">
        <v>2382</v>
      </c>
      <c r="I476" s="217" t="s">
        <v>2307</v>
      </c>
      <c r="J476" s="211" t="s">
        <v>2300</v>
      </c>
      <c r="K476" s="211" t="s">
        <v>2265</v>
      </c>
      <c r="L476" s="211" t="s">
        <v>2265</v>
      </c>
      <c r="M476" s="211" t="s">
        <v>1282</v>
      </c>
      <c r="N476" s="211" t="s">
        <v>14</v>
      </c>
      <c r="O476" s="211">
        <v>660</v>
      </c>
      <c r="P476" s="211" t="s">
        <v>276</v>
      </c>
      <c r="Q476" s="226" t="s">
        <v>108</v>
      </c>
      <c r="R476" s="218">
        <v>62500</v>
      </c>
      <c r="S476" s="218">
        <f>R476*O476</f>
        <v>41250000</v>
      </c>
      <c r="T476" s="219">
        <v>44764</v>
      </c>
      <c r="U476" s="220">
        <v>44774</v>
      </c>
      <c r="V476" s="221">
        <v>44778</v>
      </c>
      <c r="W476" s="211" t="s">
        <v>2814</v>
      </c>
      <c r="X476" s="211" t="s">
        <v>55</v>
      </c>
      <c r="Y476" s="220">
        <v>44764</v>
      </c>
      <c r="Z476" s="222" t="s">
        <v>2087</v>
      </c>
      <c r="AA476" s="216" t="s">
        <v>2155</v>
      </c>
      <c r="AB476" s="227" t="s">
        <v>110</v>
      </c>
      <c r="AC476" s="295"/>
    </row>
    <row r="477" spans="1:29" ht="15.5" x14ac:dyDescent="0.35">
      <c r="A477" s="211">
        <v>6363</v>
      </c>
      <c r="B477" s="214" t="s">
        <v>2445</v>
      </c>
      <c r="C477" s="211">
        <v>8365</v>
      </c>
      <c r="D477" s="215" t="s">
        <v>110</v>
      </c>
      <c r="E477" s="215" t="s">
        <v>110</v>
      </c>
      <c r="F477" s="211" t="s">
        <v>110</v>
      </c>
      <c r="G477" s="211" t="s">
        <v>110</v>
      </c>
      <c r="H477" s="216" t="s">
        <v>2304</v>
      </c>
      <c r="I477" s="217" t="s">
        <v>2308</v>
      </c>
      <c r="J477" s="211" t="s">
        <v>2301</v>
      </c>
      <c r="K477" s="211" t="s">
        <v>2265</v>
      </c>
      <c r="L477" s="211" t="s">
        <v>2265</v>
      </c>
      <c r="M477" s="211" t="s">
        <v>1282</v>
      </c>
      <c r="N477" s="211" t="s">
        <v>14</v>
      </c>
      <c r="O477" s="211">
        <v>330</v>
      </c>
      <c r="P477" s="211" t="s">
        <v>276</v>
      </c>
      <c r="Q477" s="226" t="s">
        <v>108</v>
      </c>
      <c r="R477" s="218">
        <v>70000</v>
      </c>
      <c r="S477" s="218">
        <f>R477*O477</f>
        <v>23100000</v>
      </c>
      <c r="T477" s="219">
        <v>44764</v>
      </c>
      <c r="U477" s="220">
        <v>44774</v>
      </c>
      <c r="V477" s="221">
        <v>44778</v>
      </c>
      <c r="W477" s="211" t="s">
        <v>2814</v>
      </c>
      <c r="X477" s="211" t="s">
        <v>55</v>
      </c>
      <c r="Y477" s="220">
        <v>44764</v>
      </c>
      <c r="Z477" s="222" t="s">
        <v>2087</v>
      </c>
      <c r="AA477" s="216" t="s">
        <v>2155</v>
      </c>
      <c r="AB477" s="227" t="s">
        <v>110</v>
      </c>
      <c r="AC477" s="295"/>
    </row>
    <row r="478" spans="1:29" ht="15.5" x14ac:dyDescent="0.35">
      <c r="A478" s="211">
        <v>6989</v>
      </c>
      <c r="B478" s="214" t="s">
        <v>2627</v>
      </c>
      <c r="C478" s="211">
        <v>9296</v>
      </c>
      <c r="D478" s="215" t="s">
        <v>110</v>
      </c>
      <c r="E478" s="215" t="s">
        <v>110</v>
      </c>
      <c r="F478" s="211" t="s">
        <v>110</v>
      </c>
      <c r="G478" s="211" t="s">
        <v>110</v>
      </c>
      <c r="H478" s="216" t="s">
        <v>2391</v>
      </c>
      <c r="I478" s="217" t="s">
        <v>2392</v>
      </c>
      <c r="J478" s="211">
        <v>51759</v>
      </c>
      <c r="K478" s="211" t="s">
        <v>2474</v>
      </c>
      <c r="L478" s="211" t="s">
        <v>1751</v>
      </c>
      <c r="M478" s="211" t="s">
        <v>123</v>
      </c>
      <c r="N478" s="211" t="s">
        <v>14</v>
      </c>
      <c r="O478" s="211">
        <v>1</v>
      </c>
      <c r="P478" s="211" t="s">
        <v>276</v>
      </c>
      <c r="Q478" s="226" t="s">
        <v>108</v>
      </c>
      <c r="R478" s="218">
        <v>2160000</v>
      </c>
      <c r="S478" s="218">
        <f>Product_Name[[#This Row],[Đơn giá
Unit Price]]*Product_Name[[#This Row],[Số lượng
Quantity]]</f>
        <v>2160000</v>
      </c>
      <c r="T478" s="219">
        <v>44818</v>
      </c>
      <c r="U478" s="220">
        <v>44855</v>
      </c>
      <c r="V478" s="221">
        <v>44825</v>
      </c>
      <c r="W478" s="211" t="s">
        <v>2814</v>
      </c>
      <c r="X478" s="211" t="s">
        <v>16</v>
      </c>
      <c r="Y478" s="220" t="s">
        <v>2397</v>
      </c>
      <c r="Z478" s="222" t="s">
        <v>2087</v>
      </c>
      <c r="AA478" s="216" t="s">
        <v>2396</v>
      </c>
      <c r="AB478" s="227" t="s">
        <v>110</v>
      </c>
      <c r="AC478" s="295"/>
    </row>
    <row r="479" spans="1:29" ht="15.5" x14ac:dyDescent="0.35">
      <c r="A479" s="211">
        <v>6716</v>
      </c>
      <c r="B479" s="214" t="s">
        <v>2557</v>
      </c>
      <c r="C479" s="211">
        <v>8845</v>
      </c>
      <c r="D479" s="215" t="s">
        <v>110</v>
      </c>
      <c r="E479" s="215" t="s">
        <v>110</v>
      </c>
      <c r="F479" s="211" t="s">
        <v>110</v>
      </c>
      <c r="G479" s="211" t="s">
        <v>110</v>
      </c>
      <c r="H479" s="216" t="s">
        <v>2393</v>
      </c>
      <c r="I479" s="217" t="s">
        <v>2394</v>
      </c>
      <c r="J479" s="211">
        <v>51551</v>
      </c>
      <c r="K479" s="211" t="s">
        <v>2474</v>
      </c>
      <c r="L479" s="211" t="s">
        <v>218</v>
      </c>
      <c r="M479" s="211" t="s">
        <v>123</v>
      </c>
      <c r="N479" s="211" t="s">
        <v>14</v>
      </c>
      <c r="O479" s="211">
        <v>1</v>
      </c>
      <c r="P479" s="211" t="s">
        <v>276</v>
      </c>
      <c r="Q479" s="226" t="s">
        <v>108</v>
      </c>
      <c r="R479" s="218">
        <v>2160000</v>
      </c>
      <c r="S479" s="218">
        <f>Product_Name[[#This Row],[Đơn giá
Unit Price]]*Product_Name[[#This Row],[Số lượng
Quantity]]</f>
        <v>2160000</v>
      </c>
      <c r="T479" s="219">
        <v>44790</v>
      </c>
      <c r="U479" s="220">
        <v>44823</v>
      </c>
      <c r="V479" s="221">
        <v>44813</v>
      </c>
      <c r="W479" s="211" t="s">
        <v>2814</v>
      </c>
      <c r="X479" s="211" t="s">
        <v>16</v>
      </c>
      <c r="Y479" s="220" t="s">
        <v>2397</v>
      </c>
      <c r="Z479" s="222" t="s">
        <v>2087</v>
      </c>
      <c r="AA479" s="216" t="s">
        <v>2395</v>
      </c>
      <c r="AB479" s="227" t="s">
        <v>110</v>
      </c>
      <c r="AC479" s="295"/>
    </row>
    <row r="480" spans="1:29" ht="15.5" x14ac:dyDescent="0.35">
      <c r="A480" s="211" t="s">
        <v>110</v>
      </c>
      <c r="B480" s="214" t="s">
        <v>2671</v>
      </c>
      <c r="C480" s="211" t="s">
        <v>110</v>
      </c>
      <c r="D480" s="215">
        <v>3133</v>
      </c>
      <c r="E480" s="215">
        <v>6735</v>
      </c>
      <c r="F480" s="211" t="s">
        <v>2454</v>
      </c>
      <c r="G480" s="211" t="s">
        <v>2473</v>
      </c>
      <c r="H480" s="216" t="s">
        <v>2413</v>
      </c>
      <c r="I480" s="217" t="s">
        <v>2410</v>
      </c>
      <c r="J480" s="211" t="s">
        <v>2406</v>
      </c>
      <c r="K480" s="211" t="s">
        <v>176</v>
      </c>
      <c r="L480" s="211" t="s">
        <v>176</v>
      </c>
      <c r="M480" s="214" t="s">
        <v>796</v>
      </c>
      <c r="N480" s="211" t="s">
        <v>642</v>
      </c>
      <c r="O480" s="211">
        <v>1</v>
      </c>
      <c r="P480" s="211" t="s">
        <v>276</v>
      </c>
      <c r="Q480" s="226" t="s">
        <v>108</v>
      </c>
      <c r="R480" s="218">
        <v>2960000</v>
      </c>
      <c r="S480" s="218">
        <f>Product_Name[[#This Row],[Đơn giá
Unit Price]]*Product_Name[[#This Row],[Số lượng
Quantity]]</f>
        <v>2960000</v>
      </c>
      <c r="T480" s="219">
        <v>44789</v>
      </c>
      <c r="U480" s="220">
        <v>44810</v>
      </c>
      <c r="V480" s="221">
        <v>44835</v>
      </c>
      <c r="W480" s="214" t="s">
        <v>1537</v>
      </c>
      <c r="X480" s="211" t="s">
        <v>16</v>
      </c>
      <c r="Y480" s="220" t="s">
        <v>2416</v>
      </c>
      <c r="Z480" s="222"/>
      <c r="AA480" s="216" t="s">
        <v>2409</v>
      </c>
      <c r="AB480" s="227">
        <v>44782</v>
      </c>
      <c r="AC480" s="295"/>
    </row>
    <row r="481" spans="1:29" ht="15.5" x14ac:dyDescent="0.35">
      <c r="A481" s="211" t="s">
        <v>110</v>
      </c>
      <c r="B481" s="214" t="s">
        <v>2671</v>
      </c>
      <c r="C481" s="211" t="s">
        <v>110</v>
      </c>
      <c r="D481" s="215">
        <v>3133</v>
      </c>
      <c r="E481" s="215">
        <v>6735</v>
      </c>
      <c r="F481" s="211" t="s">
        <v>2454</v>
      </c>
      <c r="G481" s="211" t="s">
        <v>2473</v>
      </c>
      <c r="H481" s="216" t="s">
        <v>2414</v>
      </c>
      <c r="I481" s="217" t="s">
        <v>2411</v>
      </c>
      <c r="J481" s="211" t="s">
        <v>2407</v>
      </c>
      <c r="K481" s="211" t="s">
        <v>176</v>
      </c>
      <c r="L481" s="211" t="s">
        <v>176</v>
      </c>
      <c r="M481" s="214" t="s">
        <v>796</v>
      </c>
      <c r="N481" s="211" t="s">
        <v>642</v>
      </c>
      <c r="O481" s="211">
        <v>1</v>
      </c>
      <c r="P481" s="211" t="s">
        <v>276</v>
      </c>
      <c r="Q481" s="226" t="s">
        <v>108</v>
      </c>
      <c r="R481" s="218">
        <v>2500000</v>
      </c>
      <c r="S481" s="218">
        <f>Product_Name[[#This Row],[Đơn giá
Unit Price]]*Product_Name[[#This Row],[Số lượng
Quantity]]</f>
        <v>2500000</v>
      </c>
      <c r="T481" s="219">
        <v>44789</v>
      </c>
      <c r="U481" s="220">
        <v>44810</v>
      </c>
      <c r="V481" s="221">
        <v>44835</v>
      </c>
      <c r="W481" s="214" t="s">
        <v>1537</v>
      </c>
      <c r="X481" s="211" t="s">
        <v>16</v>
      </c>
      <c r="Y481" s="220" t="s">
        <v>2416</v>
      </c>
      <c r="Z481" s="222"/>
      <c r="AA481" s="216" t="s">
        <v>2409</v>
      </c>
      <c r="AB481" s="227">
        <v>44782</v>
      </c>
      <c r="AC481" s="295"/>
    </row>
    <row r="482" spans="1:29" ht="15.5" x14ac:dyDescent="0.35">
      <c r="A482" s="211" t="s">
        <v>110</v>
      </c>
      <c r="B482" s="214" t="s">
        <v>2671</v>
      </c>
      <c r="C482" s="211" t="s">
        <v>110</v>
      </c>
      <c r="D482" s="215">
        <v>3133</v>
      </c>
      <c r="E482" s="215">
        <v>6735</v>
      </c>
      <c r="F482" s="211" t="s">
        <v>2454</v>
      </c>
      <c r="G482" s="211" t="s">
        <v>2473</v>
      </c>
      <c r="H482" s="216" t="s">
        <v>2415</v>
      </c>
      <c r="I482" s="217" t="s">
        <v>2412</v>
      </c>
      <c r="J482" s="211" t="s">
        <v>2408</v>
      </c>
      <c r="K482" s="211" t="s">
        <v>176</v>
      </c>
      <c r="L482" s="211" t="s">
        <v>176</v>
      </c>
      <c r="M482" s="214" t="s">
        <v>796</v>
      </c>
      <c r="N482" s="211" t="s">
        <v>642</v>
      </c>
      <c r="O482" s="211">
        <v>1</v>
      </c>
      <c r="P482" s="211" t="s">
        <v>276</v>
      </c>
      <c r="Q482" s="226" t="s">
        <v>108</v>
      </c>
      <c r="R482" s="218">
        <v>2700000</v>
      </c>
      <c r="S482" s="218">
        <f>Product_Name[[#This Row],[Đơn giá
Unit Price]]*Product_Name[[#This Row],[Số lượng
Quantity]]</f>
        <v>2700000</v>
      </c>
      <c r="T482" s="219">
        <v>44789</v>
      </c>
      <c r="U482" s="220">
        <v>44810</v>
      </c>
      <c r="V482" s="221">
        <v>44835</v>
      </c>
      <c r="W482" s="214" t="s">
        <v>1537</v>
      </c>
      <c r="X482" s="211" t="s">
        <v>16</v>
      </c>
      <c r="Y482" s="220" t="s">
        <v>2416</v>
      </c>
      <c r="Z482" s="222"/>
      <c r="AA482" s="216" t="s">
        <v>2409</v>
      </c>
      <c r="AB482" s="227">
        <v>44782</v>
      </c>
      <c r="AC482" s="295"/>
    </row>
    <row r="483" spans="1:29" ht="15.5" x14ac:dyDescent="0.35">
      <c r="A483" s="211">
        <v>6456</v>
      </c>
      <c r="B483" s="214" t="s">
        <v>2458</v>
      </c>
      <c r="C483" s="211">
        <v>8484</v>
      </c>
      <c r="D483" s="215" t="s">
        <v>110</v>
      </c>
      <c r="E483" s="215" t="s">
        <v>110</v>
      </c>
      <c r="F483" s="211" t="s">
        <v>110</v>
      </c>
      <c r="G483" s="211" t="s">
        <v>110</v>
      </c>
      <c r="H483" s="216" t="s">
        <v>717</v>
      </c>
      <c r="I483" s="217" t="s">
        <v>1489</v>
      </c>
      <c r="J483" s="211" t="s">
        <v>2966</v>
      </c>
      <c r="K483" s="211" t="s">
        <v>1241</v>
      </c>
      <c r="L483" s="211" t="s">
        <v>718</v>
      </c>
      <c r="M483" s="211" t="s">
        <v>327</v>
      </c>
      <c r="N483" s="211" t="s">
        <v>14</v>
      </c>
      <c r="O483" s="211">
        <v>80</v>
      </c>
      <c r="P483" s="211" t="s">
        <v>719</v>
      </c>
      <c r="Q483" s="226" t="s">
        <v>108</v>
      </c>
      <c r="R483" s="218">
        <v>687500</v>
      </c>
      <c r="S483" s="218">
        <f>R483*O483</f>
        <v>55000000</v>
      </c>
      <c r="T483" s="219">
        <v>44771</v>
      </c>
      <c r="U483" s="220">
        <v>44785</v>
      </c>
      <c r="V483" s="221">
        <v>44783</v>
      </c>
      <c r="W483" s="211" t="s">
        <v>21</v>
      </c>
      <c r="X483" s="211" t="s">
        <v>16</v>
      </c>
      <c r="Y483" s="220">
        <v>44771</v>
      </c>
      <c r="Z483" s="216" t="s">
        <v>328</v>
      </c>
      <c r="AA483" s="216" t="s">
        <v>2076</v>
      </c>
      <c r="AB483" s="227" t="s">
        <v>110</v>
      </c>
      <c r="AC483" s="295"/>
    </row>
    <row r="484" spans="1:29" ht="15.5" x14ac:dyDescent="0.35">
      <c r="A484" s="211">
        <v>6504</v>
      </c>
      <c r="B484" s="214" t="s">
        <v>2455</v>
      </c>
      <c r="C484" s="211">
        <v>8547</v>
      </c>
      <c r="D484" s="215" t="s">
        <v>110</v>
      </c>
      <c r="E484" s="215" t="s">
        <v>110</v>
      </c>
      <c r="F484" s="211" t="s">
        <v>110</v>
      </c>
      <c r="G484" s="211" t="s">
        <v>110</v>
      </c>
      <c r="H484" s="216" t="s">
        <v>421</v>
      </c>
      <c r="I484" s="217" t="s">
        <v>2417</v>
      </c>
      <c r="J484" s="211">
        <v>2608600267</v>
      </c>
      <c r="K484" s="211" t="s">
        <v>2418</v>
      </c>
      <c r="L484" s="211" t="s">
        <v>176</v>
      </c>
      <c r="M484" s="211" t="s">
        <v>123</v>
      </c>
      <c r="N484" s="211" t="s">
        <v>14</v>
      </c>
      <c r="O484" s="211">
        <v>30</v>
      </c>
      <c r="P484" s="211" t="s">
        <v>37</v>
      </c>
      <c r="Q484" s="213" t="s">
        <v>108</v>
      </c>
      <c r="R484" s="218">
        <v>16200</v>
      </c>
      <c r="S484" s="218">
        <f>Product_Name[[#This Row],[Đơn giá
Unit Price]]*Product_Name[[#This Row],[Số lượng
Quantity]]</f>
        <v>486000</v>
      </c>
      <c r="T484" s="219">
        <v>44776</v>
      </c>
      <c r="U484" s="220">
        <v>44783</v>
      </c>
      <c r="V484" s="221">
        <v>44782</v>
      </c>
      <c r="W484" s="211" t="s">
        <v>2813</v>
      </c>
      <c r="X484" s="211" t="s">
        <v>16</v>
      </c>
      <c r="Y484" s="220">
        <v>44771</v>
      </c>
      <c r="Z484" s="216" t="s">
        <v>328</v>
      </c>
      <c r="AA484" s="216" t="s">
        <v>2290</v>
      </c>
      <c r="AB484" s="227"/>
      <c r="AC484" s="295"/>
    </row>
    <row r="485" spans="1:29" ht="15.5" x14ac:dyDescent="0.35">
      <c r="A485" s="211" t="s">
        <v>110</v>
      </c>
      <c r="B485" s="214" t="s">
        <v>2563</v>
      </c>
      <c r="C485" s="211" t="s">
        <v>110</v>
      </c>
      <c r="D485" s="215">
        <v>3125</v>
      </c>
      <c r="E485" s="215">
        <v>6669</v>
      </c>
      <c r="F485" s="211" t="s">
        <v>110</v>
      </c>
      <c r="G485" s="211" t="s">
        <v>110</v>
      </c>
      <c r="H485" s="216" t="s">
        <v>2433</v>
      </c>
      <c r="I485" s="217" t="s">
        <v>2426</v>
      </c>
      <c r="J485" s="211" t="s">
        <v>2428</v>
      </c>
      <c r="K485" s="211" t="s">
        <v>2470</v>
      </c>
      <c r="L485" s="211" t="s">
        <v>1281</v>
      </c>
      <c r="M485" s="214" t="s">
        <v>796</v>
      </c>
      <c r="N485" s="211" t="s">
        <v>642</v>
      </c>
      <c r="O485" s="211">
        <v>1</v>
      </c>
      <c r="P485" s="211" t="s">
        <v>37</v>
      </c>
      <c r="Q485" s="213" t="s">
        <v>108</v>
      </c>
      <c r="R485" s="218">
        <v>1315000</v>
      </c>
      <c r="S485" s="218">
        <f>Product_Name[[#This Row],[Đơn giá
Unit Price]]*Product_Name[[#This Row],[Số lượng
Quantity]]</f>
        <v>1315000</v>
      </c>
      <c r="T485" s="219">
        <v>44788</v>
      </c>
      <c r="U485" s="220">
        <v>44805</v>
      </c>
      <c r="V485" s="221">
        <v>44816</v>
      </c>
      <c r="W485" s="214" t="s">
        <v>1537</v>
      </c>
      <c r="X485" s="211" t="s">
        <v>16</v>
      </c>
      <c r="Y485" s="220" t="s">
        <v>2434</v>
      </c>
      <c r="Z485" s="216"/>
      <c r="AA485" s="216" t="s">
        <v>2431</v>
      </c>
      <c r="AB485" s="227"/>
      <c r="AC485" s="295"/>
    </row>
    <row r="486" spans="1:29" ht="15.5" x14ac:dyDescent="0.35">
      <c r="A486" s="211" t="s">
        <v>110</v>
      </c>
      <c r="B486" s="214" t="s">
        <v>2625</v>
      </c>
      <c r="C486" s="211" t="s">
        <v>110</v>
      </c>
      <c r="D486" s="215">
        <v>3132</v>
      </c>
      <c r="E486" s="215">
        <v>6728</v>
      </c>
      <c r="F486" s="211" t="s">
        <v>2453</v>
      </c>
      <c r="G486" s="211" t="s">
        <v>2472</v>
      </c>
      <c r="H486" s="216" t="s">
        <v>2438</v>
      </c>
      <c r="I486" s="217" t="s">
        <v>2441</v>
      </c>
      <c r="J486" s="211" t="s">
        <v>2436</v>
      </c>
      <c r="K486" s="211" t="s">
        <v>1661</v>
      </c>
      <c r="L486" s="211" t="s">
        <v>1661</v>
      </c>
      <c r="M486" s="214" t="s">
        <v>796</v>
      </c>
      <c r="N486" s="211" t="s">
        <v>642</v>
      </c>
      <c r="O486" s="211">
        <v>120</v>
      </c>
      <c r="P486" s="211" t="s">
        <v>37</v>
      </c>
      <c r="Q486" s="213" t="s">
        <v>108</v>
      </c>
      <c r="R486" s="218">
        <v>450000</v>
      </c>
      <c r="S486" s="218">
        <f>Product_Name[[#This Row],[Đơn giá
Unit Price]]*Product_Name[[#This Row],[Số lượng
Quantity]]</f>
        <v>54000000</v>
      </c>
      <c r="T486" s="219">
        <v>44789</v>
      </c>
      <c r="U486" s="220">
        <v>44798</v>
      </c>
      <c r="V486" s="221">
        <v>44824</v>
      </c>
      <c r="W486" s="211" t="s">
        <v>3198</v>
      </c>
      <c r="X486" s="211" t="s">
        <v>16</v>
      </c>
      <c r="Y486" s="220">
        <v>44777</v>
      </c>
      <c r="Z486" s="216"/>
      <c r="AA486" s="216" t="s">
        <v>2181</v>
      </c>
      <c r="AB486" s="227">
        <v>44782</v>
      </c>
      <c r="AC486" s="295"/>
    </row>
    <row r="487" spans="1:29" ht="15.5" x14ac:dyDescent="0.35">
      <c r="A487" s="211" t="s">
        <v>110</v>
      </c>
      <c r="B487" s="214" t="s">
        <v>2625</v>
      </c>
      <c r="C487" s="211" t="s">
        <v>110</v>
      </c>
      <c r="D487" s="215">
        <v>3132</v>
      </c>
      <c r="E487" s="215">
        <v>6728</v>
      </c>
      <c r="F487" s="211" t="s">
        <v>2453</v>
      </c>
      <c r="G487" s="211" t="s">
        <v>2472</v>
      </c>
      <c r="H487" s="216" t="s">
        <v>2439</v>
      </c>
      <c r="I487" s="217" t="s">
        <v>2440</v>
      </c>
      <c r="J487" s="211" t="s">
        <v>2437</v>
      </c>
      <c r="K487" s="211" t="s">
        <v>1661</v>
      </c>
      <c r="L487" s="211" t="s">
        <v>1661</v>
      </c>
      <c r="M487" s="214" t="s">
        <v>796</v>
      </c>
      <c r="N487" s="211" t="s">
        <v>642</v>
      </c>
      <c r="O487" s="211">
        <v>280</v>
      </c>
      <c r="P487" s="211" t="s">
        <v>1167</v>
      </c>
      <c r="Q487" s="213" t="s">
        <v>108</v>
      </c>
      <c r="R487" s="218">
        <v>15200</v>
      </c>
      <c r="S487" s="218">
        <f>Product_Name[[#This Row],[Đơn giá
Unit Price]]*Product_Name[[#This Row],[Số lượng
Quantity]]</f>
        <v>4256000</v>
      </c>
      <c r="T487" s="219">
        <v>44789</v>
      </c>
      <c r="U487" s="220">
        <v>44798</v>
      </c>
      <c r="V487" s="221">
        <v>44824</v>
      </c>
      <c r="W487" s="211" t="s">
        <v>3198</v>
      </c>
      <c r="X487" s="211" t="s">
        <v>16</v>
      </c>
      <c r="Y487" s="220">
        <v>44777</v>
      </c>
      <c r="Z487" s="216"/>
      <c r="AA487" s="216" t="s">
        <v>2181</v>
      </c>
      <c r="AB487" s="227">
        <v>44782</v>
      </c>
      <c r="AC487" s="295"/>
    </row>
    <row r="488" spans="1:29" ht="15.5" x14ac:dyDescent="0.35">
      <c r="A488" s="211">
        <v>6574</v>
      </c>
      <c r="B488" s="214" t="s">
        <v>2524</v>
      </c>
      <c r="C488" s="211">
        <v>8673</v>
      </c>
      <c r="D488" s="215" t="s">
        <v>110</v>
      </c>
      <c r="E488" s="215" t="s">
        <v>110</v>
      </c>
      <c r="F488" s="211" t="s">
        <v>110</v>
      </c>
      <c r="G488" s="211" t="s">
        <v>110</v>
      </c>
      <c r="H488" s="216" t="s">
        <v>2449</v>
      </c>
      <c r="I488" s="217" t="s">
        <v>2450</v>
      </c>
      <c r="J488" s="211" t="s">
        <v>2448</v>
      </c>
      <c r="K488" s="211" t="s">
        <v>2451</v>
      </c>
      <c r="L488" s="211" t="s">
        <v>326</v>
      </c>
      <c r="M488" s="211" t="s">
        <v>123</v>
      </c>
      <c r="N488" s="211" t="s">
        <v>14</v>
      </c>
      <c r="O488" s="211">
        <v>100</v>
      </c>
      <c r="P488" s="211" t="s">
        <v>799</v>
      </c>
      <c r="Q488" s="213" t="s">
        <v>108</v>
      </c>
      <c r="R488" s="218">
        <v>14500</v>
      </c>
      <c r="S488" s="218">
        <f>Product_Name[[#This Row],[Đơn giá
Unit Price]]*Product_Name[[#This Row],[Số lượng
Quantity]]</f>
        <v>1450000</v>
      </c>
      <c r="T488" s="219">
        <v>44781</v>
      </c>
      <c r="U488" s="220">
        <v>44785</v>
      </c>
      <c r="V488" s="221">
        <v>44798</v>
      </c>
      <c r="W488" s="211" t="s">
        <v>2813</v>
      </c>
      <c r="X488" s="211" t="s">
        <v>16</v>
      </c>
      <c r="Y488" s="220">
        <v>44781</v>
      </c>
      <c r="Z488" s="222" t="s">
        <v>2087</v>
      </c>
      <c r="AA488" s="216" t="s">
        <v>2181</v>
      </c>
      <c r="AB488" s="227"/>
      <c r="AC488" s="295"/>
    </row>
    <row r="489" spans="1:29" ht="15.5" x14ac:dyDescent="0.35">
      <c r="A489" s="211">
        <v>6681</v>
      </c>
      <c r="B489" s="214" t="s">
        <v>2545</v>
      </c>
      <c r="C489" s="211">
        <v>8817</v>
      </c>
      <c r="D489" s="215" t="s">
        <v>110</v>
      </c>
      <c r="E489" s="215" t="s">
        <v>110</v>
      </c>
      <c r="F489" s="211" t="s">
        <v>110</v>
      </c>
      <c r="G489" s="211" t="s">
        <v>110</v>
      </c>
      <c r="H489" s="216" t="s">
        <v>2457</v>
      </c>
      <c r="I489" s="217" t="s">
        <v>2456</v>
      </c>
      <c r="J489" s="240" t="s">
        <v>2480</v>
      </c>
      <c r="K489" s="211" t="s">
        <v>1426</v>
      </c>
      <c r="L489" s="211" t="s">
        <v>1281</v>
      </c>
      <c r="M489" s="211" t="s">
        <v>826</v>
      </c>
      <c r="N489" s="211" t="s">
        <v>14</v>
      </c>
      <c r="O489" s="211">
        <v>1</v>
      </c>
      <c r="P489" s="211" t="s">
        <v>44</v>
      </c>
      <c r="Q489" s="213" t="s">
        <v>108</v>
      </c>
      <c r="R489" s="218">
        <v>104000</v>
      </c>
      <c r="S489" s="218">
        <f>Product_Name[[#This Row],[Đơn giá
Unit Price]]*Product_Name[[#This Row],[Số lượng
Quantity]]</f>
        <v>104000</v>
      </c>
      <c r="T489" s="219">
        <v>44788</v>
      </c>
      <c r="U489" s="220">
        <v>44810</v>
      </c>
      <c r="V489" s="221">
        <v>44811</v>
      </c>
      <c r="W489" s="214" t="s">
        <v>2577</v>
      </c>
      <c r="X489" s="211" t="s">
        <v>16</v>
      </c>
      <c r="Y489" s="220" t="s">
        <v>2459</v>
      </c>
      <c r="Z489" s="222" t="s">
        <v>2087</v>
      </c>
      <c r="AA489" s="216" t="s">
        <v>2181</v>
      </c>
      <c r="AB489" s="227"/>
      <c r="AC489" s="295"/>
    </row>
    <row r="490" spans="1:29" ht="15.5" x14ac:dyDescent="0.35">
      <c r="A490" s="211">
        <v>6658</v>
      </c>
      <c r="B490" s="214" t="s">
        <v>2475</v>
      </c>
      <c r="C490" s="211">
        <v>8787</v>
      </c>
      <c r="D490" s="215" t="s">
        <v>110</v>
      </c>
      <c r="E490" s="215" t="s">
        <v>110</v>
      </c>
      <c r="F490" s="211" t="s">
        <v>110</v>
      </c>
      <c r="G490" s="211" t="s">
        <v>110</v>
      </c>
      <c r="H490" s="216" t="s">
        <v>2461</v>
      </c>
      <c r="I490" s="217" t="s">
        <v>2460</v>
      </c>
      <c r="J490" s="211" t="s">
        <v>2468</v>
      </c>
      <c r="K490" s="211" t="s">
        <v>2451</v>
      </c>
      <c r="L490" s="211" t="s">
        <v>326</v>
      </c>
      <c r="M490" s="211" t="s">
        <v>123</v>
      </c>
      <c r="N490" s="211" t="s">
        <v>14</v>
      </c>
      <c r="O490" s="211">
        <v>20</v>
      </c>
      <c r="P490" s="211" t="s">
        <v>964</v>
      </c>
      <c r="Q490" s="213" t="s">
        <v>108</v>
      </c>
      <c r="R490" s="218">
        <v>205000</v>
      </c>
      <c r="S490" s="218">
        <f>Product_Name[[#This Row],[Đơn giá
Unit Price]]*Product_Name[[#This Row],[Số lượng
Quantity]]</f>
        <v>4100000</v>
      </c>
      <c r="T490" s="219">
        <v>44785</v>
      </c>
      <c r="U490" s="220">
        <v>44792</v>
      </c>
      <c r="V490" s="221">
        <v>44790</v>
      </c>
      <c r="W490" s="211" t="s">
        <v>21</v>
      </c>
      <c r="X490" s="211" t="s">
        <v>16</v>
      </c>
      <c r="Y490" s="220" t="s">
        <v>2462</v>
      </c>
      <c r="Z490" s="222" t="s">
        <v>2087</v>
      </c>
      <c r="AA490" s="216" t="s">
        <v>2181</v>
      </c>
      <c r="AB490" s="227"/>
      <c r="AC490" s="295"/>
    </row>
    <row r="491" spans="1:29" ht="15.5" x14ac:dyDescent="0.35">
      <c r="A491" s="211">
        <v>6714</v>
      </c>
      <c r="B491" s="214" t="s">
        <v>2512</v>
      </c>
      <c r="C491" s="211">
        <v>8828</v>
      </c>
      <c r="D491" s="215" t="s">
        <v>110</v>
      </c>
      <c r="E491" s="215" t="s">
        <v>110</v>
      </c>
      <c r="F491" s="211" t="s">
        <v>110</v>
      </c>
      <c r="G491" s="211" t="s">
        <v>110</v>
      </c>
      <c r="H491" s="216" t="s">
        <v>330</v>
      </c>
      <c r="I491" s="217" t="s">
        <v>1994</v>
      </c>
      <c r="J491" s="211" t="s">
        <v>332</v>
      </c>
      <c r="K491" s="211" t="s">
        <v>321</v>
      </c>
      <c r="L491" s="211" t="s">
        <v>321</v>
      </c>
      <c r="M491" s="211" t="s">
        <v>327</v>
      </c>
      <c r="N491" s="211" t="s">
        <v>14</v>
      </c>
      <c r="O491" s="211">
        <v>1</v>
      </c>
      <c r="P491" s="211" t="s">
        <v>232</v>
      </c>
      <c r="Q491" s="213" t="s">
        <v>108</v>
      </c>
      <c r="R491" s="218">
        <v>2300000</v>
      </c>
      <c r="S491" s="218">
        <f>Product_Name[[#This Row],[Đơn giá
Unit Price]]*Product_Name[[#This Row],[Số lượng
Quantity]]</f>
        <v>2300000</v>
      </c>
      <c r="T491" s="219">
        <v>44790</v>
      </c>
      <c r="U491" s="220">
        <v>44795</v>
      </c>
      <c r="V491" s="221">
        <v>44797</v>
      </c>
      <c r="W491" s="211" t="s">
        <v>21</v>
      </c>
      <c r="X491" s="211" t="s">
        <v>16</v>
      </c>
      <c r="Y491" s="220">
        <v>44784</v>
      </c>
      <c r="Z491" s="222" t="s">
        <v>328</v>
      </c>
      <c r="AA491" s="216" t="s">
        <v>2181</v>
      </c>
      <c r="AB491" s="227"/>
      <c r="AC491" s="295"/>
    </row>
    <row r="492" spans="1:29" ht="15.5" x14ac:dyDescent="0.35">
      <c r="A492" s="211">
        <v>6715</v>
      </c>
      <c r="B492" s="214" t="s">
        <v>2511</v>
      </c>
      <c r="C492" s="211">
        <v>8828</v>
      </c>
      <c r="D492" s="215" t="s">
        <v>110</v>
      </c>
      <c r="E492" s="215" t="s">
        <v>110</v>
      </c>
      <c r="F492" s="211" t="s">
        <v>110</v>
      </c>
      <c r="G492" s="211" t="s">
        <v>110</v>
      </c>
      <c r="H492" s="216" t="s">
        <v>331</v>
      </c>
      <c r="I492" s="217" t="s">
        <v>1996</v>
      </c>
      <c r="J492" s="211" t="s">
        <v>333</v>
      </c>
      <c r="K492" s="211" t="s">
        <v>321</v>
      </c>
      <c r="L492" s="211" t="s">
        <v>321</v>
      </c>
      <c r="M492" s="211" t="s">
        <v>327</v>
      </c>
      <c r="N492" s="211" t="s">
        <v>14</v>
      </c>
      <c r="O492" s="211">
        <v>2</v>
      </c>
      <c r="P492" s="211" t="s">
        <v>232</v>
      </c>
      <c r="Q492" s="213" t="s">
        <v>108</v>
      </c>
      <c r="R492" s="218">
        <v>300000</v>
      </c>
      <c r="S492" s="218">
        <f>Product_Name[[#This Row],[Đơn giá
Unit Price]]*Product_Name[[#This Row],[Số lượng
Quantity]]</f>
        <v>600000</v>
      </c>
      <c r="T492" s="219">
        <v>44790</v>
      </c>
      <c r="U492" s="220">
        <v>44795</v>
      </c>
      <c r="V492" s="221">
        <v>44797</v>
      </c>
      <c r="W492" s="211" t="s">
        <v>21</v>
      </c>
      <c r="X492" s="211" t="s">
        <v>16</v>
      </c>
      <c r="Y492" s="220">
        <v>44784</v>
      </c>
      <c r="Z492" s="222" t="s">
        <v>328</v>
      </c>
      <c r="AA492" s="216" t="s">
        <v>2181</v>
      </c>
      <c r="AB492" s="227"/>
      <c r="AC492" s="295"/>
    </row>
    <row r="493" spans="1:29" ht="15.5" x14ac:dyDescent="0.35">
      <c r="A493" s="211">
        <v>6659</v>
      </c>
      <c r="B493" s="214" t="s">
        <v>2479</v>
      </c>
      <c r="C493" s="211">
        <v>8783</v>
      </c>
      <c r="D493" s="215" t="s">
        <v>110</v>
      </c>
      <c r="E493" s="215" t="s">
        <v>110</v>
      </c>
      <c r="F493" s="211" t="s">
        <v>110</v>
      </c>
      <c r="G493" s="211" t="s">
        <v>110</v>
      </c>
      <c r="H493" s="216" t="s">
        <v>219</v>
      </c>
      <c r="I493" s="217" t="s">
        <v>2330</v>
      </c>
      <c r="J493" s="211" t="s">
        <v>933</v>
      </c>
      <c r="K493" s="211" t="s">
        <v>210</v>
      </c>
      <c r="L493" s="211" t="s">
        <v>210</v>
      </c>
      <c r="M493" s="211" t="s">
        <v>327</v>
      </c>
      <c r="N493" s="211" t="s">
        <v>14</v>
      </c>
      <c r="O493" s="211">
        <v>2</v>
      </c>
      <c r="P493" s="211" t="s">
        <v>105</v>
      </c>
      <c r="Q493" s="213" t="s">
        <v>108</v>
      </c>
      <c r="R493" s="218">
        <v>345000</v>
      </c>
      <c r="S493" s="218">
        <f>Product_Name[[#This Row],[Đơn giá
Unit Price]]*Product_Name[[#This Row],[Số lượng
Quantity]]</f>
        <v>690000</v>
      </c>
      <c r="T493" s="219">
        <v>44785</v>
      </c>
      <c r="U493" s="220">
        <v>44792</v>
      </c>
      <c r="V493" s="233">
        <v>44792</v>
      </c>
      <c r="W493" s="211" t="s">
        <v>21</v>
      </c>
      <c r="X493" s="211" t="s">
        <v>16</v>
      </c>
      <c r="Y493" s="220">
        <v>44785</v>
      </c>
      <c r="Z493" s="222" t="s">
        <v>2087</v>
      </c>
      <c r="AA493" s="216" t="s">
        <v>2181</v>
      </c>
      <c r="AB493" s="227"/>
      <c r="AC493" s="295"/>
    </row>
    <row r="494" spans="1:29" ht="15.5" x14ac:dyDescent="0.35">
      <c r="A494" s="211">
        <v>6713</v>
      </c>
      <c r="B494" s="214" t="s">
        <v>2562</v>
      </c>
      <c r="C494" s="211">
        <v>8846</v>
      </c>
      <c r="D494" s="215" t="s">
        <v>110</v>
      </c>
      <c r="E494" s="215" t="s">
        <v>110</v>
      </c>
      <c r="F494" s="211" t="s">
        <v>110</v>
      </c>
      <c r="G494" s="211" t="s">
        <v>110</v>
      </c>
      <c r="H494" s="216" t="s">
        <v>976</v>
      </c>
      <c r="I494" s="217" t="s">
        <v>977</v>
      </c>
      <c r="J494" s="211" t="s">
        <v>978</v>
      </c>
      <c r="K494" s="211" t="s">
        <v>1426</v>
      </c>
      <c r="L494" s="211" t="s">
        <v>99</v>
      </c>
      <c r="M494" s="211" t="s">
        <v>123</v>
      </c>
      <c r="N494" s="211" t="s">
        <v>14</v>
      </c>
      <c r="O494" s="211">
        <v>10</v>
      </c>
      <c r="P494" s="211" t="s">
        <v>37</v>
      </c>
      <c r="Q494" s="213" t="s">
        <v>108</v>
      </c>
      <c r="R494" s="218">
        <v>198000</v>
      </c>
      <c r="S494" s="218">
        <f>Product_Name[[#This Row],[Đơn giá
Unit Price]]*Product_Name[[#This Row],[Số lượng
Quantity]]</f>
        <v>1980000</v>
      </c>
      <c r="T494" s="219">
        <v>44790</v>
      </c>
      <c r="U494" s="220">
        <v>44810</v>
      </c>
      <c r="V494" s="221">
        <v>44816</v>
      </c>
      <c r="W494" s="214" t="s">
        <v>2577</v>
      </c>
      <c r="X494" s="211" t="s">
        <v>16</v>
      </c>
      <c r="Y494" s="220">
        <v>44785</v>
      </c>
      <c r="Z494" s="222" t="s">
        <v>2087</v>
      </c>
      <c r="AA494" s="216" t="s">
        <v>2181</v>
      </c>
      <c r="AB494" s="227"/>
      <c r="AC494" s="295"/>
    </row>
    <row r="495" spans="1:29" ht="15.5" x14ac:dyDescent="0.35">
      <c r="A495" s="211" t="s">
        <v>110</v>
      </c>
      <c r="B495" s="214" t="s">
        <v>2549</v>
      </c>
      <c r="C495" s="211" t="s">
        <v>110</v>
      </c>
      <c r="D495" s="215">
        <v>3186</v>
      </c>
      <c r="E495" s="215">
        <v>6833</v>
      </c>
      <c r="F495" s="211" t="s">
        <v>110</v>
      </c>
      <c r="G495" s="211" t="s">
        <v>110</v>
      </c>
      <c r="H495" s="216" t="s">
        <v>227</v>
      </c>
      <c r="I495" s="217" t="s">
        <v>2469</v>
      </c>
      <c r="J495" s="211" t="s">
        <v>2517</v>
      </c>
      <c r="K495" s="211" t="s">
        <v>2514</v>
      </c>
      <c r="L495" s="211" t="s">
        <v>218</v>
      </c>
      <c r="M495" s="214" t="s">
        <v>796</v>
      </c>
      <c r="N495" s="211" t="s">
        <v>642</v>
      </c>
      <c r="O495" s="211">
        <v>3</v>
      </c>
      <c r="P495" s="211" t="s">
        <v>37</v>
      </c>
      <c r="Q495" s="213" t="s">
        <v>108</v>
      </c>
      <c r="R495" s="218">
        <v>80000</v>
      </c>
      <c r="S495" s="218">
        <f>Product_Name[[#This Row],[Đơn giá
Unit Price]]*Product_Name[[#This Row],[Số lượng
Quantity]]</f>
        <v>240000</v>
      </c>
      <c r="T495" s="219">
        <v>44798</v>
      </c>
      <c r="U495" s="220">
        <v>44805</v>
      </c>
      <c r="V495" s="221">
        <v>44812</v>
      </c>
      <c r="W495" s="211" t="s">
        <v>2814</v>
      </c>
      <c r="X495" s="211" t="s">
        <v>16</v>
      </c>
      <c r="Y495" s="220" t="s">
        <v>2471</v>
      </c>
      <c r="Z495" s="222"/>
      <c r="AA495" s="216" t="s">
        <v>2181</v>
      </c>
      <c r="AB495" s="227" t="s">
        <v>110</v>
      </c>
      <c r="AC495" s="295"/>
    </row>
    <row r="496" spans="1:29" ht="15.5" x14ac:dyDescent="0.35">
      <c r="A496" s="211">
        <v>6834</v>
      </c>
      <c r="B496" s="214" t="s">
        <v>2633</v>
      </c>
      <c r="C496" s="211">
        <v>8971</v>
      </c>
      <c r="D496" s="215" t="s">
        <v>110</v>
      </c>
      <c r="E496" s="215" t="s">
        <v>110</v>
      </c>
      <c r="F496" s="211" t="s">
        <v>110</v>
      </c>
      <c r="G496" s="211" t="s">
        <v>110</v>
      </c>
      <c r="H496" s="216" t="s">
        <v>2466</v>
      </c>
      <c r="I496" s="217" t="s">
        <v>2467</v>
      </c>
      <c r="J496" s="211" t="s">
        <v>2465</v>
      </c>
      <c r="K496" s="211" t="s">
        <v>2451</v>
      </c>
      <c r="L496" s="211" t="s">
        <v>2515</v>
      </c>
      <c r="M496" s="211" t="s">
        <v>2516</v>
      </c>
      <c r="N496" s="211" t="s">
        <v>14</v>
      </c>
      <c r="O496" s="211">
        <v>5</v>
      </c>
      <c r="P496" s="211" t="s">
        <v>37</v>
      </c>
      <c r="Q496" s="213" t="s">
        <v>108</v>
      </c>
      <c r="R496" s="218">
        <v>276000</v>
      </c>
      <c r="S496" s="218">
        <f>Product_Name[[#This Row],[Đơn giá
Unit Price]]*Product_Name[[#This Row],[Số lượng
Quantity]]</f>
        <v>1380000</v>
      </c>
      <c r="T496" s="219">
        <v>44798</v>
      </c>
      <c r="U496" s="220">
        <v>44805</v>
      </c>
      <c r="V496" s="221">
        <v>44827</v>
      </c>
      <c r="W496" s="211" t="s">
        <v>2814</v>
      </c>
      <c r="X496" s="211" t="s">
        <v>16</v>
      </c>
      <c r="Y496" s="220" t="s">
        <v>2471</v>
      </c>
      <c r="Z496" s="222" t="s">
        <v>2087</v>
      </c>
      <c r="AA496" s="216" t="s">
        <v>2181</v>
      </c>
      <c r="AB496" s="227" t="s">
        <v>110</v>
      </c>
      <c r="AC496" s="295"/>
    </row>
    <row r="497" spans="1:29" ht="15.5" x14ac:dyDescent="0.35">
      <c r="A497" s="211">
        <v>6679</v>
      </c>
      <c r="B497" s="214" t="s">
        <v>2712</v>
      </c>
      <c r="C497" s="211">
        <v>8819</v>
      </c>
      <c r="D497" s="215" t="s">
        <v>110</v>
      </c>
      <c r="E497" s="215" t="s">
        <v>110</v>
      </c>
      <c r="F497" s="211" t="s">
        <v>110</v>
      </c>
      <c r="G497" s="211" t="s">
        <v>110</v>
      </c>
      <c r="H497" s="216" t="s">
        <v>1411</v>
      </c>
      <c r="I497" s="217" t="s">
        <v>1409</v>
      </c>
      <c r="J497" s="211" t="s">
        <v>1412</v>
      </c>
      <c r="K497" s="211" t="s">
        <v>1462</v>
      </c>
      <c r="L497" s="211" t="s">
        <v>100</v>
      </c>
      <c r="M497" s="211" t="s">
        <v>795</v>
      </c>
      <c r="N497" s="211" t="s">
        <v>14</v>
      </c>
      <c r="O497" s="211">
        <v>10</v>
      </c>
      <c r="P497" s="211" t="s">
        <v>106</v>
      </c>
      <c r="Q497" s="213" t="s">
        <v>108</v>
      </c>
      <c r="R497" s="218">
        <v>7095000</v>
      </c>
      <c r="S497" s="218">
        <f>Product_Name[[#This Row],[Đơn giá
Unit Price]]*Product_Name[[#This Row],[Số lượng
Quantity]]</f>
        <v>70950000</v>
      </c>
      <c r="T497" s="219">
        <v>44789</v>
      </c>
      <c r="U497" s="220">
        <v>44835</v>
      </c>
      <c r="V497" s="221">
        <v>44846</v>
      </c>
      <c r="W497" s="211" t="s">
        <v>2813</v>
      </c>
      <c r="X497" s="211" t="s">
        <v>16</v>
      </c>
      <c r="Y497" s="220">
        <v>44789</v>
      </c>
      <c r="Z497" s="222" t="s">
        <v>2087</v>
      </c>
      <c r="AA497" s="216"/>
      <c r="AB497" s="227"/>
      <c r="AC497" s="295"/>
    </row>
    <row r="498" spans="1:29" ht="15.5" x14ac:dyDescent="0.35">
      <c r="A498" s="211">
        <v>6718</v>
      </c>
      <c r="B498" s="214" t="s">
        <v>2554</v>
      </c>
      <c r="C498" s="211">
        <v>8852</v>
      </c>
      <c r="D498" s="215" t="s">
        <v>110</v>
      </c>
      <c r="E498" s="215" t="s">
        <v>110</v>
      </c>
      <c r="F498" s="211" t="s">
        <v>110</v>
      </c>
      <c r="G498" s="211" t="s">
        <v>110</v>
      </c>
      <c r="H498" s="216" t="s">
        <v>2214</v>
      </c>
      <c r="I498" s="217" t="s">
        <v>2215</v>
      </c>
      <c r="J498" s="211" t="s">
        <v>2204</v>
      </c>
      <c r="K498" s="211" t="s">
        <v>2265</v>
      </c>
      <c r="L498" s="211" t="s">
        <v>2265</v>
      </c>
      <c r="M498" s="211" t="s">
        <v>1282</v>
      </c>
      <c r="N498" s="211" t="s">
        <v>14</v>
      </c>
      <c r="O498" s="211">
        <v>410</v>
      </c>
      <c r="P498" s="211" t="s">
        <v>37</v>
      </c>
      <c r="Q498" s="213" t="s">
        <v>108</v>
      </c>
      <c r="R498" s="218">
        <v>55000</v>
      </c>
      <c r="S498" s="218">
        <f>R498*O498</f>
        <v>22550000</v>
      </c>
      <c r="T498" s="219">
        <v>44791</v>
      </c>
      <c r="U498" s="220">
        <v>44798</v>
      </c>
      <c r="V498" s="221">
        <v>44812</v>
      </c>
      <c r="W498" s="211" t="s">
        <v>2814</v>
      </c>
      <c r="X498" s="211" t="s">
        <v>55</v>
      </c>
      <c r="Y498" s="220">
        <v>44791</v>
      </c>
      <c r="Z498" s="222" t="s">
        <v>2087</v>
      </c>
      <c r="AA498" s="216" t="s">
        <v>2155</v>
      </c>
      <c r="AB498" s="227" t="s">
        <v>110</v>
      </c>
      <c r="AC498" s="295"/>
    </row>
    <row r="499" spans="1:29" ht="15.5" x14ac:dyDescent="0.35">
      <c r="A499" s="211">
        <v>6718</v>
      </c>
      <c r="B499" s="214" t="s">
        <v>2554</v>
      </c>
      <c r="C499" s="211">
        <v>8852</v>
      </c>
      <c r="D499" s="215" t="s">
        <v>110</v>
      </c>
      <c r="E499" s="215" t="s">
        <v>110</v>
      </c>
      <c r="F499" s="211" t="s">
        <v>110</v>
      </c>
      <c r="G499" s="211" t="s">
        <v>110</v>
      </c>
      <c r="H499" s="216" t="s">
        <v>2304</v>
      </c>
      <c r="I499" s="217" t="s">
        <v>2308</v>
      </c>
      <c r="J499" s="211" t="s">
        <v>2301</v>
      </c>
      <c r="K499" s="211" t="s">
        <v>2265</v>
      </c>
      <c r="L499" s="211" t="s">
        <v>2265</v>
      </c>
      <c r="M499" s="211" t="s">
        <v>1282</v>
      </c>
      <c r="N499" s="211" t="s">
        <v>14</v>
      </c>
      <c r="O499" s="211">
        <v>810</v>
      </c>
      <c r="P499" s="211" t="s">
        <v>276</v>
      </c>
      <c r="Q499" s="213" t="s">
        <v>108</v>
      </c>
      <c r="R499" s="218">
        <v>70000</v>
      </c>
      <c r="S499" s="218">
        <f>R499*O499</f>
        <v>56700000</v>
      </c>
      <c r="T499" s="219">
        <v>44791</v>
      </c>
      <c r="U499" s="220">
        <v>44798</v>
      </c>
      <c r="V499" s="221">
        <v>44812</v>
      </c>
      <c r="W499" s="211" t="s">
        <v>2814</v>
      </c>
      <c r="X499" s="211" t="s">
        <v>55</v>
      </c>
      <c r="Y499" s="220">
        <v>44791</v>
      </c>
      <c r="Z499" s="222" t="s">
        <v>2087</v>
      </c>
      <c r="AA499" s="216" t="s">
        <v>2155</v>
      </c>
      <c r="AB499" s="227" t="s">
        <v>110</v>
      </c>
      <c r="AC499" s="295"/>
    </row>
    <row r="500" spans="1:29" ht="15.5" x14ac:dyDescent="0.35">
      <c r="A500" s="211">
        <v>7129</v>
      </c>
      <c r="B500" s="214" t="s">
        <v>2670</v>
      </c>
      <c r="C500" s="211">
        <v>9442</v>
      </c>
      <c r="D500" s="215"/>
      <c r="E500" s="215"/>
      <c r="F500" s="211"/>
      <c r="G500" s="211"/>
      <c r="H500" s="216" t="s">
        <v>2519</v>
      </c>
      <c r="I500" s="217" t="s">
        <v>2520</v>
      </c>
      <c r="J500" s="211" t="s">
        <v>2518</v>
      </c>
      <c r="K500" s="211" t="s">
        <v>218</v>
      </c>
      <c r="L500" s="211" t="s">
        <v>218</v>
      </c>
      <c r="M500" s="211" t="s">
        <v>123</v>
      </c>
      <c r="N500" s="211" t="s">
        <v>14</v>
      </c>
      <c r="O500" s="211">
        <v>5</v>
      </c>
      <c r="P500" s="211" t="s">
        <v>2669</v>
      </c>
      <c r="Q500" s="213" t="s">
        <v>108</v>
      </c>
      <c r="R500" s="218">
        <v>90000</v>
      </c>
      <c r="S500" s="218">
        <f>Product_Name[[#This Row],[Đơn giá
Unit Price]]*Product_Name[[#This Row],[Số lượng
Quantity]]</f>
        <v>450000</v>
      </c>
      <c r="T500" s="219">
        <v>44828</v>
      </c>
      <c r="U500" s="220">
        <v>44837</v>
      </c>
      <c r="V500" s="221">
        <v>44835</v>
      </c>
      <c r="W500" s="211" t="s">
        <v>3198</v>
      </c>
      <c r="X500" s="211" t="s">
        <v>16</v>
      </c>
      <c r="Y500" s="220" t="s">
        <v>2521</v>
      </c>
      <c r="Z500" s="222" t="s">
        <v>2087</v>
      </c>
      <c r="AA500" s="216" t="s">
        <v>2431</v>
      </c>
      <c r="AB500" s="227" t="s">
        <v>110</v>
      </c>
      <c r="AC500" s="295"/>
    </row>
    <row r="501" spans="1:29" ht="15.5" x14ac:dyDescent="0.35">
      <c r="A501" s="211">
        <v>6895</v>
      </c>
      <c r="B501" s="214" t="s">
        <v>2574</v>
      </c>
      <c r="C501" s="211">
        <v>9063</v>
      </c>
      <c r="D501" s="215" t="s">
        <v>110</v>
      </c>
      <c r="E501" s="215" t="s">
        <v>110</v>
      </c>
      <c r="F501" s="211" t="s">
        <v>110</v>
      </c>
      <c r="G501" s="211" t="s">
        <v>110</v>
      </c>
      <c r="H501" s="216" t="s">
        <v>233</v>
      </c>
      <c r="I501" s="217" t="s">
        <v>754</v>
      </c>
      <c r="J501" s="211" t="s">
        <v>240</v>
      </c>
      <c r="K501" s="211" t="s">
        <v>2522</v>
      </c>
      <c r="L501" s="211" t="s">
        <v>218</v>
      </c>
      <c r="M501" s="211" t="s">
        <v>124</v>
      </c>
      <c r="N501" s="211" t="s">
        <v>14</v>
      </c>
      <c r="O501" s="211">
        <v>10</v>
      </c>
      <c r="P501" s="211" t="s">
        <v>276</v>
      </c>
      <c r="Q501" s="213" t="s">
        <v>108</v>
      </c>
      <c r="R501" s="218">
        <v>66000</v>
      </c>
      <c r="S501" s="218">
        <f>Product_Name[[#This Row],[Đơn giá
Unit Price]]*Product_Name[[#This Row],[Số lượng
Quantity]]</f>
        <v>660000</v>
      </c>
      <c r="T501" s="219">
        <v>44804</v>
      </c>
      <c r="U501" s="220">
        <v>44813</v>
      </c>
      <c r="V501" s="221">
        <v>44818</v>
      </c>
      <c r="W501" s="214" t="s">
        <v>1537</v>
      </c>
      <c r="X501" s="211" t="s">
        <v>16</v>
      </c>
      <c r="Y501" s="220">
        <v>44798</v>
      </c>
      <c r="Z501" s="222" t="s">
        <v>2087</v>
      </c>
      <c r="AA501" s="216" t="s">
        <v>2181</v>
      </c>
      <c r="AB501" s="227" t="s">
        <v>110</v>
      </c>
      <c r="AC501" s="295"/>
    </row>
    <row r="502" spans="1:29" ht="15.5" x14ac:dyDescent="0.35">
      <c r="A502" s="211">
        <v>6895</v>
      </c>
      <c r="B502" s="214" t="s">
        <v>2574</v>
      </c>
      <c r="C502" s="211">
        <v>9063</v>
      </c>
      <c r="D502" s="215" t="s">
        <v>110</v>
      </c>
      <c r="E502" s="215" t="s">
        <v>110</v>
      </c>
      <c r="F502" s="211" t="s">
        <v>110</v>
      </c>
      <c r="G502" s="211" t="s">
        <v>110</v>
      </c>
      <c r="H502" s="216" t="s">
        <v>234</v>
      </c>
      <c r="I502" s="217" t="s">
        <v>754</v>
      </c>
      <c r="J502" s="211" t="s">
        <v>241</v>
      </c>
      <c r="K502" s="211" t="s">
        <v>2522</v>
      </c>
      <c r="L502" s="211" t="s">
        <v>218</v>
      </c>
      <c r="M502" s="211" t="s">
        <v>124</v>
      </c>
      <c r="N502" s="211" t="s">
        <v>14</v>
      </c>
      <c r="O502" s="211">
        <v>5</v>
      </c>
      <c r="P502" s="211" t="s">
        <v>276</v>
      </c>
      <c r="Q502" s="213" t="s">
        <v>108</v>
      </c>
      <c r="R502" s="218">
        <v>48000</v>
      </c>
      <c r="S502" s="218">
        <f>Product_Name[[#This Row],[Đơn giá
Unit Price]]*Product_Name[[#This Row],[Số lượng
Quantity]]</f>
        <v>240000</v>
      </c>
      <c r="T502" s="219">
        <v>44804</v>
      </c>
      <c r="U502" s="220">
        <v>44813</v>
      </c>
      <c r="V502" s="221">
        <v>44818</v>
      </c>
      <c r="W502" s="214" t="s">
        <v>1537</v>
      </c>
      <c r="X502" s="211" t="s">
        <v>16</v>
      </c>
      <c r="Y502" s="220">
        <v>44798</v>
      </c>
      <c r="Z502" s="222" t="s">
        <v>2087</v>
      </c>
      <c r="AA502" s="216" t="s">
        <v>2181</v>
      </c>
      <c r="AB502" s="227" t="s">
        <v>110</v>
      </c>
      <c r="AC502" s="295"/>
    </row>
    <row r="503" spans="1:29" ht="15.5" x14ac:dyDescent="0.35">
      <c r="A503" s="211">
        <v>6895</v>
      </c>
      <c r="B503" s="214" t="s">
        <v>2574</v>
      </c>
      <c r="C503" s="211">
        <v>9063</v>
      </c>
      <c r="D503" s="215" t="s">
        <v>110</v>
      </c>
      <c r="E503" s="215" t="s">
        <v>110</v>
      </c>
      <c r="F503" s="211" t="s">
        <v>110</v>
      </c>
      <c r="G503" s="211" t="s">
        <v>110</v>
      </c>
      <c r="H503" s="216" t="s">
        <v>235</v>
      </c>
      <c r="I503" s="217" t="s">
        <v>754</v>
      </c>
      <c r="J503" s="211" t="s">
        <v>242</v>
      </c>
      <c r="K503" s="211" t="s">
        <v>2522</v>
      </c>
      <c r="L503" s="211" t="s">
        <v>218</v>
      </c>
      <c r="M503" s="211" t="s">
        <v>124</v>
      </c>
      <c r="N503" s="211" t="s">
        <v>14</v>
      </c>
      <c r="O503" s="211">
        <v>10</v>
      </c>
      <c r="P503" s="211" t="s">
        <v>276</v>
      </c>
      <c r="Q503" s="226" t="s">
        <v>108</v>
      </c>
      <c r="R503" s="218">
        <v>33600</v>
      </c>
      <c r="S503" s="218">
        <f>Product_Name[[#This Row],[Đơn giá
Unit Price]]*Product_Name[[#This Row],[Số lượng
Quantity]]</f>
        <v>336000</v>
      </c>
      <c r="T503" s="219">
        <v>44804</v>
      </c>
      <c r="U503" s="220">
        <v>44813</v>
      </c>
      <c r="V503" s="221">
        <v>44818</v>
      </c>
      <c r="W503" s="214" t="s">
        <v>1537</v>
      </c>
      <c r="X503" s="211" t="s">
        <v>16</v>
      </c>
      <c r="Y503" s="220">
        <v>44798</v>
      </c>
      <c r="Z503" s="222" t="s">
        <v>2087</v>
      </c>
      <c r="AA503" s="216" t="s">
        <v>2181</v>
      </c>
      <c r="AB503" s="227" t="s">
        <v>110</v>
      </c>
      <c r="AC503" s="295"/>
    </row>
    <row r="504" spans="1:29" ht="15.5" x14ac:dyDescent="0.35">
      <c r="A504" s="211">
        <v>6895</v>
      </c>
      <c r="B504" s="214" t="s">
        <v>2574</v>
      </c>
      <c r="C504" s="211">
        <v>9063</v>
      </c>
      <c r="D504" s="215" t="s">
        <v>110</v>
      </c>
      <c r="E504" s="215" t="s">
        <v>110</v>
      </c>
      <c r="F504" s="211" t="s">
        <v>110</v>
      </c>
      <c r="G504" s="211" t="s">
        <v>110</v>
      </c>
      <c r="H504" s="216" t="s">
        <v>236</v>
      </c>
      <c r="I504" s="217" t="s">
        <v>754</v>
      </c>
      <c r="J504" s="211" t="s">
        <v>243</v>
      </c>
      <c r="K504" s="211" t="s">
        <v>2522</v>
      </c>
      <c r="L504" s="211" t="s">
        <v>218</v>
      </c>
      <c r="M504" s="211" t="s">
        <v>124</v>
      </c>
      <c r="N504" s="211" t="s">
        <v>14</v>
      </c>
      <c r="O504" s="211">
        <v>5</v>
      </c>
      <c r="P504" s="211" t="s">
        <v>276</v>
      </c>
      <c r="Q504" s="226" t="s">
        <v>108</v>
      </c>
      <c r="R504" s="218">
        <v>66000</v>
      </c>
      <c r="S504" s="218">
        <f>Product_Name[[#This Row],[Đơn giá
Unit Price]]*Product_Name[[#This Row],[Số lượng
Quantity]]</f>
        <v>330000</v>
      </c>
      <c r="T504" s="219">
        <v>44804</v>
      </c>
      <c r="U504" s="220">
        <v>44813</v>
      </c>
      <c r="V504" s="221">
        <v>44818</v>
      </c>
      <c r="W504" s="214" t="s">
        <v>1537</v>
      </c>
      <c r="X504" s="211" t="s">
        <v>16</v>
      </c>
      <c r="Y504" s="220">
        <v>44798</v>
      </c>
      <c r="Z504" s="222" t="s">
        <v>2087</v>
      </c>
      <c r="AA504" s="216" t="s">
        <v>2181</v>
      </c>
      <c r="AB504" s="227" t="s">
        <v>110</v>
      </c>
      <c r="AC504" s="295"/>
    </row>
    <row r="505" spans="1:29" ht="15.5" x14ac:dyDescent="0.35">
      <c r="A505" s="211">
        <v>6895</v>
      </c>
      <c r="B505" s="214" t="s">
        <v>2574</v>
      </c>
      <c r="C505" s="211">
        <v>9063</v>
      </c>
      <c r="D505" s="215" t="s">
        <v>110</v>
      </c>
      <c r="E505" s="215" t="s">
        <v>110</v>
      </c>
      <c r="F505" s="211" t="s">
        <v>110</v>
      </c>
      <c r="G505" s="211" t="s">
        <v>110</v>
      </c>
      <c r="H505" s="216" t="s">
        <v>238</v>
      </c>
      <c r="I505" s="217" t="s">
        <v>754</v>
      </c>
      <c r="J505" s="211" t="s">
        <v>245</v>
      </c>
      <c r="K505" s="211" t="s">
        <v>2522</v>
      </c>
      <c r="L505" s="211" t="s">
        <v>218</v>
      </c>
      <c r="M505" s="211" t="s">
        <v>124</v>
      </c>
      <c r="N505" s="211" t="s">
        <v>14</v>
      </c>
      <c r="O505" s="211">
        <v>10</v>
      </c>
      <c r="P505" s="211" t="s">
        <v>276</v>
      </c>
      <c r="Q505" s="226" t="s">
        <v>108</v>
      </c>
      <c r="R505" s="218">
        <v>24000</v>
      </c>
      <c r="S505" s="218">
        <f>Product_Name[[#This Row],[Đơn giá
Unit Price]]*Product_Name[[#This Row],[Số lượng
Quantity]]</f>
        <v>240000</v>
      </c>
      <c r="T505" s="219">
        <v>44804</v>
      </c>
      <c r="U505" s="220">
        <v>44813</v>
      </c>
      <c r="V505" s="221">
        <v>44818</v>
      </c>
      <c r="W505" s="214" t="s">
        <v>1537</v>
      </c>
      <c r="X505" s="211" t="s">
        <v>16</v>
      </c>
      <c r="Y505" s="220">
        <v>44798</v>
      </c>
      <c r="Z505" s="222" t="s">
        <v>2087</v>
      </c>
      <c r="AA505" s="216" t="s">
        <v>2181</v>
      </c>
      <c r="AB505" s="227" t="s">
        <v>110</v>
      </c>
      <c r="AC505" s="295"/>
    </row>
    <row r="506" spans="1:29" ht="15.5" x14ac:dyDescent="0.35">
      <c r="A506" s="211">
        <v>7040</v>
      </c>
      <c r="B506" s="214" t="s">
        <v>2699</v>
      </c>
      <c r="C506" s="211">
        <v>9371</v>
      </c>
      <c r="D506" s="215" t="s">
        <v>110</v>
      </c>
      <c r="E506" s="215" t="s">
        <v>110</v>
      </c>
      <c r="F506" s="211" t="s">
        <v>2558</v>
      </c>
      <c r="G506" s="211" t="s">
        <v>2622</v>
      </c>
      <c r="H506" s="216" t="s">
        <v>1176</v>
      </c>
      <c r="I506" s="217" t="s">
        <v>1175</v>
      </c>
      <c r="J506" s="211" t="s">
        <v>1174</v>
      </c>
      <c r="K506" s="211" t="s">
        <v>1177</v>
      </c>
      <c r="L506" s="211" t="s">
        <v>1177</v>
      </c>
      <c r="M506" s="211" t="s">
        <v>124</v>
      </c>
      <c r="N506" s="211" t="s">
        <v>14</v>
      </c>
      <c r="O506" s="211">
        <v>100</v>
      </c>
      <c r="P506" s="211" t="s">
        <v>276</v>
      </c>
      <c r="Q506" s="226" t="s">
        <v>108</v>
      </c>
      <c r="R506" s="218">
        <v>64000</v>
      </c>
      <c r="S506" s="218">
        <f>Product_Name[[#This Row],[Đơn giá
Unit Price]]*Product_Name[[#This Row],[Số lượng
Quantity]]</f>
        <v>6400000</v>
      </c>
      <c r="T506" s="219">
        <v>44823</v>
      </c>
      <c r="U506" s="220">
        <v>44844</v>
      </c>
      <c r="V506" s="220">
        <v>44844</v>
      </c>
      <c r="W506" s="211" t="s">
        <v>2813</v>
      </c>
      <c r="X506" s="211" t="s">
        <v>16</v>
      </c>
      <c r="Y506" s="220">
        <v>44800</v>
      </c>
      <c r="Z506" s="222" t="s">
        <v>2087</v>
      </c>
      <c r="AA506" s="216" t="s">
        <v>2181</v>
      </c>
      <c r="AB506" s="227">
        <v>44816</v>
      </c>
      <c r="AC506" s="295"/>
    </row>
    <row r="507" spans="1:29" ht="15.5" x14ac:dyDescent="0.35">
      <c r="A507" s="211">
        <v>6992</v>
      </c>
      <c r="B507" s="214" t="s">
        <v>2672</v>
      </c>
      <c r="C507" s="211">
        <v>9298</v>
      </c>
      <c r="D507" s="215" t="s">
        <v>110</v>
      </c>
      <c r="E507" s="215" t="s">
        <v>110</v>
      </c>
      <c r="F507" s="211" t="s">
        <v>110</v>
      </c>
      <c r="G507" s="211" t="s">
        <v>110</v>
      </c>
      <c r="H507" s="216" t="s">
        <v>2573</v>
      </c>
      <c r="I507" s="217" t="s">
        <v>2526</v>
      </c>
      <c r="J507" s="211" t="s">
        <v>2525</v>
      </c>
      <c r="K507" s="211" t="s">
        <v>925</v>
      </c>
      <c r="L507" s="211" t="s">
        <v>925</v>
      </c>
      <c r="M507" s="211" t="s">
        <v>124</v>
      </c>
      <c r="N507" s="211" t="s">
        <v>14</v>
      </c>
      <c r="O507" s="211">
        <v>10</v>
      </c>
      <c r="P507" s="211" t="s">
        <v>276</v>
      </c>
      <c r="Q507" s="226" t="s">
        <v>108</v>
      </c>
      <c r="R507" s="218">
        <v>65600</v>
      </c>
      <c r="S507" s="218">
        <f>Product_Name[[#This Row],[Đơn giá
Unit Price]]*Product_Name[[#This Row],[Số lượng
Quantity]]</f>
        <v>656000</v>
      </c>
      <c r="T507" s="219">
        <v>44818</v>
      </c>
      <c r="U507" s="220">
        <v>44823</v>
      </c>
      <c r="V507" s="221">
        <v>44835</v>
      </c>
      <c r="W507" s="211" t="s">
        <v>2813</v>
      </c>
      <c r="X507" s="211" t="s">
        <v>53</v>
      </c>
      <c r="Y507" s="220" t="s">
        <v>2530</v>
      </c>
      <c r="Z507" s="222" t="s">
        <v>2087</v>
      </c>
      <c r="AA507" s="216" t="s">
        <v>1987</v>
      </c>
      <c r="AB507" s="227" t="s">
        <v>110</v>
      </c>
      <c r="AC507" s="295"/>
    </row>
    <row r="508" spans="1:29" ht="15.5" x14ac:dyDescent="0.35">
      <c r="A508" s="211" t="s">
        <v>110</v>
      </c>
      <c r="B508" s="214" t="s">
        <v>2777</v>
      </c>
      <c r="C508" s="211" t="s">
        <v>110</v>
      </c>
      <c r="D508" s="215">
        <v>3287</v>
      </c>
      <c r="E508" s="215">
        <v>7042</v>
      </c>
      <c r="F508" s="211" t="s">
        <v>2550</v>
      </c>
      <c r="G508" s="211" t="s">
        <v>2623</v>
      </c>
      <c r="H508" s="216" t="s">
        <v>2534</v>
      </c>
      <c r="I508" s="217" t="s">
        <v>2535</v>
      </c>
      <c r="J508" s="211" t="s">
        <v>2533</v>
      </c>
      <c r="K508" s="211" t="s">
        <v>176</v>
      </c>
      <c r="L508" s="211" t="s">
        <v>176</v>
      </c>
      <c r="M508" s="211" t="s">
        <v>796</v>
      </c>
      <c r="N508" s="211" t="s">
        <v>642</v>
      </c>
      <c r="O508" s="211">
        <v>1</v>
      </c>
      <c r="P508" s="211" t="s">
        <v>276</v>
      </c>
      <c r="Q508" s="226" t="s">
        <v>108</v>
      </c>
      <c r="R508" s="218">
        <v>13300000</v>
      </c>
      <c r="S508" s="218">
        <f>Product_Name[[#This Row],[Đơn giá
Unit Price]]*Product_Name[[#This Row],[Số lượng
Quantity]]</f>
        <v>13300000</v>
      </c>
      <c r="T508" s="219">
        <v>44823</v>
      </c>
      <c r="U508" s="220">
        <v>44844</v>
      </c>
      <c r="V508" s="221">
        <v>44855</v>
      </c>
      <c r="W508" s="211" t="s">
        <v>2160</v>
      </c>
      <c r="X508" s="211" t="s">
        <v>53</v>
      </c>
      <c r="Y508" s="220" t="s">
        <v>2547</v>
      </c>
      <c r="Z508" s="222"/>
      <c r="AA508" s="216" t="s">
        <v>2056</v>
      </c>
      <c r="AB508" s="227">
        <v>44812</v>
      </c>
      <c r="AC508" s="295"/>
    </row>
    <row r="509" spans="1:29" ht="15.5" x14ac:dyDescent="0.35">
      <c r="A509" s="211">
        <v>6894</v>
      </c>
      <c r="B509" s="214" t="s">
        <v>2556</v>
      </c>
      <c r="C509" s="211">
        <v>9068</v>
      </c>
      <c r="D509" s="215" t="s">
        <v>110</v>
      </c>
      <c r="E509" s="215" t="s">
        <v>110</v>
      </c>
      <c r="F509" s="211" t="s">
        <v>110</v>
      </c>
      <c r="G509" s="211" t="s">
        <v>110</v>
      </c>
      <c r="H509" s="216" t="s">
        <v>717</v>
      </c>
      <c r="I509" s="217" t="s">
        <v>1489</v>
      </c>
      <c r="J509" s="211" t="s">
        <v>2966</v>
      </c>
      <c r="K509" s="211" t="s">
        <v>1241</v>
      </c>
      <c r="L509" s="211" t="s">
        <v>718</v>
      </c>
      <c r="M509" s="211" t="s">
        <v>327</v>
      </c>
      <c r="N509" s="211" t="s">
        <v>14</v>
      </c>
      <c r="O509" s="211">
        <v>80</v>
      </c>
      <c r="P509" s="211" t="s">
        <v>719</v>
      </c>
      <c r="Q509" s="226" t="s">
        <v>108</v>
      </c>
      <c r="R509" s="218">
        <v>687500</v>
      </c>
      <c r="S509" s="218">
        <f>R509*O509</f>
        <v>55000000</v>
      </c>
      <c r="T509" s="219">
        <v>44804</v>
      </c>
      <c r="U509" s="220">
        <v>44813</v>
      </c>
      <c r="V509" s="221">
        <v>44813</v>
      </c>
      <c r="W509" s="214" t="s">
        <v>1537</v>
      </c>
      <c r="X509" s="211" t="s">
        <v>16</v>
      </c>
      <c r="Y509" s="220">
        <v>44804</v>
      </c>
      <c r="Z509" s="222" t="s">
        <v>328</v>
      </c>
      <c r="AA509" s="216" t="s">
        <v>2076</v>
      </c>
      <c r="AB509" s="227" t="s">
        <v>110</v>
      </c>
      <c r="AC509" s="295"/>
    </row>
    <row r="510" spans="1:29" ht="15.5" x14ac:dyDescent="0.35">
      <c r="A510" s="211" t="s">
        <v>110</v>
      </c>
      <c r="B510" s="214" t="s">
        <v>2723</v>
      </c>
      <c r="C510" s="211" t="s">
        <v>110</v>
      </c>
      <c r="D510" s="215">
        <v>3322</v>
      </c>
      <c r="E510" s="215">
        <v>7108</v>
      </c>
      <c r="F510" s="211" t="s">
        <v>2603</v>
      </c>
      <c r="G510" s="211" t="s">
        <v>2631</v>
      </c>
      <c r="H510" s="216" t="s">
        <v>2630</v>
      </c>
      <c r="I510" s="217" t="s">
        <v>2589</v>
      </c>
      <c r="J510" s="211" t="s">
        <v>2590</v>
      </c>
      <c r="K510" s="211" t="s">
        <v>2451</v>
      </c>
      <c r="L510" s="211" t="s">
        <v>1281</v>
      </c>
      <c r="M510" s="211" t="s">
        <v>63</v>
      </c>
      <c r="N510" s="211" t="s">
        <v>642</v>
      </c>
      <c r="O510" s="211">
        <v>1</v>
      </c>
      <c r="P510" s="211" t="s">
        <v>276</v>
      </c>
      <c r="Q510" s="226" t="s">
        <v>108</v>
      </c>
      <c r="R510" s="237">
        <v>72170000</v>
      </c>
      <c r="S510" s="218">
        <f>Product_Name[[#This Row],[Đơn giá
Unit Price]]*Product_Name[[#This Row],[Số lượng
Quantity]]</f>
        <v>72170000</v>
      </c>
      <c r="T510" s="219">
        <v>44827</v>
      </c>
      <c r="U510" s="220">
        <v>44841</v>
      </c>
      <c r="V510" s="221">
        <v>44846</v>
      </c>
      <c r="W510" s="211" t="s">
        <v>1565</v>
      </c>
      <c r="X510" s="211" t="s">
        <v>16</v>
      </c>
      <c r="Y510" s="220" t="s">
        <v>2543</v>
      </c>
      <c r="Z510" s="222" t="s">
        <v>2632</v>
      </c>
      <c r="AA510" s="216" t="s">
        <v>2542</v>
      </c>
      <c r="AB510" s="227">
        <v>44820</v>
      </c>
      <c r="AC510" s="295"/>
    </row>
    <row r="511" spans="1:29" ht="15.5" x14ac:dyDescent="0.35">
      <c r="A511" s="211">
        <v>7107</v>
      </c>
      <c r="B511" s="214" t="s">
        <v>2724</v>
      </c>
      <c r="C511" s="211">
        <v>9419</v>
      </c>
      <c r="D511" s="215" t="s">
        <v>110</v>
      </c>
      <c r="E511" s="215" t="s">
        <v>110</v>
      </c>
      <c r="F511" s="211" t="s">
        <v>110</v>
      </c>
      <c r="G511" s="211" t="s">
        <v>110</v>
      </c>
      <c r="H511" s="216" t="s">
        <v>2541</v>
      </c>
      <c r="I511" s="217" t="s">
        <v>2591</v>
      </c>
      <c r="J511" s="211" t="s">
        <v>2592</v>
      </c>
      <c r="K511" s="211" t="s">
        <v>2451</v>
      </c>
      <c r="L511" s="211" t="s">
        <v>1281</v>
      </c>
      <c r="M511" s="211" t="s">
        <v>123</v>
      </c>
      <c r="N511" s="211" t="s">
        <v>14</v>
      </c>
      <c r="O511" s="211">
        <v>1</v>
      </c>
      <c r="P511" s="211" t="s">
        <v>1124</v>
      </c>
      <c r="Q511" s="226" t="s">
        <v>108</v>
      </c>
      <c r="R511" s="237">
        <v>900000</v>
      </c>
      <c r="S511" s="218">
        <f>Product_Name[[#This Row],[Đơn giá
Unit Price]]*Product_Name[[#This Row],[Số lượng
Quantity]]</f>
        <v>900000</v>
      </c>
      <c r="T511" s="219">
        <v>44827</v>
      </c>
      <c r="U511" s="220">
        <v>44841</v>
      </c>
      <c r="V511" s="221">
        <v>44846</v>
      </c>
      <c r="W511" s="211" t="s">
        <v>1565</v>
      </c>
      <c r="X511" s="211" t="s">
        <v>16</v>
      </c>
      <c r="Y511" s="220" t="s">
        <v>2543</v>
      </c>
      <c r="Z511" s="222" t="s">
        <v>2087</v>
      </c>
      <c r="AA511" s="216" t="s">
        <v>2542</v>
      </c>
      <c r="AB511" s="227" t="s">
        <v>110</v>
      </c>
      <c r="AC511" s="295"/>
    </row>
    <row r="512" spans="1:29" ht="15.5" x14ac:dyDescent="0.35">
      <c r="A512" s="211">
        <v>7049</v>
      </c>
      <c r="B512" s="214" t="s">
        <v>2706</v>
      </c>
      <c r="C512" s="211">
        <v>9374</v>
      </c>
      <c r="D512" s="215" t="s">
        <v>110</v>
      </c>
      <c r="E512" s="215" t="s">
        <v>110</v>
      </c>
      <c r="F512" s="211" t="s">
        <v>110</v>
      </c>
      <c r="G512" s="211" t="s">
        <v>110</v>
      </c>
      <c r="H512" s="216" t="s">
        <v>2626</v>
      </c>
      <c r="I512" s="217" t="s">
        <v>2561</v>
      </c>
      <c r="J512" s="211" t="s">
        <v>2559</v>
      </c>
      <c r="K512" s="211" t="s">
        <v>1426</v>
      </c>
      <c r="L512" s="211" t="s">
        <v>1281</v>
      </c>
      <c r="M512" s="211" t="s">
        <v>123</v>
      </c>
      <c r="N512" s="211" t="s">
        <v>14</v>
      </c>
      <c r="O512" s="211">
        <v>30</v>
      </c>
      <c r="P512" s="211" t="s">
        <v>276</v>
      </c>
      <c r="Q512" s="226" t="s">
        <v>108</v>
      </c>
      <c r="R512" s="237">
        <v>37000</v>
      </c>
      <c r="S512" s="218">
        <f>Product_Name[[#This Row],[Đơn giá
Unit Price]]*Product_Name[[#This Row],[Số lượng
Quantity]]</f>
        <v>1110000</v>
      </c>
      <c r="T512" s="219">
        <v>44824</v>
      </c>
      <c r="U512" s="220">
        <v>44844</v>
      </c>
      <c r="V512" s="221">
        <v>44844</v>
      </c>
      <c r="W512" s="211" t="s">
        <v>1662</v>
      </c>
      <c r="X512" s="211" t="s">
        <v>16</v>
      </c>
      <c r="Y512" s="220" t="s">
        <v>2576</v>
      </c>
      <c r="Z512" s="222" t="s">
        <v>2087</v>
      </c>
      <c r="AA512" s="216" t="s">
        <v>2560</v>
      </c>
      <c r="AB512" s="227" t="s">
        <v>110</v>
      </c>
      <c r="AC512" s="295"/>
    </row>
    <row r="513" spans="1:29" ht="15.5" x14ac:dyDescent="0.35">
      <c r="A513" s="211">
        <v>7008</v>
      </c>
      <c r="B513" s="214" t="s">
        <v>2707</v>
      </c>
      <c r="C513" s="211">
        <v>9337</v>
      </c>
      <c r="D513" s="215" t="s">
        <v>110</v>
      </c>
      <c r="E513" s="215" t="s">
        <v>110</v>
      </c>
      <c r="F513" s="211" t="s">
        <v>110</v>
      </c>
      <c r="G513" s="211" t="s">
        <v>110</v>
      </c>
      <c r="H513" s="216" t="s">
        <v>2570</v>
      </c>
      <c r="I513" s="217" t="s">
        <v>2798</v>
      </c>
      <c r="J513" s="211" t="s">
        <v>2565</v>
      </c>
      <c r="K513" s="211" t="s">
        <v>2568</v>
      </c>
      <c r="L513" s="211" t="s">
        <v>1281</v>
      </c>
      <c r="M513" s="211" t="s">
        <v>124</v>
      </c>
      <c r="N513" s="211" t="s">
        <v>14</v>
      </c>
      <c r="O513" s="211">
        <v>1</v>
      </c>
      <c r="P513" s="211" t="s">
        <v>276</v>
      </c>
      <c r="Q513" s="226" t="s">
        <v>108</v>
      </c>
      <c r="R513" s="237">
        <v>29000</v>
      </c>
      <c r="S513" s="218">
        <f>Product_Name[[#This Row],[Đơn giá
Unit Price]]*Product_Name[[#This Row],[Số lượng
Quantity]]</f>
        <v>29000</v>
      </c>
      <c r="T513" s="219">
        <v>44820</v>
      </c>
      <c r="U513" s="220">
        <v>44841</v>
      </c>
      <c r="V513" s="221">
        <v>44844</v>
      </c>
      <c r="W513" s="214" t="s">
        <v>2577</v>
      </c>
      <c r="X513" s="211" t="s">
        <v>16</v>
      </c>
      <c r="Y513" s="220" t="s">
        <v>2572</v>
      </c>
      <c r="Z513" s="222" t="s">
        <v>2087</v>
      </c>
      <c r="AA513" s="216" t="s">
        <v>2155</v>
      </c>
      <c r="AB513" s="227" t="s">
        <v>110</v>
      </c>
      <c r="AC513" s="295"/>
    </row>
    <row r="514" spans="1:29" ht="15.5" x14ac:dyDescent="0.35">
      <c r="A514" s="211">
        <v>7008</v>
      </c>
      <c r="B514" s="214" t="s">
        <v>2707</v>
      </c>
      <c r="C514" s="211">
        <v>9337</v>
      </c>
      <c r="D514" s="215" t="s">
        <v>110</v>
      </c>
      <c r="E514" s="215" t="s">
        <v>110</v>
      </c>
      <c r="F514" s="211" t="s">
        <v>110</v>
      </c>
      <c r="G514" s="211" t="s">
        <v>110</v>
      </c>
      <c r="H514" s="216" t="s">
        <v>2602</v>
      </c>
      <c r="I514" s="217" t="s">
        <v>2600</v>
      </c>
      <c r="J514" s="211" t="s">
        <v>2566</v>
      </c>
      <c r="K514" s="211" t="s">
        <v>1426</v>
      </c>
      <c r="L514" s="211" t="s">
        <v>1281</v>
      </c>
      <c r="M514" s="211" t="s">
        <v>124</v>
      </c>
      <c r="N514" s="211" t="s">
        <v>14</v>
      </c>
      <c r="O514" s="211">
        <v>1</v>
      </c>
      <c r="P514" s="211" t="s">
        <v>276</v>
      </c>
      <c r="Q514" s="226" t="s">
        <v>108</v>
      </c>
      <c r="R514" s="237">
        <v>132000</v>
      </c>
      <c r="S514" s="218">
        <f>Product_Name[[#This Row],[Đơn giá
Unit Price]]*Product_Name[[#This Row],[Số lượng
Quantity]]</f>
        <v>132000</v>
      </c>
      <c r="T514" s="219">
        <v>44820</v>
      </c>
      <c r="U514" s="220">
        <v>44841</v>
      </c>
      <c r="V514" s="221">
        <v>44844</v>
      </c>
      <c r="W514" s="214" t="s">
        <v>2577</v>
      </c>
      <c r="X514" s="211" t="s">
        <v>16</v>
      </c>
      <c r="Y514" s="220" t="s">
        <v>2572</v>
      </c>
      <c r="Z514" s="222" t="s">
        <v>2087</v>
      </c>
      <c r="AA514" s="216" t="s">
        <v>2155</v>
      </c>
      <c r="AB514" s="227" t="s">
        <v>110</v>
      </c>
      <c r="AC514" s="295"/>
    </row>
    <row r="515" spans="1:29" ht="15.5" x14ac:dyDescent="0.35">
      <c r="A515" s="211">
        <v>7008</v>
      </c>
      <c r="B515" s="214" t="s">
        <v>2707</v>
      </c>
      <c r="C515" s="211">
        <v>9337</v>
      </c>
      <c r="D515" s="215" t="s">
        <v>110</v>
      </c>
      <c r="E515" s="215" t="s">
        <v>110</v>
      </c>
      <c r="F515" s="211" t="s">
        <v>110</v>
      </c>
      <c r="G515" s="211" t="s">
        <v>110</v>
      </c>
      <c r="H515" s="216" t="s">
        <v>2569</v>
      </c>
      <c r="I515" s="217" t="s">
        <v>2601</v>
      </c>
      <c r="J515" s="211">
        <v>437</v>
      </c>
      <c r="K515" s="211" t="s">
        <v>2567</v>
      </c>
      <c r="L515" s="211" t="s">
        <v>1281</v>
      </c>
      <c r="M515" s="211" t="s">
        <v>124</v>
      </c>
      <c r="N515" s="211" t="s">
        <v>14</v>
      </c>
      <c r="O515" s="211">
        <v>1</v>
      </c>
      <c r="P515" s="211" t="s">
        <v>276</v>
      </c>
      <c r="Q515" s="226" t="s">
        <v>108</v>
      </c>
      <c r="R515" s="237">
        <v>718000</v>
      </c>
      <c r="S515" s="218">
        <f>Product_Name[[#This Row],[Đơn giá
Unit Price]]*Product_Name[[#This Row],[Số lượng
Quantity]]</f>
        <v>718000</v>
      </c>
      <c r="T515" s="219">
        <v>44820</v>
      </c>
      <c r="U515" s="220">
        <v>44841</v>
      </c>
      <c r="V515" s="221">
        <v>44844</v>
      </c>
      <c r="W515" s="214" t="s">
        <v>2577</v>
      </c>
      <c r="X515" s="211" t="s">
        <v>16</v>
      </c>
      <c r="Y515" s="220" t="s">
        <v>2572</v>
      </c>
      <c r="Z515" s="222" t="s">
        <v>2087</v>
      </c>
      <c r="AA515" s="216" t="s">
        <v>2155</v>
      </c>
      <c r="AB515" s="227" t="s">
        <v>110</v>
      </c>
      <c r="AC515" s="295"/>
    </row>
    <row r="516" spans="1:29" ht="15.5" x14ac:dyDescent="0.35">
      <c r="A516" s="211">
        <v>6988</v>
      </c>
      <c r="B516" s="214" t="s">
        <v>2710</v>
      </c>
      <c r="C516" s="211">
        <v>9314</v>
      </c>
      <c r="D516" s="215" t="s">
        <v>110</v>
      </c>
      <c r="E516" s="215" t="s">
        <v>110</v>
      </c>
      <c r="F516" s="211" t="s">
        <v>110</v>
      </c>
      <c r="G516" s="211" t="s">
        <v>110</v>
      </c>
      <c r="H516" s="216" t="s">
        <v>2214</v>
      </c>
      <c r="I516" s="217" t="s">
        <v>2215</v>
      </c>
      <c r="J516" s="211" t="s">
        <v>2204</v>
      </c>
      <c r="K516" s="211" t="s">
        <v>2265</v>
      </c>
      <c r="L516" s="211" t="s">
        <v>2265</v>
      </c>
      <c r="M516" s="211" t="s">
        <v>1282</v>
      </c>
      <c r="N516" s="211" t="s">
        <v>14</v>
      </c>
      <c r="O516" s="211">
        <v>900</v>
      </c>
      <c r="P516" s="211" t="s">
        <v>37</v>
      </c>
      <c r="Q516" s="226" t="s">
        <v>108</v>
      </c>
      <c r="R516" s="237">
        <v>55000</v>
      </c>
      <c r="S516" s="218">
        <f>R516*O516</f>
        <v>49500000</v>
      </c>
      <c r="T516" s="219">
        <v>44819</v>
      </c>
      <c r="U516" s="220">
        <v>44827</v>
      </c>
      <c r="V516" s="221">
        <v>44845</v>
      </c>
      <c r="W516" s="211" t="s">
        <v>2814</v>
      </c>
      <c r="X516" s="211" t="s">
        <v>55</v>
      </c>
      <c r="Y516" s="220">
        <v>44818</v>
      </c>
      <c r="Z516" s="222" t="s">
        <v>2087</v>
      </c>
      <c r="AA516" s="216" t="s">
        <v>2155</v>
      </c>
      <c r="AB516" s="227" t="s">
        <v>110</v>
      </c>
      <c r="AC516" s="295"/>
    </row>
    <row r="517" spans="1:29" ht="15.5" x14ac:dyDescent="0.35">
      <c r="A517" s="211">
        <v>6988</v>
      </c>
      <c r="B517" s="214" t="s">
        <v>2710</v>
      </c>
      <c r="C517" s="211">
        <v>9314</v>
      </c>
      <c r="D517" s="215" t="s">
        <v>110</v>
      </c>
      <c r="E517" s="215" t="s">
        <v>110</v>
      </c>
      <c r="F517" s="211" t="s">
        <v>110</v>
      </c>
      <c r="G517" s="211" t="s">
        <v>110</v>
      </c>
      <c r="H517" s="216" t="s">
        <v>2302</v>
      </c>
      <c r="I517" s="217" t="s">
        <v>2305</v>
      </c>
      <c r="J517" s="211" t="s">
        <v>2298</v>
      </c>
      <c r="K517" s="211" t="s">
        <v>2265</v>
      </c>
      <c r="L517" s="211" t="s">
        <v>2265</v>
      </c>
      <c r="M517" s="211" t="s">
        <v>1282</v>
      </c>
      <c r="N517" s="211" t="s">
        <v>14</v>
      </c>
      <c r="O517" s="211">
        <v>100</v>
      </c>
      <c r="P517" s="211" t="s">
        <v>276</v>
      </c>
      <c r="Q517" s="226" t="s">
        <v>108</v>
      </c>
      <c r="R517" s="237">
        <v>1200000</v>
      </c>
      <c r="S517" s="218">
        <f>R517*O517</f>
        <v>120000000</v>
      </c>
      <c r="T517" s="219">
        <v>44819</v>
      </c>
      <c r="U517" s="220">
        <v>44827</v>
      </c>
      <c r="V517" s="221">
        <v>44845</v>
      </c>
      <c r="W517" s="211" t="s">
        <v>2814</v>
      </c>
      <c r="X517" s="211" t="s">
        <v>55</v>
      </c>
      <c r="Y517" s="220">
        <v>44818</v>
      </c>
      <c r="Z517" s="222" t="s">
        <v>2087</v>
      </c>
      <c r="AA517" s="216" t="s">
        <v>2155</v>
      </c>
      <c r="AB517" s="227" t="s">
        <v>110</v>
      </c>
      <c r="AC517" s="295"/>
    </row>
    <row r="518" spans="1:29" ht="15.5" x14ac:dyDescent="0.35">
      <c r="A518" s="211">
        <v>6988</v>
      </c>
      <c r="B518" s="214" t="s">
        <v>2710</v>
      </c>
      <c r="C518" s="211">
        <v>9314</v>
      </c>
      <c r="D518" s="215" t="s">
        <v>110</v>
      </c>
      <c r="E518" s="215" t="s">
        <v>110</v>
      </c>
      <c r="F518" s="211" t="s">
        <v>110</v>
      </c>
      <c r="G518" s="211" t="s">
        <v>110</v>
      </c>
      <c r="H518" s="216" t="s">
        <v>2303</v>
      </c>
      <c r="I518" s="217" t="s">
        <v>2306</v>
      </c>
      <c r="J518" s="211" t="s">
        <v>2299</v>
      </c>
      <c r="K518" s="211" t="s">
        <v>2265</v>
      </c>
      <c r="L518" s="211" t="s">
        <v>2265</v>
      </c>
      <c r="M518" s="211" t="s">
        <v>1282</v>
      </c>
      <c r="N518" s="211" t="s">
        <v>14</v>
      </c>
      <c r="O518" s="211">
        <v>100</v>
      </c>
      <c r="P518" s="211" t="s">
        <v>276</v>
      </c>
      <c r="Q518" s="226" t="s">
        <v>108</v>
      </c>
      <c r="R518" s="237">
        <v>350000</v>
      </c>
      <c r="S518" s="218">
        <f>R518*O518</f>
        <v>35000000</v>
      </c>
      <c r="T518" s="219">
        <v>44819</v>
      </c>
      <c r="U518" s="220">
        <v>44827</v>
      </c>
      <c r="V518" s="221">
        <v>44845</v>
      </c>
      <c r="W518" s="211" t="s">
        <v>2814</v>
      </c>
      <c r="X518" s="211" t="s">
        <v>55</v>
      </c>
      <c r="Y518" s="220">
        <v>44818</v>
      </c>
      <c r="Z518" s="222" t="s">
        <v>2087</v>
      </c>
      <c r="AA518" s="216" t="s">
        <v>2155</v>
      </c>
      <c r="AB518" s="227" t="s">
        <v>110</v>
      </c>
      <c r="AC518" s="295"/>
    </row>
    <row r="519" spans="1:29" ht="15.5" x14ac:dyDescent="0.35">
      <c r="A519" s="211">
        <v>6988</v>
      </c>
      <c r="B519" s="214" t="s">
        <v>2710</v>
      </c>
      <c r="C519" s="211">
        <v>9314</v>
      </c>
      <c r="D519" s="215" t="s">
        <v>110</v>
      </c>
      <c r="E519" s="215" t="s">
        <v>110</v>
      </c>
      <c r="F519" s="211" t="s">
        <v>110</v>
      </c>
      <c r="G519" s="211" t="s">
        <v>110</v>
      </c>
      <c r="H519" s="216" t="s">
        <v>2382</v>
      </c>
      <c r="I519" s="217" t="s">
        <v>2307</v>
      </c>
      <c r="J519" s="211" t="s">
        <v>2300</v>
      </c>
      <c r="K519" s="211" t="s">
        <v>2265</v>
      </c>
      <c r="L519" s="211" t="s">
        <v>2265</v>
      </c>
      <c r="M519" s="211" t="s">
        <v>1282</v>
      </c>
      <c r="N519" s="211" t="s">
        <v>14</v>
      </c>
      <c r="O519" s="211">
        <v>700</v>
      </c>
      <c r="P519" s="211" t="s">
        <v>276</v>
      </c>
      <c r="Q519" s="226" t="s">
        <v>108</v>
      </c>
      <c r="R519" s="237">
        <v>62500</v>
      </c>
      <c r="S519" s="218">
        <f>R519*O519</f>
        <v>43750000</v>
      </c>
      <c r="T519" s="219">
        <v>44819</v>
      </c>
      <c r="U519" s="220">
        <v>44827</v>
      </c>
      <c r="V519" s="221">
        <v>44845</v>
      </c>
      <c r="W519" s="211" t="s">
        <v>2814</v>
      </c>
      <c r="X519" s="211" t="s">
        <v>55</v>
      </c>
      <c r="Y519" s="220">
        <v>44818</v>
      </c>
      <c r="Z519" s="222" t="s">
        <v>2087</v>
      </c>
      <c r="AA519" s="216" t="s">
        <v>2155</v>
      </c>
      <c r="AB519" s="227" t="s">
        <v>110</v>
      </c>
      <c r="AC519" s="295"/>
    </row>
    <row r="520" spans="1:29" ht="15.5" x14ac:dyDescent="0.35">
      <c r="A520" s="211">
        <v>6988</v>
      </c>
      <c r="B520" s="214" t="s">
        <v>2710</v>
      </c>
      <c r="C520" s="211">
        <v>9314</v>
      </c>
      <c r="D520" s="215" t="s">
        <v>110</v>
      </c>
      <c r="E520" s="215" t="s">
        <v>110</v>
      </c>
      <c r="F520" s="211" t="s">
        <v>110</v>
      </c>
      <c r="G520" s="211" t="s">
        <v>110</v>
      </c>
      <c r="H520" s="216" t="s">
        <v>2304</v>
      </c>
      <c r="I520" s="217" t="s">
        <v>2308</v>
      </c>
      <c r="J520" s="211" t="s">
        <v>2301</v>
      </c>
      <c r="K520" s="211" t="s">
        <v>2265</v>
      </c>
      <c r="L520" s="211" t="s">
        <v>2265</v>
      </c>
      <c r="M520" s="211" t="s">
        <v>1282</v>
      </c>
      <c r="N520" s="211" t="s">
        <v>14</v>
      </c>
      <c r="O520" s="211">
        <v>200</v>
      </c>
      <c r="P520" s="211" t="s">
        <v>276</v>
      </c>
      <c r="Q520" s="226" t="s">
        <v>108</v>
      </c>
      <c r="R520" s="237">
        <v>70000</v>
      </c>
      <c r="S520" s="218">
        <f>R520*O520</f>
        <v>14000000</v>
      </c>
      <c r="T520" s="219">
        <v>44819</v>
      </c>
      <c r="U520" s="220">
        <v>44827</v>
      </c>
      <c r="V520" s="221">
        <v>44845</v>
      </c>
      <c r="W520" s="211" t="s">
        <v>2814</v>
      </c>
      <c r="X520" s="211" t="s">
        <v>55</v>
      </c>
      <c r="Y520" s="220">
        <v>44818</v>
      </c>
      <c r="Z520" s="222" t="s">
        <v>2087</v>
      </c>
      <c r="AA520" s="216" t="s">
        <v>2155</v>
      </c>
      <c r="AB520" s="227" t="s">
        <v>110</v>
      </c>
      <c r="AC520" s="295"/>
    </row>
    <row r="521" spans="1:29" ht="15.5" x14ac:dyDescent="0.35">
      <c r="A521" s="211" t="s">
        <v>110</v>
      </c>
      <c r="B521" s="223" t="s">
        <v>2931</v>
      </c>
      <c r="C521" s="211" t="s">
        <v>110</v>
      </c>
      <c r="D521" s="215">
        <v>3316</v>
      </c>
      <c r="E521" s="215">
        <v>7113</v>
      </c>
      <c r="F521" s="211" t="s">
        <v>2584</v>
      </c>
      <c r="G521" s="211" t="s">
        <v>2629</v>
      </c>
      <c r="H521" s="216" t="s">
        <v>2579</v>
      </c>
      <c r="I521" s="217" t="s">
        <v>2580</v>
      </c>
      <c r="J521" s="211" t="s">
        <v>2581</v>
      </c>
      <c r="K521" s="211" t="s">
        <v>733</v>
      </c>
      <c r="L521" s="211" t="s">
        <v>733</v>
      </c>
      <c r="M521" s="211" t="s">
        <v>796</v>
      </c>
      <c r="N521" s="211" t="s">
        <v>642</v>
      </c>
      <c r="O521" s="211">
        <v>2</v>
      </c>
      <c r="P521" s="211" t="s">
        <v>276</v>
      </c>
      <c r="Q521" s="226" t="s">
        <v>108</v>
      </c>
      <c r="R521" s="237">
        <v>14000000</v>
      </c>
      <c r="S521" s="218">
        <f>Product_Name[[#This Row],[Đơn giá
Unit Price]]*Product_Name[[#This Row],[Số lượng
Quantity]]</f>
        <v>28000000</v>
      </c>
      <c r="T521" s="219">
        <v>44826</v>
      </c>
      <c r="U521" s="220">
        <v>44858</v>
      </c>
      <c r="V521" s="221">
        <v>44888</v>
      </c>
      <c r="W521" s="211" t="s">
        <v>3198</v>
      </c>
      <c r="X521" s="211" t="s">
        <v>16</v>
      </c>
      <c r="Y521" s="220" t="s">
        <v>2582</v>
      </c>
      <c r="Z521" s="222"/>
      <c r="AA521" s="216" t="s">
        <v>2583</v>
      </c>
      <c r="AB521" s="227">
        <v>44819</v>
      </c>
      <c r="AC521" s="295"/>
    </row>
    <row r="522" spans="1:29" ht="15.5" x14ac:dyDescent="0.35">
      <c r="A522" s="211" t="s">
        <v>110</v>
      </c>
      <c r="B522" s="214" t="s">
        <v>2711</v>
      </c>
      <c r="C522" s="211" t="s">
        <v>110</v>
      </c>
      <c r="D522" s="215">
        <v>3380</v>
      </c>
      <c r="E522" s="215">
        <v>7245</v>
      </c>
      <c r="F522" s="211" t="s">
        <v>110</v>
      </c>
      <c r="G522" s="211" t="s">
        <v>110</v>
      </c>
      <c r="H522" s="216" t="s">
        <v>2586</v>
      </c>
      <c r="I522" s="217" t="s">
        <v>2587</v>
      </c>
      <c r="J522" s="211" t="s">
        <v>2690</v>
      </c>
      <c r="K522" s="211" t="s">
        <v>2691</v>
      </c>
      <c r="L522" s="211" t="s">
        <v>2691</v>
      </c>
      <c r="M522" s="211" t="s">
        <v>796</v>
      </c>
      <c r="N522" s="211" t="s">
        <v>642</v>
      </c>
      <c r="O522" s="211">
        <v>1</v>
      </c>
      <c r="P522" s="211" t="s">
        <v>276</v>
      </c>
      <c r="Q522" s="226" t="s">
        <v>108</v>
      </c>
      <c r="R522" s="237">
        <v>1350000</v>
      </c>
      <c r="S522" s="218">
        <f>Product_Name[[#This Row],[Đơn giá
Unit Price]]*Product_Name[[#This Row],[Số lượng
Quantity]]</f>
        <v>1350000</v>
      </c>
      <c r="T522" s="219">
        <v>44839</v>
      </c>
      <c r="U522" s="220">
        <v>44847</v>
      </c>
      <c r="V522" s="221">
        <v>44846</v>
      </c>
      <c r="W522" s="211" t="s">
        <v>1565</v>
      </c>
      <c r="X522" s="211" t="s">
        <v>16</v>
      </c>
      <c r="Y522" s="220" t="s">
        <v>2588</v>
      </c>
      <c r="Z522" s="222"/>
      <c r="AA522" s="216" t="s">
        <v>2585</v>
      </c>
      <c r="AB522" s="227"/>
      <c r="AC522" s="295"/>
    </row>
    <row r="523" spans="1:29" ht="15.5" x14ac:dyDescent="0.35">
      <c r="A523" s="211" t="s">
        <v>110</v>
      </c>
      <c r="B523" s="214" t="s">
        <v>2705</v>
      </c>
      <c r="C523" s="211" t="s">
        <v>110</v>
      </c>
      <c r="D523" s="215">
        <v>3295</v>
      </c>
      <c r="E523" s="215">
        <v>7045</v>
      </c>
      <c r="F523" s="211" t="s">
        <v>110</v>
      </c>
      <c r="G523" s="211" t="s">
        <v>110</v>
      </c>
      <c r="H523" s="216" t="s">
        <v>2594</v>
      </c>
      <c r="I523" s="217" t="s">
        <v>2596</v>
      </c>
      <c r="J523" s="211" t="s">
        <v>2598</v>
      </c>
      <c r="K523" s="211" t="s">
        <v>2061</v>
      </c>
      <c r="L523" s="211" t="s">
        <v>99</v>
      </c>
      <c r="M523" s="211" t="s">
        <v>796</v>
      </c>
      <c r="N523" s="211" t="s">
        <v>642</v>
      </c>
      <c r="O523" s="211">
        <v>1</v>
      </c>
      <c r="P523" s="211" t="s">
        <v>276</v>
      </c>
      <c r="Q523" s="226" t="s">
        <v>108</v>
      </c>
      <c r="R523" s="237">
        <v>84000</v>
      </c>
      <c r="S523" s="218">
        <f>Product_Name[[#This Row],[Đơn giá
Unit Price]]*Product_Name[[#This Row],[Số lượng
Quantity]]</f>
        <v>84000</v>
      </c>
      <c r="T523" s="219">
        <v>44824</v>
      </c>
      <c r="U523" s="220">
        <v>44838</v>
      </c>
      <c r="V523" s="221">
        <v>44844</v>
      </c>
      <c r="W523" s="211" t="s">
        <v>1662</v>
      </c>
      <c r="X523" s="211" t="s">
        <v>16</v>
      </c>
      <c r="Y523" s="220" t="s">
        <v>2593</v>
      </c>
      <c r="Z523" s="222"/>
      <c r="AA523" s="216" t="s">
        <v>2155</v>
      </c>
      <c r="AB523" s="227" t="s">
        <v>110</v>
      </c>
      <c r="AC523" s="295"/>
    </row>
    <row r="524" spans="1:29" ht="15.5" x14ac:dyDescent="0.35">
      <c r="A524" s="211" t="s">
        <v>110</v>
      </c>
      <c r="B524" s="214" t="s">
        <v>2705</v>
      </c>
      <c r="C524" s="211" t="s">
        <v>110</v>
      </c>
      <c r="D524" s="215">
        <v>3295</v>
      </c>
      <c r="E524" s="215">
        <v>7045</v>
      </c>
      <c r="F524" s="211" t="s">
        <v>110</v>
      </c>
      <c r="G524" s="211" t="s">
        <v>110</v>
      </c>
      <c r="H524" s="216" t="s">
        <v>2595</v>
      </c>
      <c r="I524" s="217" t="s">
        <v>2597</v>
      </c>
      <c r="J524" s="211" t="s">
        <v>2599</v>
      </c>
      <c r="K524" s="211" t="s">
        <v>2061</v>
      </c>
      <c r="L524" s="211" t="s">
        <v>99</v>
      </c>
      <c r="M524" s="211" t="s">
        <v>796</v>
      </c>
      <c r="N524" s="211" t="s">
        <v>642</v>
      </c>
      <c r="O524" s="211">
        <v>1</v>
      </c>
      <c r="P524" s="211" t="s">
        <v>276</v>
      </c>
      <c r="Q524" s="226" t="s">
        <v>108</v>
      </c>
      <c r="R524" s="237">
        <v>988000</v>
      </c>
      <c r="S524" s="218">
        <f>Product_Name[[#This Row],[Đơn giá
Unit Price]]*Product_Name[[#This Row],[Số lượng
Quantity]]</f>
        <v>988000</v>
      </c>
      <c r="T524" s="219">
        <v>44824</v>
      </c>
      <c r="U524" s="220">
        <v>44838</v>
      </c>
      <c r="V524" s="221">
        <v>44844</v>
      </c>
      <c r="W524" s="211" t="s">
        <v>1662</v>
      </c>
      <c r="X524" s="211" t="s">
        <v>16</v>
      </c>
      <c r="Y524" s="220" t="s">
        <v>2593</v>
      </c>
      <c r="Z524" s="222"/>
      <c r="AA524" s="216" t="s">
        <v>2155</v>
      </c>
      <c r="AB524" s="227" t="s">
        <v>110</v>
      </c>
      <c r="AC524" s="295"/>
    </row>
    <row r="525" spans="1:29" ht="15.5" x14ac:dyDescent="0.35">
      <c r="A525" s="211">
        <v>7011</v>
      </c>
      <c r="B525" s="214" t="s">
        <v>2775</v>
      </c>
      <c r="C525" s="211">
        <v>9361</v>
      </c>
      <c r="D525" s="215" t="s">
        <v>110</v>
      </c>
      <c r="E525" s="215" t="s">
        <v>110</v>
      </c>
      <c r="F525" s="211" t="s">
        <v>110</v>
      </c>
      <c r="G525" s="234"/>
      <c r="H525" s="216" t="s">
        <v>995</v>
      </c>
      <c r="I525" s="217" t="s">
        <v>997</v>
      </c>
      <c r="J525" s="211" t="s">
        <v>996</v>
      </c>
      <c r="K525" s="211" t="s">
        <v>176</v>
      </c>
      <c r="L525" s="211" t="s">
        <v>176</v>
      </c>
      <c r="M525" s="211" t="s">
        <v>123</v>
      </c>
      <c r="N525" s="211" t="s">
        <v>14</v>
      </c>
      <c r="O525" s="211">
        <v>10</v>
      </c>
      <c r="P525" s="211" t="s">
        <v>276</v>
      </c>
      <c r="Q525" s="226" t="s">
        <v>108</v>
      </c>
      <c r="R525" s="218">
        <v>149000</v>
      </c>
      <c r="S525" s="218">
        <f>R525*O525</f>
        <v>1490000</v>
      </c>
      <c r="T525" s="219">
        <v>44820</v>
      </c>
      <c r="U525" s="220">
        <v>44841</v>
      </c>
      <c r="V525" s="234">
        <v>44835</v>
      </c>
      <c r="W525" s="211" t="s">
        <v>2814</v>
      </c>
      <c r="X525" s="211" t="s">
        <v>16</v>
      </c>
      <c r="Y525" s="220">
        <v>44820</v>
      </c>
      <c r="Z525" s="222" t="s">
        <v>2087</v>
      </c>
      <c r="AA525" s="216"/>
      <c r="AB525" s="227" t="s">
        <v>110</v>
      </c>
      <c r="AC525" s="295"/>
    </row>
    <row r="526" spans="1:29" ht="15.5" x14ac:dyDescent="0.35">
      <c r="A526" s="211">
        <v>7197</v>
      </c>
      <c r="B526" s="214" t="s">
        <v>2793</v>
      </c>
      <c r="C526" s="211">
        <v>9560</v>
      </c>
      <c r="D526" s="215" t="s">
        <v>110</v>
      </c>
      <c r="E526" s="215" t="s">
        <v>110</v>
      </c>
      <c r="F526" s="211" t="s">
        <v>110</v>
      </c>
      <c r="G526" s="211" t="s">
        <v>110</v>
      </c>
      <c r="H526" s="216" t="s">
        <v>2676</v>
      </c>
      <c r="I526" s="217" t="s">
        <v>2614</v>
      </c>
      <c r="J526" s="211" t="s">
        <v>2608</v>
      </c>
      <c r="K526" s="211" t="s">
        <v>2613</v>
      </c>
      <c r="L526" s="211" t="s">
        <v>2668</v>
      </c>
      <c r="M526" s="211" t="s">
        <v>123</v>
      </c>
      <c r="N526" s="211" t="s">
        <v>14</v>
      </c>
      <c r="O526" s="211">
        <v>19</v>
      </c>
      <c r="P526" s="211" t="s">
        <v>276</v>
      </c>
      <c r="Q526" s="226" t="s">
        <v>108</v>
      </c>
      <c r="R526" s="218">
        <v>326200</v>
      </c>
      <c r="S526" s="218">
        <f>Product_Name[[#This Row],[Đơn giá
Unit Price]]*Product_Name[[#This Row],[Số lượng
Quantity]]</f>
        <v>6197800</v>
      </c>
      <c r="T526" s="219">
        <v>44835</v>
      </c>
      <c r="U526" s="220">
        <v>44844</v>
      </c>
      <c r="V526" s="221">
        <v>44858</v>
      </c>
      <c r="W526" s="211" t="s">
        <v>2160</v>
      </c>
      <c r="X526" s="211" t="s">
        <v>16</v>
      </c>
      <c r="Y526" s="220" t="s">
        <v>2621</v>
      </c>
      <c r="Z526" s="222" t="s">
        <v>2087</v>
      </c>
      <c r="AA526" s="216" t="s">
        <v>2181</v>
      </c>
      <c r="AB526" s="227" t="s">
        <v>110</v>
      </c>
      <c r="AC526" s="295"/>
    </row>
    <row r="527" spans="1:29" ht="15.5" x14ac:dyDescent="0.35">
      <c r="A527" s="211">
        <v>7197</v>
      </c>
      <c r="B527" s="214" t="s">
        <v>2793</v>
      </c>
      <c r="C527" s="211">
        <v>9560</v>
      </c>
      <c r="D527" s="215" t="s">
        <v>110</v>
      </c>
      <c r="E527" s="215" t="s">
        <v>110</v>
      </c>
      <c r="F527" s="211" t="s">
        <v>110</v>
      </c>
      <c r="G527" s="211" t="s">
        <v>110</v>
      </c>
      <c r="H527" s="216" t="s">
        <v>2618</v>
      </c>
      <c r="I527" s="217" t="s">
        <v>2615</v>
      </c>
      <c r="J527" s="211" t="s">
        <v>2609</v>
      </c>
      <c r="K527" s="211" t="s">
        <v>2613</v>
      </c>
      <c r="L527" s="211" t="s">
        <v>2668</v>
      </c>
      <c r="M527" s="211" t="s">
        <v>123</v>
      </c>
      <c r="N527" s="211" t="s">
        <v>14</v>
      </c>
      <c r="O527" s="211">
        <v>6</v>
      </c>
      <c r="P527" s="211" t="s">
        <v>276</v>
      </c>
      <c r="Q527" s="226" t="s">
        <v>108</v>
      </c>
      <c r="R527" s="218">
        <v>347000</v>
      </c>
      <c r="S527" s="218">
        <f>Product_Name[[#This Row],[Đơn giá
Unit Price]]*Product_Name[[#This Row],[Số lượng
Quantity]]</f>
        <v>2082000</v>
      </c>
      <c r="T527" s="219">
        <v>44835</v>
      </c>
      <c r="U527" s="220">
        <v>44844</v>
      </c>
      <c r="V527" s="221">
        <v>44858</v>
      </c>
      <c r="W527" s="211" t="s">
        <v>2160</v>
      </c>
      <c r="X527" s="211" t="s">
        <v>16</v>
      </c>
      <c r="Y527" s="220" t="s">
        <v>2621</v>
      </c>
      <c r="Z527" s="222" t="s">
        <v>2087</v>
      </c>
      <c r="AA527" s="216" t="s">
        <v>2181</v>
      </c>
      <c r="AB527" s="227" t="s">
        <v>110</v>
      </c>
      <c r="AC527" s="295"/>
    </row>
    <row r="528" spans="1:29" ht="15.5" x14ac:dyDescent="0.35">
      <c r="A528" s="211">
        <v>7198</v>
      </c>
      <c r="B528" s="214" t="s">
        <v>2709</v>
      </c>
      <c r="C528" s="211">
        <v>9557</v>
      </c>
      <c r="D528" s="215" t="s">
        <v>110</v>
      </c>
      <c r="E528" s="215" t="s">
        <v>110</v>
      </c>
      <c r="F528" s="211" t="s">
        <v>110</v>
      </c>
      <c r="G528" s="211" t="s">
        <v>110</v>
      </c>
      <c r="H528" s="216" t="s">
        <v>2619</v>
      </c>
      <c r="I528" s="217" t="s">
        <v>2616</v>
      </c>
      <c r="J528" s="211" t="s">
        <v>2610</v>
      </c>
      <c r="K528" s="211" t="s">
        <v>2612</v>
      </c>
      <c r="L528" s="211" t="s">
        <v>218</v>
      </c>
      <c r="M528" s="211" t="s">
        <v>123</v>
      </c>
      <c r="N528" s="211" t="s">
        <v>14</v>
      </c>
      <c r="O528" s="211">
        <v>1</v>
      </c>
      <c r="P528" s="211" t="s">
        <v>276</v>
      </c>
      <c r="Q528" s="226" t="s">
        <v>108</v>
      </c>
      <c r="R528" s="218">
        <v>247500</v>
      </c>
      <c r="S528" s="218">
        <f>Product_Name[[#This Row],[Đơn giá
Unit Price]]*Product_Name[[#This Row],[Số lượng
Quantity]]</f>
        <v>247500</v>
      </c>
      <c r="T528" s="219">
        <v>44835</v>
      </c>
      <c r="U528" s="220">
        <v>44844</v>
      </c>
      <c r="V528" s="221">
        <v>44845</v>
      </c>
      <c r="W528" s="211" t="s">
        <v>2160</v>
      </c>
      <c r="X528" s="211" t="s">
        <v>16</v>
      </c>
      <c r="Y528" s="220" t="s">
        <v>2621</v>
      </c>
      <c r="Z528" s="222" t="s">
        <v>2087</v>
      </c>
      <c r="AA528" s="216" t="s">
        <v>2181</v>
      </c>
      <c r="AB528" s="227" t="s">
        <v>110</v>
      </c>
      <c r="AC528" s="295"/>
    </row>
    <row r="529" spans="1:29" ht="15.5" x14ac:dyDescent="0.35">
      <c r="A529" s="211">
        <v>7198</v>
      </c>
      <c r="B529" s="214" t="s">
        <v>2709</v>
      </c>
      <c r="C529" s="211">
        <v>9557</v>
      </c>
      <c r="D529" s="215" t="s">
        <v>110</v>
      </c>
      <c r="E529" s="215" t="s">
        <v>110</v>
      </c>
      <c r="F529" s="211" t="s">
        <v>110</v>
      </c>
      <c r="G529" s="211" t="s">
        <v>110</v>
      </c>
      <c r="H529" s="216" t="s">
        <v>2620</v>
      </c>
      <c r="I529" s="217" t="s">
        <v>2617</v>
      </c>
      <c r="J529" s="211" t="s">
        <v>2611</v>
      </c>
      <c r="K529" s="211" t="s">
        <v>2612</v>
      </c>
      <c r="L529" s="211" t="s">
        <v>218</v>
      </c>
      <c r="M529" s="211" t="s">
        <v>123</v>
      </c>
      <c r="N529" s="211" t="s">
        <v>14</v>
      </c>
      <c r="O529" s="211">
        <v>1</v>
      </c>
      <c r="P529" s="211" t="s">
        <v>276</v>
      </c>
      <c r="Q529" s="226" t="s">
        <v>108</v>
      </c>
      <c r="R529" s="218">
        <v>486300</v>
      </c>
      <c r="S529" s="218">
        <f>Product_Name[[#This Row],[Đơn giá
Unit Price]]*Product_Name[[#This Row],[Số lượng
Quantity]]</f>
        <v>486300</v>
      </c>
      <c r="T529" s="219">
        <v>44835</v>
      </c>
      <c r="U529" s="220">
        <v>44844</v>
      </c>
      <c r="V529" s="221">
        <v>44845</v>
      </c>
      <c r="W529" s="211" t="s">
        <v>2160</v>
      </c>
      <c r="X529" s="211" t="s">
        <v>16</v>
      </c>
      <c r="Y529" s="220" t="s">
        <v>2621</v>
      </c>
      <c r="Z529" s="222" t="s">
        <v>2087</v>
      </c>
      <c r="AA529" s="216" t="s">
        <v>2181</v>
      </c>
      <c r="AB529" s="227" t="s">
        <v>110</v>
      </c>
      <c r="AC529" s="295"/>
    </row>
    <row r="530" spans="1:29" ht="15.5" x14ac:dyDescent="0.35">
      <c r="A530" s="211">
        <v>7153</v>
      </c>
      <c r="B530" s="214" t="s">
        <v>2774</v>
      </c>
      <c r="C530" s="211">
        <v>9510</v>
      </c>
      <c r="D530" s="215" t="s">
        <v>110</v>
      </c>
      <c r="E530" s="215" t="s">
        <v>110</v>
      </c>
      <c r="F530" s="211" t="s">
        <v>110</v>
      </c>
      <c r="G530" s="211" t="s">
        <v>110</v>
      </c>
      <c r="H530" s="216" t="s">
        <v>1097</v>
      </c>
      <c r="I530" s="217" t="s">
        <v>1098</v>
      </c>
      <c r="J530" s="211" t="s">
        <v>1099</v>
      </c>
      <c r="K530" s="211" t="s">
        <v>99</v>
      </c>
      <c r="L530" s="211" t="s">
        <v>99</v>
      </c>
      <c r="M530" s="211" t="s">
        <v>123</v>
      </c>
      <c r="N530" s="211" t="s">
        <v>14</v>
      </c>
      <c r="O530" s="211">
        <v>10</v>
      </c>
      <c r="P530" s="211" t="s">
        <v>719</v>
      </c>
      <c r="Q530" s="226" t="s">
        <v>108</v>
      </c>
      <c r="R530" s="218">
        <v>119000</v>
      </c>
      <c r="S530" s="218">
        <f>Product_Name[[#This Row],[Đơn giá
Unit Price]]*Product_Name[[#This Row],[Số lượng
Quantity]]</f>
        <v>1190000</v>
      </c>
      <c r="T530" s="219">
        <v>44833</v>
      </c>
      <c r="U530" s="220">
        <v>44848</v>
      </c>
      <c r="V530" s="221">
        <v>44853</v>
      </c>
      <c r="W530" s="211" t="s">
        <v>2160</v>
      </c>
      <c r="X530" s="211" t="s">
        <v>55</v>
      </c>
      <c r="Y530" s="220">
        <v>44823</v>
      </c>
      <c r="Z530" s="222" t="s">
        <v>2087</v>
      </c>
      <c r="AA530" s="216" t="s">
        <v>2155</v>
      </c>
      <c r="AB530" s="227" t="s">
        <v>110</v>
      </c>
      <c r="AC530" s="295"/>
    </row>
    <row r="531" spans="1:29" ht="15.5" x14ac:dyDescent="0.35">
      <c r="A531" s="211" t="s">
        <v>110</v>
      </c>
      <c r="B531" s="214" t="s">
        <v>2796</v>
      </c>
      <c r="C531" s="211" t="s">
        <v>110</v>
      </c>
      <c r="D531" s="215">
        <v>3463</v>
      </c>
      <c r="E531" s="215">
        <v>7459</v>
      </c>
      <c r="F531" s="211" t="s">
        <v>2695</v>
      </c>
      <c r="G531" s="211" t="s">
        <v>2729</v>
      </c>
      <c r="H531" s="216" t="s">
        <v>2635</v>
      </c>
      <c r="I531" s="217" t="s">
        <v>2636</v>
      </c>
      <c r="J531" s="211" t="s">
        <v>2634</v>
      </c>
      <c r="K531" s="211" t="s">
        <v>2054</v>
      </c>
      <c r="L531" s="211" t="s">
        <v>218</v>
      </c>
      <c r="M531" s="211" t="s">
        <v>796</v>
      </c>
      <c r="N531" s="211" t="s">
        <v>642</v>
      </c>
      <c r="O531" s="211">
        <v>1</v>
      </c>
      <c r="P531" s="211" t="s">
        <v>37</v>
      </c>
      <c r="Q531" s="226" t="s">
        <v>108</v>
      </c>
      <c r="R531" s="218">
        <v>5626900</v>
      </c>
      <c r="S531" s="218">
        <f>Product_Name[[#This Row],[Đơn giá
Unit Price]]*Product_Name[[#This Row],[Số lượng
Quantity]]</f>
        <v>5626900</v>
      </c>
      <c r="T531" s="219" t="s">
        <v>2730</v>
      </c>
      <c r="U531" s="220" t="s">
        <v>2731</v>
      </c>
      <c r="V531" s="221">
        <v>44866</v>
      </c>
      <c r="W531" s="211" t="s">
        <v>1565</v>
      </c>
      <c r="X531" s="211" t="s">
        <v>16</v>
      </c>
      <c r="Y531" s="220" t="s">
        <v>2637</v>
      </c>
      <c r="Z531" s="222"/>
      <c r="AA531" s="216" t="s">
        <v>2056</v>
      </c>
      <c r="AB531" s="227">
        <v>44841</v>
      </c>
      <c r="AC531" s="295"/>
    </row>
    <row r="532" spans="1:29" ht="31" x14ac:dyDescent="0.35">
      <c r="A532" s="211" t="s">
        <v>110</v>
      </c>
      <c r="B532" s="214" t="s">
        <v>2905</v>
      </c>
      <c r="C532" s="211" t="s">
        <v>110</v>
      </c>
      <c r="D532" s="215">
        <v>3398</v>
      </c>
      <c r="E532" s="215">
        <v>7299</v>
      </c>
      <c r="F532" s="211" t="s">
        <v>2674</v>
      </c>
      <c r="G532" s="211" t="s">
        <v>2692</v>
      </c>
      <c r="H532" s="216" t="s">
        <v>2638</v>
      </c>
      <c r="I532" s="217" t="s">
        <v>2639</v>
      </c>
      <c r="J532" s="211" t="s">
        <v>2694</v>
      </c>
      <c r="K532" s="211" t="s">
        <v>1179</v>
      </c>
      <c r="L532" s="211" t="s">
        <v>1179</v>
      </c>
      <c r="M532" s="211" t="s">
        <v>797</v>
      </c>
      <c r="N532" s="211" t="s">
        <v>642</v>
      </c>
      <c r="O532" s="211">
        <v>16</v>
      </c>
      <c r="P532" s="211" t="s">
        <v>37</v>
      </c>
      <c r="Q532" s="226" t="s">
        <v>108</v>
      </c>
      <c r="R532" s="218">
        <v>4180000</v>
      </c>
      <c r="S532" s="218">
        <f>Product_Name[[#This Row],[Đơn giá
Unit Price]]*Product_Name[[#This Row],[Số lượng
Quantity]]</f>
        <v>66880000</v>
      </c>
      <c r="T532" s="219">
        <v>44841</v>
      </c>
      <c r="U532" s="220">
        <v>44872</v>
      </c>
      <c r="V532" s="221">
        <v>44883</v>
      </c>
      <c r="W532" s="211" t="s">
        <v>2813</v>
      </c>
      <c r="X532" s="211" t="s">
        <v>16</v>
      </c>
      <c r="Y532" s="220" t="s">
        <v>2667</v>
      </c>
      <c r="Z532" s="222"/>
      <c r="AA532" s="224" t="s">
        <v>2675</v>
      </c>
      <c r="AB532" s="227">
        <v>44838</v>
      </c>
      <c r="AC532" s="295"/>
    </row>
    <row r="533" spans="1:29" ht="15.5" x14ac:dyDescent="0.35">
      <c r="A533" s="211" t="s">
        <v>110</v>
      </c>
      <c r="B533" s="214" t="s">
        <v>2792</v>
      </c>
      <c r="C533" s="211" t="s">
        <v>110</v>
      </c>
      <c r="D533" s="215">
        <v>3399</v>
      </c>
      <c r="E533" s="215">
        <v>7278</v>
      </c>
      <c r="F533" s="211" t="s">
        <v>2666</v>
      </c>
      <c r="G533" s="211" t="s">
        <v>2693</v>
      </c>
      <c r="H533" s="216" t="s">
        <v>2660</v>
      </c>
      <c r="I533" s="217" t="s">
        <v>2661</v>
      </c>
      <c r="J533" s="211" t="s">
        <v>2662</v>
      </c>
      <c r="K533" s="211" t="s">
        <v>2663</v>
      </c>
      <c r="L533" s="211" t="s">
        <v>2663</v>
      </c>
      <c r="M533" s="211" t="s">
        <v>1955</v>
      </c>
      <c r="N533" s="211" t="s">
        <v>642</v>
      </c>
      <c r="O533" s="211">
        <v>1</v>
      </c>
      <c r="P533" s="211" t="s">
        <v>276</v>
      </c>
      <c r="Q533" s="226" t="s">
        <v>108</v>
      </c>
      <c r="R533" s="218">
        <v>5880000</v>
      </c>
      <c r="S533" s="218">
        <f>Product_Name[[#This Row],[Đơn giá
Unit Price]]*Product_Name[[#This Row],[Số lượng
Quantity]]</f>
        <v>5880000</v>
      </c>
      <c r="T533" s="219">
        <v>44841</v>
      </c>
      <c r="U533" s="220">
        <v>44854</v>
      </c>
      <c r="V533" s="221">
        <v>44855</v>
      </c>
      <c r="W533" s="211" t="s">
        <v>3198</v>
      </c>
      <c r="X533" s="211" t="s">
        <v>16</v>
      </c>
      <c r="Y533" s="220" t="s">
        <v>2664</v>
      </c>
      <c r="Z533" s="222"/>
      <c r="AA533" s="224" t="s">
        <v>2665</v>
      </c>
      <c r="AB533" s="227">
        <v>44831</v>
      </c>
      <c r="AC533" s="295"/>
    </row>
    <row r="534" spans="1:29" ht="15.5" x14ac:dyDescent="0.35">
      <c r="A534" s="211">
        <v>7226</v>
      </c>
      <c r="B534" s="214" t="s">
        <v>2791</v>
      </c>
      <c r="C534" s="211">
        <v>9637</v>
      </c>
      <c r="D534" s="215" t="s">
        <v>110</v>
      </c>
      <c r="E534" s="215" t="s">
        <v>110</v>
      </c>
      <c r="F534" s="211" t="s">
        <v>110</v>
      </c>
      <c r="G534" s="211" t="s">
        <v>110</v>
      </c>
      <c r="H534" s="216" t="s">
        <v>1527</v>
      </c>
      <c r="I534" s="217" t="s">
        <v>1526</v>
      </c>
      <c r="J534" s="211" t="s">
        <v>1525</v>
      </c>
      <c r="K534" s="211" t="s">
        <v>1528</v>
      </c>
      <c r="L534" s="211" t="s">
        <v>99</v>
      </c>
      <c r="M534" s="211" t="s">
        <v>123</v>
      </c>
      <c r="N534" s="211" t="s">
        <v>14</v>
      </c>
      <c r="O534" s="211">
        <v>1</v>
      </c>
      <c r="P534" s="211" t="s">
        <v>105</v>
      </c>
      <c r="Q534" s="226" t="s">
        <v>108</v>
      </c>
      <c r="R534" s="218">
        <v>4840000</v>
      </c>
      <c r="S534" s="218">
        <f>Product_Name[[#This Row],[Đơn giá
Unit Price]]*Product_Name[[#This Row],[Số lượng
Quantity]]</f>
        <v>4840000</v>
      </c>
      <c r="T534" s="219">
        <v>44838</v>
      </c>
      <c r="U534" s="220">
        <v>44852</v>
      </c>
      <c r="V534" s="221">
        <v>44859</v>
      </c>
      <c r="W534" s="214" t="s">
        <v>1537</v>
      </c>
      <c r="X534" s="211" t="s">
        <v>16</v>
      </c>
      <c r="Y534" s="220">
        <v>44838</v>
      </c>
      <c r="Z534" s="222" t="s">
        <v>2087</v>
      </c>
      <c r="AA534" s="224" t="s">
        <v>2673</v>
      </c>
      <c r="AB534" s="227" t="s">
        <v>110</v>
      </c>
      <c r="AC534" s="295"/>
    </row>
    <row r="535" spans="1:29" ht="15.5" x14ac:dyDescent="0.35">
      <c r="A535" s="211">
        <v>7319</v>
      </c>
      <c r="B535" s="214" t="s">
        <v>2736</v>
      </c>
      <c r="C535" s="211">
        <v>9761</v>
      </c>
      <c r="D535" s="215" t="s">
        <v>110</v>
      </c>
      <c r="E535" s="215" t="s">
        <v>110</v>
      </c>
      <c r="F535" s="211" t="s">
        <v>110</v>
      </c>
      <c r="G535" s="211" t="s">
        <v>110</v>
      </c>
      <c r="H535" s="216" t="s">
        <v>219</v>
      </c>
      <c r="I535" s="217" t="s">
        <v>2776</v>
      </c>
      <c r="J535" s="211" t="s">
        <v>933</v>
      </c>
      <c r="K535" s="211" t="s">
        <v>210</v>
      </c>
      <c r="L535" s="211" t="s">
        <v>210</v>
      </c>
      <c r="M535" s="211" t="s">
        <v>327</v>
      </c>
      <c r="N535" s="211" t="s">
        <v>14</v>
      </c>
      <c r="O535" s="211">
        <v>4</v>
      </c>
      <c r="P535" s="211" t="s">
        <v>105</v>
      </c>
      <c r="Q535" s="226" t="s">
        <v>108</v>
      </c>
      <c r="R535" s="218">
        <v>345000</v>
      </c>
      <c r="S535" s="218">
        <f>Product_Name[[#This Row],[Đơn giá
Unit Price]]*Product_Name[[#This Row],[Số lượng
Quantity]]</f>
        <v>1380000</v>
      </c>
      <c r="T535" s="219">
        <v>44845</v>
      </c>
      <c r="U535" s="220">
        <v>44853</v>
      </c>
      <c r="V535" s="221">
        <v>44853</v>
      </c>
      <c r="W535" s="214" t="s">
        <v>1537</v>
      </c>
      <c r="X535" s="211" t="s">
        <v>16</v>
      </c>
      <c r="Y535" s="220">
        <v>44841</v>
      </c>
      <c r="Z535" s="222" t="s">
        <v>2087</v>
      </c>
      <c r="AA535" s="224" t="s">
        <v>2181</v>
      </c>
      <c r="AB535" s="227"/>
      <c r="AC535" s="295"/>
    </row>
    <row r="536" spans="1:29" ht="15.5" x14ac:dyDescent="0.35">
      <c r="A536" s="211">
        <v>7492</v>
      </c>
      <c r="B536" s="214" t="s">
        <v>2797</v>
      </c>
      <c r="C536" s="211">
        <v>9970</v>
      </c>
      <c r="D536" s="215" t="s">
        <v>110</v>
      </c>
      <c r="E536" s="215" t="s">
        <v>110</v>
      </c>
      <c r="F536" s="211" t="s">
        <v>110</v>
      </c>
      <c r="G536" s="211" t="s">
        <v>110</v>
      </c>
      <c r="H536" s="216" t="s">
        <v>2355</v>
      </c>
      <c r="I536" s="217" t="s">
        <v>2354</v>
      </c>
      <c r="J536" s="211" t="s">
        <v>2356</v>
      </c>
      <c r="K536" s="211" t="s">
        <v>1751</v>
      </c>
      <c r="L536" s="211" t="s">
        <v>1751</v>
      </c>
      <c r="M536" s="211" t="s">
        <v>1282</v>
      </c>
      <c r="N536" s="211" t="s">
        <v>14</v>
      </c>
      <c r="O536" s="211">
        <v>1</v>
      </c>
      <c r="P536" s="211" t="s">
        <v>1074</v>
      </c>
      <c r="Q536" s="226" t="s">
        <v>108</v>
      </c>
      <c r="R536" s="218">
        <v>936000</v>
      </c>
      <c r="S536" s="218">
        <f>Product_Name[[#This Row],[Đơn giá
Unit Price]]*Product_Name[[#This Row],[Số lượng
Quantity]]</f>
        <v>936000</v>
      </c>
      <c r="T536" s="219">
        <v>44858</v>
      </c>
      <c r="U536" s="220">
        <v>44866</v>
      </c>
      <c r="V536" s="221">
        <v>44866</v>
      </c>
      <c r="W536" s="211" t="s">
        <v>2160</v>
      </c>
      <c r="X536" s="211" t="s">
        <v>55</v>
      </c>
      <c r="Y536" s="220">
        <v>44845</v>
      </c>
      <c r="Z536" s="222" t="s">
        <v>2087</v>
      </c>
      <c r="AA536" s="224" t="s">
        <v>2155</v>
      </c>
      <c r="AB536" s="227" t="s">
        <v>110</v>
      </c>
      <c r="AC536" s="295"/>
    </row>
    <row r="537" spans="1:29" ht="15.5" x14ac:dyDescent="0.35">
      <c r="A537" s="211" t="s">
        <v>110</v>
      </c>
      <c r="B537" s="214" t="s">
        <v>2855</v>
      </c>
      <c r="C537" s="211" t="s">
        <v>110</v>
      </c>
      <c r="D537" s="215">
        <v>3532</v>
      </c>
      <c r="E537" s="215">
        <v>7552</v>
      </c>
      <c r="F537" s="211" t="s">
        <v>110</v>
      </c>
      <c r="G537" s="211" t="s">
        <v>110</v>
      </c>
      <c r="H537" s="216" t="s">
        <v>2771</v>
      </c>
      <c r="I537" s="217" t="s">
        <v>2770</v>
      </c>
      <c r="J537" s="211" t="s">
        <v>2769</v>
      </c>
      <c r="K537" s="211" t="s">
        <v>1150</v>
      </c>
      <c r="L537" s="211" t="s">
        <v>218</v>
      </c>
      <c r="M537" s="211" t="s">
        <v>796</v>
      </c>
      <c r="N537" s="211" t="s">
        <v>642</v>
      </c>
      <c r="O537" s="211">
        <v>2</v>
      </c>
      <c r="P537" s="211" t="s">
        <v>276</v>
      </c>
      <c r="Q537" s="226" t="s">
        <v>108</v>
      </c>
      <c r="R537" s="218">
        <v>145500</v>
      </c>
      <c r="S537" s="218">
        <f>Product_Name[[#This Row],[Đơn giá
Unit Price]]*Product_Name[[#This Row],[Số lượng
Quantity]]</f>
        <v>291000</v>
      </c>
      <c r="T537" s="219">
        <v>44861</v>
      </c>
      <c r="U537" s="220">
        <v>44868</v>
      </c>
      <c r="V537" s="221">
        <v>44879</v>
      </c>
      <c r="W537" s="211" t="s">
        <v>2813</v>
      </c>
      <c r="X537" s="211" t="s">
        <v>16</v>
      </c>
      <c r="Y537" s="220" t="s">
        <v>2772</v>
      </c>
      <c r="Z537" s="222"/>
      <c r="AA537" s="224" t="s">
        <v>2181</v>
      </c>
      <c r="AB537" s="227"/>
      <c r="AC537" s="295"/>
    </row>
    <row r="538" spans="1:29" ht="15.5" x14ac:dyDescent="0.35">
      <c r="A538" s="211">
        <v>7519</v>
      </c>
      <c r="B538" s="214" t="s">
        <v>2925</v>
      </c>
      <c r="C538" s="211">
        <v>9969</v>
      </c>
      <c r="D538" s="215" t="s">
        <v>110</v>
      </c>
      <c r="E538" s="215" t="s">
        <v>110</v>
      </c>
      <c r="F538" s="211" t="s">
        <v>110</v>
      </c>
      <c r="G538" s="211" t="s">
        <v>110</v>
      </c>
      <c r="H538" s="216" t="s">
        <v>2162</v>
      </c>
      <c r="I538" s="217" t="s">
        <v>2080</v>
      </c>
      <c r="J538" s="211" t="s">
        <v>2168</v>
      </c>
      <c r="K538" s="211" t="s">
        <v>2163</v>
      </c>
      <c r="L538" s="211" t="s">
        <v>99</v>
      </c>
      <c r="M538" s="211" t="s">
        <v>826</v>
      </c>
      <c r="N538" s="211" t="s">
        <v>14</v>
      </c>
      <c r="O538" s="211">
        <v>2</v>
      </c>
      <c r="P538" s="211" t="s">
        <v>1092</v>
      </c>
      <c r="Q538" s="226" t="s">
        <v>108</v>
      </c>
      <c r="R538" s="218">
        <v>473000</v>
      </c>
      <c r="S538" s="218">
        <f>R538*O538</f>
        <v>946000</v>
      </c>
      <c r="T538" s="219">
        <v>44858</v>
      </c>
      <c r="U538" s="220">
        <v>44872</v>
      </c>
      <c r="V538" s="221">
        <v>44887</v>
      </c>
      <c r="W538" s="214" t="s">
        <v>1537</v>
      </c>
      <c r="X538" s="211" t="s">
        <v>53</v>
      </c>
      <c r="Y538" s="220">
        <v>44854</v>
      </c>
      <c r="Z538" s="222" t="s">
        <v>2087</v>
      </c>
      <c r="AA538" s="224" t="s">
        <v>2081</v>
      </c>
      <c r="AB538" s="227" t="s">
        <v>110</v>
      </c>
      <c r="AC538" s="295"/>
    </row>
    <row r="539" spans="1:29" ht="15.5" x14ac:dyDescent="0.35">
      <c r="A539" s="211">
        <v>7665</v>
      </c>
      <c r="B539" s="214" t="s">
        <v>2854</v>
      </c>
      <c r="C539" s="211">
        <v>10229</v>
      </c>
      <c r="D539" s="215" t="s">
        <v>110</v>
      </c>
      <c r="E539" s="215" t="s">
        <v>110</v>
      </c>
      <c r="F539" s="211" t="s">
        <v>110</v>
      </c>
      <c r="G539" s="211" t="s">
        <v>110</v>
      </c>
      <c r="H539" s="216" t="s">
        <v>717</v>
      </c>
      <c r="I539" s="217" t="s">
        <v>1489</v>
      </c>
      <c r="J539" s="211" t="s">
        <v>2966</v>
      </c>
      <c r="K539" s="211" t="s">
        <v>1241</v>
      </c>
      <c r="L539" s="211" t="s">
        <v>718</v>
      </c>
      <c r="M539" s="211" t="s">
        <v>327</v>
      </c>
      <c r="N539" s="211" t="s">
        <v>14</v>
      </c>
      <c r="O539" s="211">
        <v>80</v>
      </c>
      <c r="P539" s="211" t="s">
        <v>719</v>
      </c>
      <c r="Q539" s="226" t="s">
        <v>108</v>
      </c>
      <c r="R539" s="218">
        <v>710000</v>
      </c>
      <c r="S539" s="218">
        <f>R539*O539</f>
        <v>56800000</v>
      </c>
      <c r="T539" s="219">
        <v>44867</v>
      </c>
      <c r="U539" s="220">
        <v>44879</v>
      </c>
      <c r="V539" s="221">
        <v>44879</v>
      </c>
      <c r="W539" s="214" t="s">
        <v>1537</v>
      </c>
      <c r="X539" s="211" t="s">
        <v>16</v>
      </c>
      <c r="Y539" s="220">
        <v>44858</v>
      </c>
      <c r="Z539" s="222" t="s">
        <v>2087</v>
      </c>
      <c r="AA539" s="224" t="s">
        <v>2076</v>
      </c>
      <c r="AB539" s="227" t="s">
        <v>110</v>
      </c>
      <c r="AC539" s="295"/>
    </row>
    <row r="540" spans="1:29" ht="15.5" x14ac:dyDescent="0.35">
      <c r="A540" s="211">
        <v>7531</v>
      </c>
      <c r="B540" s="214" t="s">
        <v>2831</v>
      </c>
      <c r="C540" s="211">
        <v>10043</v>
      </c>
      <c r="D540" s="215" t="s">
        <v>110</v>
      </c>
      <c r="E540" s="215" t="s">
        <v>110</v>
      </c>
      <c r="F540" s="211" t="s">
        <v>110</v>
      </c>
      <c r="G540" s="211" t="s">
        <v>110</v>
      </c>
      <c r="H540" s="216" t="s">
        <v>2206</v>
      </c>
      <c r="I540" s="217" t="s">
        <v>2207</v>
      </c>
      <c r="J540" s="211" t="s">
        <v>2200</v>
      </c>
      <c r="K540" s="211" t="s">
        <v>2265</v>
      </c>
      <c r="L540" s="211" t="s">
        <v>2265</v>
      </c>
      <c r="M540" s="211" t="s">
        <v>1282</v>
      </c>
      <c r="N540" s="211" t="s">
        <v>14</v>
      </c>
      <c r="O540" s="211">
        <v>120</v>
      </c>
      <c r="P540" s="211" t="s">
        <v>276</v>
      </c>
      <c r="Q540" s="226" t="s">
        <v>108</v>
      </c>
      <c r="R540" s="218">
        <v>795000</v>
      </c>
      <c r="S540" s="218">
        <f>Product_Name[[#This Row],[Số lượng
Quantity]]*Product_Name[[#This Row],[Đơn giá
Unit Price]]</f>
        <v>95400000</v>
      </c>
      <c r="T540" s="219">
        <v>44859</v>
      </c>
      <c r="U540" s="220">
        <v>44866</v>
      </c>
      <c r="V540" s="221">
        <v>44874</v>
      </c>
      <c r="W540" s="211" t="s">
        <v>2814</v>
      </c>
      <c r="X540" s="211" t="s">
        <v>55</v>
      </c>
      <c r="Y540" s="220">
        <v>44859</v>
      </c>
      <c r="Z540" s="222" t="s">
        <v>2087</v>
      </c>
      <c r="AA540" s="224" t="s">
        <v>2155</v>
      </c>
      <c r="AB540" s="227" t="s">
        <v>110</v>
      </c>
      <c r="AC540" s="295"/>
    </row>
    <row r="541" spans="1:29" ht="15.5" x14ac:dyDescent="0.35">
      <c r="A541" s="211">
        <v>7531</v>
      </c>
      <c r="B541" s="214" t="s">
        <v>2831</v>
      </c>
      <c r="C541" s="211">
        <v>10043</v>
      </c>
      <c r="D541" s="215" t="s">
        <v>110</v>
      </c>
      <c r="E541" s="215" t="s">
        <v>110</v>
      </c>
      <c r="F541" s="211" t="s">
        <v>110</v>
      </c>
      <c r="G541" s="211" t="s">
        <v>110</v>
      </c>
      <c r="H541" s="216" t="s">
        <v>2208</v>
      </c>
      <c r="I541" s="217" t="s">
        <v>2209</v>
      </c>
      <c r="J541" s="211" t="s">
        <v>2201</v>
      </c>
      <c r="K541" s="211" t="s">
        <v>2265</v>
      </c>
      <c r="L541" s="211" t="s">
        <v>2265</v>
      </c>
      <c r="M541" s="211" t="s">
        <v>1282</v>
      </c>
      <c r="N541" s="211" t="s">
        <v>14</v>
      </c>
      <c r="O541" s="211">
        <v>120</v>
      </c>
      <c r="P541" s="211" t="s">
        <v>276</v>
      </c>
      <c r="Q541" s="226" t="s">
        <v>108</v>
      </c>
      <c r="R541" s="218">
        <v>245000</v>
      </c>
      <c r="S541" s="218">
        <f>Product_Name[[#This Row],[Số lượng
Quantity]]*Product_Name[[#This Row],[Đơn giá
Unit Price]]</f>
        <v>29400000</v>
      </c>
      <c r="T541" s="219">
        <v>44859</v>
      </c>
      <c r="U541" s="220">
        <v>44866</v>
      </c>
      <c r="V541" s="221">
        <v>44874</v>
      </c>
      <c r="W541" s="211" t="s">
        <v>2814</v>
      </c>
      <c r="X541" s="211" t="s">
        <v>55</v>
      </c>
      <c r="Y541" s="220">
        <v>44859</v>
      </c>
      <c r="Z541" s="222" t="s">
        <v>2087</v>
      </c>
      <c r="AA541" s="224" t="s">
        <v>2155</v>
      </c>
      <c r="AB541" s="227" t="s">
        <v>110</v>
      </c>
      <c r="AC541" s="295"/>
    </row>
    <row r="542" spans="1:29" ht="15.5" x14ac:dyDescent="0.35">
      <c r="A542" s="211">
        <v>7531</v>
      </c>
      <c r="B542" s="214" t="s">
        <v>2880</v>
      </c>
      <c r="C542" s="211">
        <v>10043</v>
      </c>
      <c r="D542" s="215" t="s">
        <v>110</v>
      </c>
      <c r="E542" s="215" t="s">
        <v>110</v>
      </c>
      <c r="F542" s="211" t="s">
        <v>110</v>
      </c>
      <c r="G542" s="211" t="s">
        <v>110</v>
      </c>
      <c r="H542" s="216" t="s">
        <v>2214</v>
      </c>
      <c r="I542" s="217" t="s">
        <v>2215</v>
      </c>
      <c r="J542" s="211" t="s">
        <v>2204</v>
      </c>
      <c r="K542" s="211" t="s">
        <v>2265</v>
      </c>
      <c r="L542" s="211" t="s">
        <v>2265</v>
      </c>
      <c r="M542" s="211" t="s">
        <v>1282</v>
      </c>
      <c r="N542" s="211" t="s">
        <v>14</v>
      </c>
      <c r="O542" s="211">
        <v>600</v>
      </c>
      <c r="P542" s="211" t="s">
        <v>276</v>
      </c>
      <c r="Q542" s="226" t="s">
        <v>108</v>
      </c>
      <c r="R542" s="218">
        <v>55000</v>
      </c>
      <c r="S542" s="218">
        <f>Product_Name[[#This Row],[Số lượng
Quantity]]*Product_Name[[#This Row],[Đơn giá
Unit Price]]</f>
        <v>33000000</v>
      </c>
      <c r="T542" s="219">
        <v>44859</v>
      </c>
      <c r="U542" s="220">
        <v>44866</v>
      </c>
      <c r="V542" s="221">
        <v>44881</v>
      </c>
      <c r="W542" s="211" t="s">
        <v>2814</v>
      </c>
      <c r="X542" s="211" t="s">
        <v>55</v>
      </c>
      <c r="Y542" s="220">
        <v>44859</v>
      </c>
      <c r="Z542" s="222" t="s">
        <v>2087</v>
      </c>
      <c r="AA542" s="224" t="s">
        <v>2155</v>
      </c>
      <c r="AB542" s="227" t="s">
        <v>110</v>
      </c>
      <c r="AC542" s="295"/>
    </row>
    <row r="543" spans="1:29" ht="15.5" x14ac:dyDescent="0.35">
      <c r="A543" s="211">
        <v>7531</v>
      </c>
      <c r="B543" s="214" t="s">
        <v>2880</v>
      </c>
      <c r="C543" s="211">
        <v>10043</v>
      </c>
      <c r="D543" s="215" t="s">
        <v>110</v>
      </c>
      <c r="E543" s="215" t="s">
        <v>110</v>
      </c>
      <c r="F543" s="211" t="s">
        <v>110</v>
      </c>
      <c r="G543" s="211" t="s">
        <v>110</v>
      </c>
      <c r="H543" s="216" t="s">
        <v>2216</v>
      </c>
      <c r="I543" s="217" t="s">
        <v>2217</v>
      </c>
      <c r="J543" s="211" t="s">
        <v>2205</v>
      </c>
      <c r="K543" s="211" t="s">
        <v>2265</v>
      </c>
      <c r="L543" s="211" t="s">
        <v>2265</v>
      </c>
      <c r="M543" s="211" t="s">
        <v>1282</v>
      </c>
      <c r="N543" s="211" t="s">
        <v>14</v>
      </c>
      <c r="O543" s="211">
        <v>750</v>
      </c>
      <c r="P543" s="211" t="s">
        <v>276</v>
      </c>
      <c r="Q543" s="226" t="s">
        <v>108</v>
      </c>
      <c r="R543" s="218">
        <v>22000</v>
      </c>
      <c r="S543" s="218">
        <f>Product_Name[[#This Row],[Số lượng
Quantity]]*Product_Name[[#This Row],[Đơn giá
Unit Price]]</f>
        <v>16500000</v>
      </c>
      <c r="T543" s="219">
        <v>44859</v>
      </c>
      <c r="U543" s="220">
        <v>44866</v>
      </c>
      <c r="V543" s="221">
        <v>44881</v>
      </c>
      <c r="W543" s="211" t="s">
        <v>2814</v>
      </c>
      <c r="X543" s="211" t="s">
        <v>55</v>
      </c>
      <c r="Y543" s="220">
        <v>44859</v>
      </c>
      <c r="Z543" s="222" t="s">
        <v>2087</v>
      </c>
      <c r="AA543" s="224" t="s">
        <v>2155</v>
      </c>
      <c r="AB543" s="227" t="s">
        <v>110</v>
      </c>
      <c r="AC543" s="295"/>
    </row>
    <row r="544" spans="1:29" ht="15.5" x14ac:dyDescent="0.35">
      <c r="A544" s="211">
        <v>7531</v>
      </c>
      <c r="B544" s="214" t="s">
        <v>2880</v>
      </c>
      <c r="C544" s="211">
        <v>10043</v>
      </c>
      <c r="D544" s="215" t="s">
        <v>110</v>
      </c>
      <c r="E544" s="215" t="s">
        <v>110</v>
      </c>
      <c r="F544" s="211" t="s">
        <v>110</v>
      </c>
      <c r="G544" s="211" t="s">
        <v>110</v>
      </c>
      <c r="H544" s="216" t="s">
        <v>2302</v>
      </c>
      <c r="I544" s="217" t="s">
        <v>2305</v>
      </c>
      <c r="J544" s="211" t="s">
        <v>2298</v>
      </c>
      <c r="K544" s="211" t="s">
        <v>2265</v>
      </c>
      <c r="L544" s="211" t="s">
        <v>2265</v>
      </c>
      <c r="M544" s="211" t="s">
        <v>1282</v>
      </c>
      <c r="N544" s="211" t="s">
        <v>14</v>
      </c>
      <c r="O544" s="211">
        <v>50</v>
      </c>
      <c r="P544" s="211" t="s">
        <v>276</v>
      </c>
      <c r="Q544" s="226" t="s">
        <v>108</v>
      </c>
      <c r="R544" s="218">
        <v>1200000</v>
      </c>
      <c r="S544" s="218">
        <f>Product_Name[[#This Row],[Số lượng
Quantity]]*Product_Name[[#This Row],[Đơn giá
Unit Price]]</f>
        <v>60000000</v>
      </c>
      <c r="T544" s="219">
        <v>44859</v>
      </c>
      <c r="U544" s="220">
        <v>44866</v>
      </c>
      <c r="V544" s="221">
        <v>44881</v>
      </c>
      <c r="W544" s="211" t="s">
        <v>2814</v>
      </c>
      <c r="X544" s="211" t="s">
        <v>55</v>
      </c>
      <c r="Y544" s="220">
        <v>44859</v>
      </c>
      <c r="Z544" s="222" t="s">
        <v>2087</v>
      </c>
      <c r="AA544" s="224" t="s">
        <v>2155</v>
      </c>
      <c r="AB544" s="227" t="s">
        <v>110</v>
      </c>
      <c r="AC544" s="295"/>
    </row>
    <row r="545" spans="1:29" ht="15.5" x14ac:dyDescent="0.35">
      <c r="A545" s="211">
        <v>7531</v>
      </c>
      <c r="B545" s="214" t="s">
        <v>2880</v>
      </c>
      <c r="C545" s="211">
        <v>10043</v>
      </c>
      <c r="D545" s="215" t="s">
        <v>110</v>
      </c>
      <c r="E545" s="215" t="s">
        <v>110</v>
      </c>
      <c r="F545" s="211" t="s">
        <v>110</v>
      </c>
      <c r="G545" s="211" t="s">
        <v>110</v>
      </c>
      <c r="H545" s="216" t="s">
        <v>2303</v>
      </c>
      <c r="I545" s="217" t="s">
        <v>2306</v>
      </c>
      <c r="J545" s="211" t="s">
        <v>2299</v>
      </c>
      <c r="K545" s="211" t="s">
        <v>2265</v>
      </c>
      <c r="L545" s="211" t="s">
        <v>2265</v>
      </c>
      <c r="M545" s="211" t="s">
        <v>1282</v>
      </c>
      <c r="N545" s="211" t="s">
        <v>14</v>
      </c>
      <c r="O545" s="211">
        <v>50</v>
      </c>
      <c r="P545" s="211" t="s">
        <v>276</v>
      </c>
      <c r="Q545" s="226" t="s">
        <v>108</v>
      </c>
      <c r="R545" s="218">
        <v>350000</v>
      </c>
      <c r="S545" s="218">
        <f>Product_Name[[#This Row],[Số lượng
Quantity]]*Product_Name[[#This Row],[Đơn giá
Unit Price]]</f>
        <v>17500000</v>
      </c>
      <c r="T545" s="219">
        <v>44859</v>
      </c>
      <c r="U545" s="220">
        <v>44866</v>
      </c>
      <c r="V545" s="221">
        <v>44881</v>
      </c>
      <c r="W545" s="211" t="s">
        <v>2814</v>
      </c>
      <c r="X545" s="211" t="s">
        <v>55</v>
      </c>
      <c r="Y545" s="220">
        <v>44859</v>
      </c>
      <c r="Z545" s="222" t="s">
        <v>2087</v>
      </c>
      <c r="AA545" s="224" t="s">
        <v>2155</v>
      </c>
      <c r="AB545" s="227" t="s">
        <v>110</v>
      </c>
      <c r="AC545" s="295"/>
    </row>
    <row r="546" spans="1:29" ht="15.5" x14ac:dyDescent="0.35">
      <c r="A546" s="211">
        <v>7531</v>
      </c>
      <c r="B546" s="214" t="s">
        <v>2880</v>
      </c>
      <c r="C546" s="211">
        <v>10043</v>
      </c>
      <c r="D546" s="215" t="s">
        <v>110</v>
      </c>
      <c r="E546" s="215" t="s">
        <v>110</v>
      </c>
      <c r="F546" s="211" t="s">
        <v>110</v>
      </c>
      <c r="G546" s="211" t="s">
        <v>110</v>
      </c>
      <c r="H546" s="216" t="s">
        <v>2382</v>
      </c>
      <c r="I546" s="217" t="s">
        <v>2307</v>
      </c>
      <c r="J546" s="211" t="s">
        <v>2300</v>
      </c>
      <c r="K546" s="211" t="s">
        <v>2265</v>
      </c>
      <c r="L546" s="211" t="s">
        <v>2265</v>
      </c>
      <c r="M546" s="211" t="s">
        <v>1282</v>
      </c>
      <c r="N546" s="211" t="s">
        <v>14</v>
      </c>
      <c r="O546" s="211">
        <v>320</v>
      </c>
      <c r="P546" s="211" t="s">
        <v>276</v>
      </c>
      <c r="Q546" s="226" t="s">
        <v>108</v>
      </c>
      <c r="R546" s="218">
        <v>62500</v>
      </c>
      <c r="S546" s="218">
        <f>Product_Name[[#This Row],[Số lượng
Quantity]]*Product_Name[[#This Row],[Đơn giá
Unit Price]]</f>
        <v>20000000</v>
      </c>
      <c r="T546" s="219">
        <v>44859</v>
      </c>
      <c r="U546" s="220">
        <v>44866</v>
      </c>
      <c r="V546" s="221">
        <v>44881</v>
      </c>
      <c r="W546" s="211" t="s">
        <v>2814</v>
      </c>
      <c r="X546" s="211" t="s">
        <v>55</v>
      </c>
      <c r="Y546" s="220">
        <v>44859</v>
      </c>
      <c r="Z546" s="222" t="s">
        <v>2087</v>
      </c>
      <c r="AA546" s="224" t="s">
        <v>2155</v>
      </c>
      <c r="AB546" s="227" t="s">
        <v>110</v>
      </c>
      <c r="AC546" s="295"/>
    </row>
    <row r="547" spans="1:29" ht="15.5" x14ac:dyDescent="0.35">
      <c r="A547" s="211">
        <v>7531</v>
      </c>
      <c r="B547" s="214" t="s">
        <v>2880</v>
      </c>
      <c r="C547" s="211">
        <v>10043</v>
      </c>
      <c r="D547" s="215" t="s">
        <v>110</v>
      </c>
      <c r="E547" s="215" t="s">
        <v>110</v>
      </c>
      <c r="F547" s="211" t="s">
        <v>110</v>
      </c>
      <c r="G547" s="211" t="s">
        <v>110</v>
      </c>
      <c r="H547" s="216" t="s">
        <v>2304</v>
      </c>
      <c r="I547" s="217" t="s">
        <v>2308</v>
      </c>
      <c r="J547" s="211" t="s">
        <v>2301</v>
      </c>
      <c r="K547" s="211" t="s">
        <v>2265</v>
      </c>
      <c r="L547" s="211" t="s">
        <v>2265</v>
      </c>
      <c r="M547" s="211" t="s">
        <v>1282</v>
      </c>
      <c r="N547" s="211" t="s">
        <v>14</v>
      </c>
      <c r="O547" s="211">
        <v>270</v>
      </c>
      <c r="P547" s="211" t="s">
        <v>276</v>
      </c>
      <c r="Q547" s="226" t="s">
        <v>108</v>
      </c>
      <c r="R547" s="218">
        <v>70000</v>
      </c>
      <c r="S547" s="218">
        <f>Product_Name[[#This Row],[Số lượng
Quantity]]*Product_Name[[#This Row],[Đơn giá
Unit Price]]</f>
        <v>18900000</v>
      </c>
      <c r="T547" s="219">
        <v>44859</v>
      </c>
      <c r="U547" s="220">
        <v>44866</v>
      </c>
      <c r="V547" s="221">
        <v>44881</v>
      </c>
      <c r="W547" s="211" t="s">
        <v>2814</v>
      </c>
      <c r="X547" s="211" t="s">
        <v>55</v>
      </c>
      <c r="Y547" s="220">
        <v>44859</v>
      </c>
      <c r="Z547" s="222" t="s">
        <v>2087</v>
      </c>
      <c r="AA547" s="224" t="s">
        <v>2155</v>
      </c>
      <c r="AB547" s="227" t="s">
        <v>110</v>
      </c>
      <c r="AC547" s="295"/>
    </row>
    <row r="548" spans="1:29" ht="15.5" x14ac:dyDescent="0.35">
      <c r="A548" s="211">
        <v>7584</v>
      </c>
      <c r="B548" s="214" t="s">
        <v>2938</v>
      </c>
      <c r="C548" s="211">
        <v>10134</v>
      </c>
      <c r="D548" s="215" t="s">
        <v>110</v>
      </c>
      <c r="E548" s="215" t="s">
        <v>110</v>
      </c>
      <c r="F548" s="211" t="s">
        <v>110</v>
      </c>
      <c r="G548" s="211" t="s">
        <v>110</v>
      </c>
      <c r="H548" s="216" t="s">
        <v>1125</v>
      </c>
      <c r="I548" s="217" t="s">
        <v>1126</v>
      </c>
      <c r="J548" s="211" t="s">
        <v>1151</v>
      </c>
      <c r="K548" s="211" t="s">
        <v>1150</v>
      </c>
      <c r="L548" s="211" t="s">
        <v>218</v>
      </c>
      <c r="M548" s="211" t="s">
        <v>123</v>
      </c>
      <c r="N548" s="211" t="s">
        <v>14</v>
      </c>
      <c r="O548" s="211">
        <v>6</v>
      </c>
      <c r="P548" s="211" t="s">
        <v>107</v>
      </c>
      <c r="Q548" s="226" t="s">
        <v>108</v>
      </c>
      <c r="R548" s="218">
        <v>1971000</v>
      </c>
      <c r="S548" s="218">
        <f>Product_Name[[#This Row],[Đơn giá
Unit Price]]*Product_Name[[#This Row],[Số lượng
Quantity]]</f>
        <v>11826000</v>
      </c>
      <c r="T548" s="219">
        <v>44865</v>
      </c>
      <c r="U548" s="220">
        <v>44870</v>
      </c>
      <c r="V548" s="221">
        <v>44893</v>
      </c>
      <c r="W548" s="211" t="s">
        <v>2813</v>
      </c>
      <c r="X548" s="211" t="s">
        <v>16</v>
      </c>
      <c r="Y548" s="220">
        <v>44861</v>
      </c>
      <c r="Z548" s="222" t="s">
        <v>2087</v>
      </c>
      <c r="AA548" s="224" t="s">
        <v>2290</v>
      </c>
      <c r="AB548" s="227" t="s">
        <v>110</v>
      </c>
      <c r="AC548" s="295"/>
    </row>
    <row r="549" spans="1:29" ht="15.5" x14ac:dyDescent="0.35">
      <c r="A549" s="211">
        <v>8033</v>
      </c>
      <c r="B549" s="214" t="s">
        <v>2946</v>
      </c>
      <c r="C549" s="211">
        <v>10700</v>
      </c>
      <c r="D549" s="215" t="s">
        <v>110</v>
      </c>
      <c r="E549" s="215" t="s">
        <v>110</v>
      </c>
      <c r="F549" s="211" t="s">
        <v>110</v>
      </c>
      <c r="G549" s="211" t="s">
        <v>110</v>
      </c>
      <c r="H549" s="216" t="s">
        <v>219</v>
      </c>
      <c r="I549" s="217" t="s">
        <v>2776</v>
      </c>
      <c r="J549" s="211" t="s">
        <v>933</v>
      </c>
      <c r="K549" s="211" t="s">
        <v>210</v>
      </c>
      <c r="L549" s="211" t="s">
        <v>210</v>
      </c>
      <c r="M549" s="211" t="s">
        <v>327</v>
      </c>
      <c r="N549" s="211" t="s">
        <v>14</v>
      </c>
      <c r="O549" s="211">
        <v>3</v>
      </c>
      <c r="P549" s="211" t="s">
        <v>105</v>
      </c>
      <c r="Q549" s="213" t="s">
        <v>108</v>
      </c>
      <c r="R549" s="218">
        <v>345000</v>
      </c>
      <c r="S549" s="218">
        <f>Product_Name[[#This Row],[Đơn giá
Unit Price]]*Product_Name[[#This Row],[Số lượng
Quantity]]</f>
        <v>1035000</v>
      </c>
      <c r="T549" s="219">
        <v>44887</v>
      </c>
      <c r="U549" s="220">
        <v>44896</v>
      </c>
      <c r="V549" s="221">
        <v>44896</v>
      </c>
      <c r="W549" s="214" t="s">
        <v>1537</v>
      </c>
      <c r="X549" s="211" t="s">
        <v>16</v>
      </c>
      <c r="Y549" s="220">
        <v>44886</v>
      </c>
      <c r="Z549" s="222" t="s">
        <v>2087</v>
      </c>
      <c r="AA549" s="216" t="s">
        <v>2181</v>
      </c>
      <c r="AB549" s="227"/>
      <c r="AC549" s="295"/>
    </row>
    <row r="550" spans="1:29" ht="31" x14ac:dyDescent="0.35">
      <c r="A550" s="211" t="s">
        <v>110</v>
      </c>
      <c r="B550" s="214" t="s">
        <v>3571</v>
      </c>
      <c r="C550" s="211" t="s">
        <v>110</v>
      </c>
      <c r="D550" s="215">
        <v>2774</v>
      </c>
      <c r="E550" s="215">
        <v>5950</v>
      </c>
      <c r="F550" s="213" t="s">
        <v>2238</v>
      </c>
      <c r="G550" s="211" t="s">
        <v>2279</v>
      </c>
      <c r="H550" s="216" t="s">
        <v>2284</v>
      </c>
      <c r="I550" s="217" t="s">
        <v>1879</v>
      </c>
      <c r="J550" s="211" t="s">
        <v>2235</v>
      </c>
      <c r="K550" s="211" t="s">
        <v>1881</v>
      </c>
      <c r="L550" s="211" t="s">
        <v>2237</v>
      </c>
      <c r="M550" s="211" t="s">
        <v>63</v>
      </c>
      <c r="N550" s="211" t="s">
        <v>642</v>
      </c>
      <c r="O550" s="211">
        <v>1</v>
      </c>
      <c r="P550" s="211" t="s">
        <v>44</v>
      </c>
      <c r="Q550" s="213" t="s">
        <v>390</v>
      </c>
      <c r="R550" s="218">
        <v>284375</v>
      </c>
      <c r="S550" s="248">
        <f>R550*O550</f>
        <v>284375</v>
      </c>
      <c r="T550" s="219">
        <v>44734</v>
      </c>
      <c r="U550" s="220">
        <v>44928</v>
      </c>
      <c r="V550" s="221">
        <v>45023</v>
      </c>
      <c r="W550" s="211" t="s">
        <v>3198</v>
      </c>
      <c r="X550" s="214" t="s">
        <v>16</v>
      </c>
      <c r="Y550" s="220">
        <v>44650</v>
      </c>
      <c r="Z550" s="216" t="s">
        <v>2281</v>
      </c>
      <c r="AA550" s="216" t="s">
        <v>2179</v>
      </c>
      <c r="AB550" s="227">
        <v>44728</v>
      </c>
      <c r="AC550" s="295"/>
    </row>
    <row r="551" spans="1:29" ht="31" x14ac:dyDescent="0.35">
      <c r="A551" s="211" t="s">
        <v>110</v>
      </c>
      <c r="B551" s="214" t="s">
        <v>3571</v>
      </c>
      <c r="C551" s="211" t="s">
        <v>110</v>
      </c>
      <c r="D551" s="215">
        <v>2774</v>
      </c>
      <c r="E551" s="215">
        <v>5950</v>
      </c>
      <c r="F551" s="213" t="s">
        <v>2238</v>
      </c>
      <c r="G551" s="211" t="s">
        <v>2279</v>
      </c>
      <c r="H551" s="216" t="s">
        <v>2283</v>
      </c>
      <c r="I551" s="217" t="s">
        <v>1880</v>
      </c>
      <c r="J551" s="211" t="s">
        <v>2236</v>
      </c>
      <c r="K551" s="211" t="s">
        <v>1881</v>
      </c>
      <c r="L551" s="211" t="s">
        <v>2237</v>
      </c>
      <c r="M551" s="211" t="s">
        <v>63</v>
      </c>
      <c r="N551" s="211" t="s">
        <v>642</v>
      </c>
      <c r="O551" s="211">
        <v>2</v>
      </c>
      <c r="P551" s="211" t="s">
        <v>44</v>
      </c>
      <c r="Q551" s="213" t="s">
        <v>390</v>
      </c>
      <c r="R551" s="218">
        <v>157568</v>
      </c>
      <c r="S551" s="248">
        <f>R551*O551</f>
        <v>315136</v>
      </c>
      <c r="T551" s="219">
        <v>44734</v>
      </c>
      <c r="U551" s="220">
        <v>44928</v>
      </c>
      <c r="V551" s="221">
        <v>45023</v>
      </c>
      <c r="W551" s="211" t="s">
        <v>3198</v>
      </c>
      <c r="X551" s="214" t="s">
        <v>16</v>
      </c>
      <c r="Y551" s="220">
        <v>44650</v>
      </c>
      <c r="Z551" s="224" t="s">
        <v>2282</v>
      </c>
      <c r="AA551" s="216" t="s">
        <v>2179</v>
      </c>
      <c r="AB551" s="227">
        <v>44728</v>
      </c>
      <c r="AC551" s="295"/>
    </row>
    <row r="552" spans="1:29" ht="46.5" x14ac:dyDescent="0.35">
      <c r="A552" s="211" t="s">
        <v>110</v>
      </c>
      <c r="B552" s="214"/>
      <c r="C552" s="211" t="s">
        <v>110</v>
      </c>
      <c r="D552" s="215">
        <v>2774</v>
      </c>
      <c r="E552" s="215">
        <v>5950</v>
      </c>
      <c r="F552" s="213" t="s">
        <v>2238</v>
      </c>
      <c r="G552" s="211" t="s">
        <v>2279</v>
      </c>
      <c r="H552" s="216" t="s">
        <v>2285</v>
      </c>
      <c r="I552" s="217" t="s">
        <v>2234</v>
      </c>
      <c r="J552" s="211"/>
      <c r="K552" s="211" t="s">
        <v>1881</v>
      </c>
      <c r="L552" s="211" t="s">
        <v>2237</v>
      </c>
      <c r="M552" s="211" t="s">
        <v>63</v>
      </c>
      <c r="N552" s="211" t="s">
        <v>642</v>
      </c>
      <c r="O552" s="211">
        <v>1</v>
      </c>
      <c r="P552" s="211" t="s">
        <v>44</v>
      </c>
      <c r="Q552" s="213" t="s">
        <v>390</v>
      </c>
      <c r="R552" s="218">
        <v>68273</v>
      </c>
      <c r="S552" s="248">
        <f>R552*O552</f>
        <v>68273</v>
      </c>
      <c r="T552" s="219">
        <v>44734</v>
      </c>
      <c r="U552" s="220">
        <v>44928</v>
      </c>
      <c r="V552" s="221"/>
      <c r="W552" s="211" t="s">
        <v>3198</v>
      </c>
      <c r="X552" s="214" t="s">
        <v>16</v>
      </c>
      <c r="Y552" s="220">
        <v>44650</v>
      </c>
      <c r="Z552" s="224" t="s">
        <v>2286</v>
      </c>
      <c r="AA552" s="216" t="s">
        <v>2179</v>
      </c>
      <c r="AB552" s="227">
        <v>44728</v>
      </c>
      <c r="AC552" s="295"/>
    </row>
    <row r="553" spans="1:29" ht="15.5" x14ac:dyDescent="0.35">
      <c r="A553" s="211" t="s">
        <v>110</v>
      </c>
      <c r="B553" s="214" t="s">
        <v>3175</v>
      </c>
      <c r="C553" s="211" t="s">
        <v>110</v>
      </c>
      <c r="D553" s="215">
        <v>3216</v>
      </c>
      <c r="E553" s="215">
        <v>6881</v>
      </c>
      <c r="F553" s="211" t="s">
        <v>110</v>
      </c>
      <c r="G553" s="211" t="s">
        <v>110</v>
      </c>
      <c r="H553" s="216" t="s">
        <v>2424</v>
      </c>
      <c r="I553" s="217" t="s">
        <v>2425</v>
      </c>
      <c r="J553" s="211" t="s">
        <v>2427</v>
      </c>
      <c r="K553" s="211" t="s">
        <v>2429</v>
      </c>
      <c r="L553" s="211" t="s">
        <v>102</v>
      </c>
      <c r="M553" s="214" t="s">
        <v>796</v>
      </c>
      <c r="N553" s="211" t="s">
        <v>642</v>
      </c>
      <c r="O553" s="211">
        <v>2</v>
      </c>
      <c r="P553" s="211" t="s">
        <v>37</v>
      </c>
      <c r="Q553" s="213" t="s">
        <v>108</v>
      </c>
      <c r="R553" s="218">
        <v>325000</v>
      </c>
      <c r="S553" s="218">
        <f>Product_Name[[#This Row],[Đơn giá
Unit Price]]*Product_Name[[#This Row],[Số lượng
Quantity]]</f>
        <v>650000</v>
      </c>
      <c r="T553" s="219">
        <v>44803</v>
      </c>
      <c r="U553" s="220">
        <v>44956</v>
      </c>
      <c r="V553" s="221">
        <v>44943</v>
      </c>
      <c r="W553" s="214" t="s">
        <v>1537</v>
      </c>
      <c r="X553" s="211" t="s">
        <v>16</v>
      </c>
      <c r="Y553" s="220" t="s">
        <v>2434</v>
      </c>
      <c r="Z553" s="216"/>
      <c r="AA553" s="216" t="s">
        <v>2430</v>
      </c>
      <c r="AB553" s="227" t="s">
        <v>110</v>
      </c>
      <c r="AC553" s="295"/>
    </row>
    <row r="554" spans="1:29" ht="46.5" x14ac:dyDescent="0.35">
      <c r="A554" s="211" t="s">
        <v>110</v>
      </c>
      <c r="B554" s="214" t="s">
        <v>3017</v>
      </c>
      <c r="C554" s="211" t="s">
        <v>110</v>
      </c>
      <c r="D554" s="215">
        <v>3638</v>
      </c>
      <c r="E554" s="215">
        <v>7844</v>
      </c>
      <c r="F554" s="211" t="s">
        <v>2727</v>
      </c>
      <c r="G554" s="213" t="s">
        <v>2824</v>
      </c>
      <c r="H554" s="216" t="s">
        <v>2537</v>
      </c>
      <c r="I554" s="217" t="s">
        <v>2719</v>
      </c>
      <c r="J554" s="211" t="s">
        <v>2714</v>
      </c>
      <c r="K554" s="211" t="s">
        <v>2532</v>
      </c>
      <c r="L554" s="211" t="s">
        <v>2532</v>
      </c>
      <c r="M554" s="211" t="s">
        <v>797</v>
      </c>
      <c r="N554" s="211" t="s">
        <v>642</v>
      </c>
      <c r="O554" s="211">
        <v>8</v>
      </c>
      <c r="P554" s="211" t="s">
        <v>44</v>
      </c>
      <c r="Q554" s="226" t="s">
        <v>108</v>
      </c>
      <c r="R554" s="218">
        <v>13198000</v>
      </c>
      <c r="S554" s="218">
        <f>Product_Name[[#This Row],[Đơn giá
Unit Price]]*Product_Name[[#This Row],[Số lượng
Quantity]]</f>
        <v>105584000</v>
      </c>
      <c r="T554" s="219">
        <v>44874</v>
      </c>
      <c r="U554" s="220">
        <v>44904</v>
      </c>
      <c r="V554" s="221">
        <v>44916</v>
      </c>
      <c r="W554" s="211" t="s">
        <v>2814</v>
      </c>
      <c r="X554" s="211" t="s">
        <v>55</v>
      </c>
      <c r="Y554" s="220" t="s">
        <v>2546</v>
      </c>
      <c r="Z554" s="222"/>
      <c r="AA554" s="216" t="s">
        <v>2155</v>
      </c>
      <c r="AB554" s="227">
        <v>44848</v>
      </c>
      <c r="AC554" s="295"/>
    </row>
    <row r="555" spans="1:29" ht="46.5" x14ac:dyDescent="0.35">
      <c r="A555" s="211" t="s">
        <v>110</v>
      </c>
      <c r="B555" s="214" t="s">
        <v>3017</v>
      </c>
      <c r="C555" s="211" t="s">
        <v>110</v>
      </c>
      <c r="D555" s="215">
        <v>3638</v>
      </c>
      <c r="E555" s="215">
        <v>7844</v>
      </c>
      <c r="F555" s="211" t="s">
        <v>2727</v>
      </c>
      <c r="G555" s="213" t="s">
        <v>2824</v>
      </c>
      <c r="H555" s="216" t="s">
        <v>2537</v>
      </c>
      <c r="I555" s="217" t="s">
        <v>2720</v>
      </c>
      <c r="J555" s="211" t="s">
        <v>2715</v>
      </c>
      <c r="K555" s="211" t="s">
        <v>2532</v>
      </c>
      <c r="L555" s="211" t="s">
        <v>2532</v>
      </c>
      <c r="M555" s="211" t="s">
        <v>797</v>
      </c>
      <c r="N555" s="211" t="s">
        <v>642</v>
      </c>
      <c r="O555" s="211">
        <v>2</v>
      </c>
      <c r="P555" s="211" t="s">
        <v>44</v>
      </c>
      <c r="Q555" s="226" t="s">
        <v>108</v>
      </c>
      <c r="R555" s="218">
        <v>11708000</v>
      </c>
      <c r="S555" s="218">
        <f>Product_Name[[#This Row],[Đơn giá
Unit Price]]*Product_Name[[#This Row],[Số lượng
Quantity]]</f>
        <v>23416000</v>
      </c>
      <c r="T555" s="219">
        <v>44874</v>
      </c>
      <c r="U555" s="220">
        <v>44904</v>
      </c>
      <c r="V555" s="221">
        <v>44916</v>
      </c>
      <c r="W555" s="211" t="s">
        <v>2814</v>
      </c>
      <c r="X555" s="211" t="s">
        <v>55</v>
      </c>
      <c r="Y555" s="220" t="s">
        <v>2546</v>
      </c>
      <c r="Z555" s="222"/>
      <c r="AA555" s="216" t="s">
        <v>2155</v>
      </c>
      <c r="AB555" s="227">
        <v>44848</v>
      </c>
      <c r="AC555" s="295"/>
    </row>
    <row r="556" spans="1:29" ht="46.5" x14ac:dyDescent="0.35">
      <c r="A556" s="211" t="s">
        <v>110</v>
      </c>
      <c r="B556" s="214" t="s">
        <v>3017</v>
      </c>
      <c r="C556" s="211" t="s">
        <v>110</v>
      </c>
      <c r="D556" s="215">
        <v>3638</v>
      </c>
      <c r="E556" s="215">
        <v>7844</v>
      </c>
      <c r="F556" s="211" t="s">
        <v>2727</v>
      </c>
      <c r="G556" s="213" t="s">
        <v>2824</v>
      </c>
      <c r="H556" s="216" t="s">
        <v>2536</v>
      </c>
      <c r="I556" s="217" t="s">
        <v>2721</v>
      </c>
      <c r="J556" s="211" t="s">
        <v>2716</v>
      </c>
      <c r="K556" s="211" t="s">
        <v>2532</v>
      </c>
      <c r="L556" s="211" t="s">
        <v>2532</v>
      </c>
      <c r="M556" s="211" t="s">
        <v>797</v>
      </c>
      <c r="N556" s="211" t="s">
        <v>642</v>
      </c>
      <c r="O556" s="211">
        <v>2</v>
      </c>
      <c r="P556" s="211" t="s">
        <v>44</v>
      </c>
      <c r="Q556" s="226" t="s">
        <v>108</v>
      </c>
      <c r="R556" s="218">
        <v>16676000</v>
      </c>
      <c r="S556" s="218">
        <f>Product_Name[[#This Row],[Đơn giá
Unit Price]]*Product_Name[[#This Row],[Số lượng
Quantity]]</f>
        <v>33352000</v>
      </c>
      <c r="T556" s="219">
        <v>44874</v>
      </c>
      <c r="U556" s="220">
        <v>44904</v>
      </c>
      <c r="V556" s="221">
        <v>44916</v>
      </c>
      <c r="W556" s="211" t="s">
        <v>2814</v>
      </c>
      <c r="X556" s="211" t="s">
        <v>55</v>
      </c>
      <c r="Y556" s="220" t="s">
        <v>2546</v>
      </c>
      <c r="Z556" s="222"/>
      <c r="AA556" s="216" t="s">
        <v>2155</v>
      </c>
      <c r="AB556" s="227">
        <v>44848</v>
      </c>
      <c r="AC556" s="295"/>
    </row>
    <row r="557" spans="1:29" ht="46.5" x14ac:dyDescent="0.35">
      <c r="A557" s="211" t="s">
        <v>110</v>
      </c>
      <c r="B557" s="214" t="s">
        <v>3017</v>
      </c>
      <c r="C557" s="211" t="s">
        <v>110</v>
      </c>
      <c r="D557" s="215">
        <v>3638</v>
      </c>
      <c r="E557" s="215">
        <v>7844</v>
      </c>
      <c r="F557" s="211" t="s">
        <v>2727</v>
      </c>
      <c r="G557" s="213" t="s">
        <v>2824</v>
      </c>
      <c r="H557" s="216" t="s">
        <v>2536</v>
      </c>
      <c r="I557" s="217" t="s">
        <v>2725</v>
      </c>
      <c r="J557" s="211" t="s">
        <v>2717</v>
      </c>
      <c r="K557" s="211" t="s">
        <v>2532</v>
      </c>
      <c r="L557" s="211" t="s">
        <v>2532</v>
      </c>
      <c r="M557" s="211" t="s">
        <v>797</v>
      </c>
      <c r="N557" s="211" t="s">
        <v>642</v>
      </c>
      <c r="O557" s="211">
        <v>2</v>
      </c>
      <c r="P557" s="211" t="s">
        <v>44</v>
      </c>
      <c r="Q557" s="226" t="s">
        <v>108</v>
      </c>
      <c r="R557" s="218">
        <v>15128000</v>
      </c>
      <c r="S557" s="218">
        <f>Product_Name[[#This Row],[Đơn giá
Unit Price]]*Product_Name[[#This Row],[Số lượng
Quantity]]</f>
        <v>30256000</v>
      </c>
      <c r="T557" s="219">
        <v>44874</v>
      </c>
      <c r="U557" s="220">
        <v>44904</v>
      </c>
      <c r="V557" s="221">
        <v>44916</v>
      </c>
      <c r="W557" s="211" t="s">
        <v>2814</v>
      </c>
      <c r="X557" s="211" t="s">
        <v>55</v>
      </c>
      <c r="Y557" s="220" t="s">
        <v>2546</v>
      </c>
      <c r="Z557" s="222"/>
      <c r="AA557" s="216" t="s">
        <v>2155</v>
      </c>
      <c r="AB557" s="227">
        <v>44848</v>
      </c>
      <c r="AC557" s="295"/>
    </row>
    <row r="558" spans="1:29" ht="46.5" x14ac:dyDescent="0.35">
      <c r="A558" s="211" t="s">
        <v>110</v>
      </c>
      <c r="B558" s="214" t="s">
        <v>3017</v>
      </c>
      <c r="C558" s="211" t="s">
        <v>110</v>
      </c>
      <c r="D558" s="215">
        <v>3638</v>
      </c>
      <c r="E558" s="215">
        <v>7844</v>
      </c>
      <c r="F558" s="211" t="s">
        <v>2727</v>
      </c>
      <c r="G558" s="213" t="s">
        <v>2824</v>
      </c>
      <c r="H558" s="216" t="s">
        <v>2531</v>
      </c>
      <c r="I558" s="217" t="s">
        <v>2722</v>
      </c>
      <c r="J558" s="211" t="s">
        <v>2718</v>
      </c>
      <c r="K558" s="211" t="s">
        <v>2532</v>
      </c>
      <c r="L558" s="211" t="s">
        <v>2532</v>
      </c>
      <c r="M558" s="211" t="s">
        <v>797</v>
      </c>
      <c r="N558" s="211" t="s">
        <v>642</v>
      </c>
      <c r="O558" s="211">
        <v>4</v>
      </c>
      <c r="P558" s="211" t="s">
        <v>44</v>
      </c>
      <c r="Q558" s="226" t="s">
        <v>108</v>
      </c>
      <c r="R558" s="218">
        <v>23598000</v>
      </c>
      <c r="S558" s="218">
        <f>Product_Name[[#This Row],[Đơn giá
Unit Price]]*Product_Name[[#This Row],[Số lượng
Quantity]]</f>
        <v>94392000</v>
      </c>
      <c r="T558" s="219">
        <v>44874</v>
      </c>
      <c r="U558" s="220">
        <v>44904</v>
      </c>
      <c r="V558" s="221">
        <v>44916</v>
      </c>
      <c r="W558" s="211" t="s">
        <v>2814</v>
      </c>
      <c r="X558" s="211" t="s">
        <v>55</v>
      </c>
      <c r="Y558" s="220" t="s">
        <v>2546</v>
      </c>
      <c r="Z558" s="222"/>
      <c r="AA558" s="216" t="s">
        <v>2155</v>
      </c>
      <c r="AB558" s="227">
        <v>44848</v>
      </c>
      <c r="AC558" s="295"/>
    </row>
    <row r="559" spans="1:29" ht="15.5" x14ac:dyDescent="0.35">
      <c r="A559" s="211">
        <v>6963</v>
      </c>
      <c r="B559" s="214" t="s">
        <v>3019</v>
      </c>
      <c r="C559" s="211">
        <v>9158</v>
      </c>
      <c r="D559" s="215" t="s">
        <v>110</v>
      </c>
      <c r="E559" s="215" t="s">
        <v>110</v>
      </c>
      <c r="F559" s="211" t="s">
        <v>110</v>
      </c>
      <c r="G559" s="211" t="s">
        <v>110</v>
      </c>
      <c r="H559" s="216" t="s">
        <v>1410</v>
      </c>
      <c r="I559" s="217" t="s">
        <v>1408</v>
      </c>
      <c r="J559" s="211" t="s">
        <v>1407</v>
      </c>
      <c r="K559" s="211" t="s">
        <v>1461</v>
      </c>
      <c r="L559" s="211" t="s">
        <v>30</v>
      </c>
      <c r="M559" s="211" t="s">
        <v>795</v>
      </c>
      <c r="N559" s="211" t="s">
        <v>14</v>
      </c>
      <c r="O559" s="211">
        <v>200</v>
      </c>
      <c r="P559" s="211" t="s">
        <v>276</v>
      </c>
      <c r="Q559" s="226" t="s">
        <v>390</v>
      </c>
      <c r="R559" s="237">
        <v>55.59</v>
      </c>
      <c r="S559" s="218">
        <f>Product_Name[[#This Row],[Đơn giá
Unit Price]]*Product_Name[[#This Row],[Số lượng
Quantity]]</f>
        <v>11118</v>
      </c>
      <c r="T559" s="219">
        <v>44816</v>
      </c>
      <c r="U559" s="220">
        <v>44958</v>
      </c>
      <c r="V559" s="221">
        <v>44917</v>
      </c>
      <c r="W559" s="211" t="s">
        <v>3198</v>
      </c>
      <c r="X559" s="211" t="s">
        <v>16</v>
      </c>
      <c r="Y559" s="220">
        <v>44804</v>
      </c>
      <c r="Z559" s="222" t="s">
        <v>2087</v>
      </c>
      <c r="AA559" s="216" t="s">
        <v>2056</v>
      </c>
      <c r="AB559" s="227" t="s">
        <v>110</v>
      </c>
      <c r="AC559" s="295"/>
    </row>
    <row r="560" spans="1:29" ht="31" x14ac:dyDescent="0.35">
      <c r="A560" s="211" t="s">
        <v>110</v>
      </c>
      <c r="B560" s="214" t="s">
        <v>3522</v>
      </c>
      <c r="C560" s="211" t="s">
        <v>110</v>
      </c>
      <c r="D560" s="215">
        <v>3803</v>
      </c>
      <c r="E560" s="215">
        <v>8114</v>
      </c>
      <c r="F560" s="213" t="s">
        <v>2937</v>
      </c>
      <c r="G560" s="211" t="s">
        <v>2947</v>
      </c>
      <c r="H560" s="216" t="s">
        <v>2548</v>
      </c>
      <c r="I560" s="217" t="s">
        <v>2923</v>
      </c>
      <c r="J560" s="211" t="s">
        <v>2924</v>
      </c>
      <c r="K560" s="211" t="s">
        <v>733</v>
      </c>
      <c r="L560" s="211" t="s">
        <v>733</v>
      </c>
      <c r="M560" s="211" t="s">
        <v>63</v>
      </c>
      <c r="N560" s="211" t="s">
        <v>642</v>
      </c>
      <c r="O560" s="211">
        <v>2</v>
      </c>
      <c r="P560" s="211" t="s">
        <v>276</v>
      </c>
      <c r="Q560" s="226" t="s">
        <v>108</v>
      </c>
      <c r="R560" s="218">
        <v>98870000</v>
      </c>
      <c r="S560" s="218">
        <f>Product_Name[[#This Row],[Đơn giá
Unit Price]]*Product_Name[[#This Row],[Số lượng
Quantity]]</f>
        <v>197740000</v>
      </c>
      <c r="T560" s="219">
        <v>44894</v>
      </c>
      <c r="U560" s="220">
        <v>44942</v>
      </c>
      <c r="V560" s="221">
        <v>45005</v>
      </c>
      <c r="W560" s="211" t="s">
        <v>2830</v>
      </c>
      <c r="X560" s="211" t="s">
        <v>16</v>
      </c>
      <c r="Y560" s="220" t="s">
        <v>2553</v>
      </c>
      <c r="Z560" s="222" t="s">
        <v>2939</v>
      </c>
      <c r="AA560" s="216" t="s">
        <v>2076</v>
      </c>
      <c r="AB560" s="227">
        <v>44887</v>
      </c>
      <c r="AC560" s="295"/>
    </row>
    <row r="561" spans="1:29" ht="31" x14ac:dyDescent="0.35">
      <c r="A561" s="211" t="s">
        <v>110</v>
      </c>
      <c r="B561" s="214" t="s">
        <v>3491</v>
      </c>
      <c r="C561" s="211" t="s">
        <v>110</v>
      </c>
      <c r="D561" s="215">
        <v>3615</v>
      </c>
      <c r="E561" s="215">
        <v>7740</v>
      </c>
      <c r="F561" s="213" t="s">
        <v>2811</v>
      </c>
      <c r="G561" s="211" t="s">
        <v>2809</v>
      </c>
      <c r="H561" s="216" t="s">
        <v>2551</v>
      </c>
      <c r="I561" s="217" t="s">
        <v>2552</v>
      </c>
      <c r="J561" s="211" t="s">
        <v>2555</v>
      </c>
      <c r="K561" s="211" t="s">
        <v>2795</v>
      </c>
      <c r="L561" s="211" t="s">
        <v>2795</v>
      </c>
      <c r="M561" s="211" t="s">
        <v>63</v>
      </c>
      <c r="N561" s="211" t="s">
        <v>642</v>
      </c>
      <c r="O561" s="211">
        <v>1</v>
      </c>
      <c r="P561" s="211" t="s">
        <v>1092</v>
      </c>
      <c r="Q561" s="226" t="s">
        <v>390</v>
      </c>
      <c r="R561" s="237">
        <v>25528</v>
      </c>
      <c r="S561" s="218">
        <f>Product_Name[[#This Row],[Đơn giá
Unit Price]]*Product_Name[[#This Row],[Số lượng
Quantity]]</f>
        <v>25528</v>
      </c>
      <c r="T561" s="219">
        <v>44872</v>
      </c>
      <c r="U561" s="220">
        <v>44900</v>
      </c>
      <c r="V561" s="221">
        <v>45009</v>
      </c>
      <c r="W561" s="211" t="s">
        <v>1565</v>
      </c>
      <c r="X561" s="211" t="s">
        <v>16</v>
      </c>
      <c r="Y561" s="220" t="s">
        <v>2575</v>
      </c>
      <c r="Z561" s="222" t="s">
        <v>2815</v>
      </c>
      <c r="AA561" s="216" t="s">
        <v>2647</v>
      </c>
      <c r="AB561" s="227">
        <v>44866</v>
      </c>
      <c r="AC561" s="295"/>
    </row>
    <row r="562" spans="1:29" ht="15.5" x14ac:dyDescent="0.35">
      <c r="A562" s="211" t="s">
        <v>110</v>
      </c>
      <c r="B562" s="214" t="s">
        <v>2955</v>
      </c>
      <c r="C562" s="211" t="s">
        <v>110</v>
      </c>
      <c r="D562" s="215">
        <v>3607</v>
      </c>
      <c r="E562" s="215">
        <v>7725</v>
      </c>
      <c r="F562" s="213" t="s">
        <v>2808</v>
      </c>
      <c r="G562" s="249" t="s">
        <v>2810</v>
      </c>
      <c r="H562" s="216" t="s">
        <v>425</v>
      </c>
      <c r="I562" s="217" t="s">
        <v>699</v>
      </c>
      <c r="J562" s="211" t="s">
        <v>2807</v>
      </c>
      <c r="K562" s="211" t="s">
        <v>176</v>
      </c>
      <c r="L562" s="211" t="s">
        <v>176</v>
      </c>
      <c r="M562" s="211" t="s">
        <v>796</v>
      </c>
      <c r="N562" s="211" t="s">
        <v>642</v>
      </c>
      <c r="O562" s="211">
        <v>2</v>
      </c>
      <c r="P562" s="211" t="s">
        <v>276</v>
      </c>
      <c r="Q562" s="226" t="s">
        <v>108</v>
      </c>
      <c r="R562" s="237">
        <v>2314000</v>
      </c>
      <c r="S562" s="218">
        <f>Product_Name[[#This Row],[Đơn giá
Unit Price]]*Product_Name[[#This Row],[Số lượng
Quantity]]</f>
        <v>4628000</v>
      </c>
      <c r="T562" s="219">
        <v>44872</v>
      </c>
      <c r="U562" s="220">
        <v>44887</v>
      </c>
      <c r="V562" s="221">
        <v>44896</v>
      </c>
      <c r="W562" s="211" t="s">
        <v>1662</v>
      </c>
      <c r="X562" s="211" t="s">
        <v>54</v>
      </c>
      <c r="Y562" s="220" t="s">
        <v>2578</v>
      </c>
      <c r="Z562" s="222"/>
      <c r="AA562" s="216" t="s">
        <v>2571</v>
      </c>
      <c r="AB562" s="227">
        <v>44868</v>
      </c>
      <c r="AC562" s="295"/>
    </row>
    <row r="563" spans="1:29" ht="15.5" x14ac:dyDescent="0.35">
      <c r="A563" s="211">
        <v>7282</v>
      </c>
      <c r="B563" s="214" t="s">
        <v>2970</v>
      </c>
      <c r="C563" s="211">
        <v>9696</v>
      </c>
      <c r="D563" s="215" t="s">
        <v>110</v>
      </c>
      <c r="E563" s="215" t="s">
        <v>110</v>
      </c>
      <c r="F563" s="211" t="s">
        <v>110</v>
      </c>
      <c r="G563" s="211" t="s">
        <v>110</v>
      </c>
      <c r="H563" s="216" t="s">
        <v>2696</v>
      </c>
      <c r="I563" s="217" t="s">
        <v>2697</v>
      </c>
      <c r="J563" s="211" t="s">
        <v>2606</v>
      </c>
      <c r="K563" s="211" t="s">
        <v>2698</v>
      </c>
      <c r="L563" s="211" t="s">
        <v>1100</v>
      </c>
      <c r="M563" s="211" t="s">
        <v>123</v>
      </c>
      <c r="N563" s="211" t="s">
        <v>14</v>
      </c>
      <c r="O563" s="211">
        <v>6</v>
      </c>
      <c r="P563" s="211" t="s">
        <v>276</v>
      </c>
      <c r="Q563" s="226" t="s">
        <v>108</v>
      </c>
      <c r="R563" s="218">
        <v>8156000</v>
      </c>
      <c r="S563" s="218">
        <f>Product_Name[[#This Row],[Đơn giá
Unit Price]]*Product_Name[[#This Row],[Số lượng
Quantity]]</f>
        <v>48936000</v>
      </c>
      <c r="T563" s="219">
        <v>44844</v>
      </c>
      <c r="U563" s="220">
        <v>44866</v>
      </c>
      <c r="V563" s="221">
        <v>44905</v>
      </c>
      <c r="W563" s="211" t="s">
        <v>2651</v>
      </c>
      <c r="X563" s="211" t="s">
        <v>54</v>
      </c>
      <c r="Y563" s="220" t="s">
        <v>2607</v>
      </c>
      <c r="Z563" s="222" t="s">
        <v>2087</v>
      </c>
      <c r="AA563" s="216" t="s">
        <v>2571</v>
      </c>
      <c r="AB563" s="227" t="s">
        <v>110</v>
      </c>
      <c r="AC563" s="295"/>
    </row>
    <row r="564" spans="1:29" ht="15.5" x14ac:dyDescent="0.35">
      <c r="A564" s="211">
        <v>7666</v>
      </c>
      <c r="B564" s="214" t="s">
        <v>3381</v>
      </c>
      <c r="C564" s="211">
        <v>10228</v>
      </c>
      <c r="D564" s="215" t="s">
        <v>110</v>
      </c>
      <c r="E564" s="215" t="s">
        <v>110</v>
      </c>
      <c r="F564" s="211" t="s">
        <v>110</v>
      </c>
      <c r="G564" s="211" t="s">
        <v>110</v>
      </c>
      <c r="H564" s="216" t="s">
        <v>2778</v>
      </c>
      <c r="I564" s="217" t="s">
        <v>2779</v>
      </c>
      <c r="J564" s="211" t="s">
        <v>2786</v>
      </c>
      <c r="K564" s="211" t="s">
        <v>2799</v>
      </c>
      <c r="L564" s="211" t="s">
        <v>102</v>
      </c>
      <c r="M564" s="211" t="s">
        <v>123</v>
      </c>
      <c r="N564" s="211" t="s">
        <v>14</v>
      </c>
      <c r="O564" s="211">
        <v>20</v>
      </c>
      <c r="P564" s="211" t="s">
        <v>276</v>
      </c>
      <c r="Q564" s="226" t="s">
        <v>108</v>
      </c>
      <c r="R564" s="218">
        <v>370000</v>
      </c>
      <c r="S564" s="218">
        <f>Product_Name[[#This Row],[Đơn giá
Unit Price]]*Product_Name[[#This Row],[Số lượng
Quantity]]</f>
        <v>7400000</v>
      </c>
      <c r="T564" s="219">
        <v>44867</v>
      </c>
      <c r="U564" s="220">
        <v>44942</v>
      </c>
      <c r="V564" s="221">
        <v>44992</v>
      </c>
      <c r="W564" s="211" t="s">
        <v>2814</v>
      </c>
      <c r="X564" s="211" t="s">
        <v>54</v>
      </c>
      <c r="Y564" s="220" t="s">
        <v>2790</v>
      </c>
      <c r="Z564" s="222" t="s">
        <v>2087</v>
      </c>
      <c r="AA564" s="224" t="s">
        <v>2290</v>
      </c>
      <c r="AB564" s="227" t="s">
        <v>110</v>
      </c>
      <c r="AC564" s="295"/>
    </row>
    <row r="565" spans="1:29" ht="15.5" x14ac:dyDescent="0.35">
      <c r="A565" s="211">
        <v>7666</v>
      </c>
      <c r="B565" s="214" t="s">
        <v>3381</v>
      </c>
      <c r="C565" s="211">
        <v>10228</v>
      </c>
      <c r="D565" s="215" t="s">
        <v>110</v>
      </c>
      <c r="E565" s="215" t="s">
        <v>110</v>
      </c>
      <c r="F565" s="211" t="s">
        <v>110</v>
      </c>
      <c r="G565" s="211" t="s">
        <v>110</v>
      </c>
      <c r="H565" s="216" t="s">
        <v>2780</v>
      </c>
      <c r="I565" s="217" t="s">
        <v>2781</v>
      </c>
      <c r="J565" s="211" t="s">
        <v>2787</v>
      </c>
      <c r="K565" s="211" t="s">
        <v>2799</v>
      </c>
      <c r="L565" s="211" t="s">
        <v>102</v>
      </c>
      <c r="M565" s="211" t="s">
        <v>123</v>
      </c>
      <c r="N565" s="211" t="s">
        <v>14</v>
      </c>
      <c r="O565" s="211">
        <v>20</v>
      </c>
      <c r="P565" s="211" t="s">
        <v>276</v>
      </c>
      <c r="Q565" s="226" t="s">
        <v>108</v>
      </c>
      <c r="R565" s="218">
        <v>370000</v>
      </c>
      <c r="S565" s="218">
        <f>Product_Name[[#This Row],[Đơn giá
Unit Price]]*Product_Name[[#This Row],[Số lượng
Quantity]]</f>
        <v>7400000</v>
      </c>
      <c r="T565" s="219">
        <v>44867</v>
      </c>
      <c r="U565" s="220">
        <v>44942</v>
      </c>
      <c r="V565" s="221">
        <v>44992</v>
      </c>
      <c r="W565" s="211" t="s">
        <v>2814</v>
      </c>
      <c r="X565" s="211" t="s">
        <v>54</v>
      </c>
      <c r="Y565" s="220" t="s">
        <v>2790</v>
      </c>
      <c r="Z565" s="222" t="s">
        <v>2087</v>
      </c>
      <c r="AA565" s="224" t="s">
        <v>2290</v>
      </c>
      <c r="AB565" s="227" t="s">
        <v>110</v>
      </c>
      <c r="AC565" s="295"/>
    </row>
    <row r="566" spans="1:29" ht="15.5" x14ac:dyDescent="0.35">
      <c r="A566" s="211">
        <v>7666</v>
      </c>
      <c r="B566" s="214"/>
      <c r="C566" s="211">
        <v>10228</v>
      </c>
      <c r="D566" s="215" t="s">
        <v>110</v>
      </c>
      <c r="E566" s="215" t="s">
        <v>110</v>
      </c>
      <c r="F566" s="211" t="s">
        <v>110</v>
      </c>
      <c r="G566" s="211" t="s">
        <v>110</v>
      </c>
      <c r="H566" s="216" t="s">
        <v>2782</v>
      </c>
      <c r="I566" s="217" t="s">
        <v>2783</v>
      </c>
      <c r="J566" s="211" t="s">
        <v>2788</v>
      </c>
      <c r="K566" s="211" t="s">
        <v>2799</v>
      </c>
      <c r="L566" s="211" t="s">
        <v>102</v>
      </c>
      <c r="M566" s="211" t="s">
        <v>123</v>
      </c>
      <c r="N566" s="211" t="s">
        <v>14</v>
      </c>
      <c r="O566" s="211">
        <v>20</v>
      </c>
      <c r="P566" s="211" t="s">
        <v>276</v>
      </c>
      <c r="Q566" s="226" t="s">
        <v>108</v>
      </c>
      <c r="R566" s="218">
        <v>370000</v>
      </c>
      <c r="S566" s="218">
        <f>Product_Name[[#This Row],[Đơn giá
Unit Price]]*Product_Name[[#This Row],[Số lượng
Quantity]]</f>
        <v>7400000</v>
      </c>
      <c r="T566" s="219">
        <v>44867</v>
      </c>
      <c r="U566" s="220">
        <v>44942</v>
      </c>
      <c r="V566" s="221"/>
      <c r="W566" s="211" t="s">
        <v>2814</v>
      </c>
      <c r="X566" s="211" t="s">
        <v>54</v>
      </c>
      <c r="Y566" s="220" t="s">
        <v>2790</v>
      </c>
      <c r="Z566" s="222" t="s">
        <v>2087</v>
      </c>
      <c r="AA566" s="224" t="s">
        <v>2290</v>
      </c>
      <c r="AB566" s="227" t="s">
        <v>110</v>
      </c>
      <c r="AC566" s="295"/>
    </row>
    <row r="567" spans="1:29" ht="15.5" x14ac:dyDescent="0.35">
      <c r="A567" s="211">
        <v>7666</v>
      </c>
      <c r="B567" s="214" t="s">
        <v>2971</v>
      </c>
      <c r="C567" s="211">
        <v>10228</v>
      </c>
      <c r="D567" s="215" t="s">
        <v>110</v>
      </c>
      <c r="E567" s="215" t="s">
        <v>110</v>
      </c>
      <c r="F567" s="211" t="s">
        <v>110</v>
      </c>
      <c r="G567" s="211" t="s">
        <v>110</v>
      </c>
      <c r="H567" s="216" t="s">
        <v>2784</v>
      </c>
      <c r="I567" s="217" t="s">
        <v>2785</v>
      </c>
      <c r="J567" s="211" t="s">
        <v>2789</v>
      </c>
      <c r="K567" s="211" t="s">
        <v>2799</v>
      </c>
      <c r="L567" s="211" t="s">
        <v>102</v>
      </c>
      <c r="M567" s="211" t="s">
        <v>123</v>
      </c>
      <c r="N567" s="211" t="s">
        <v>14</v>
      </c>
      <c r="O567" s="211">
        <v>5</v>
      </c>
      <c r="P567" s="211" t="s">
        <v>276</v>
      </c>
      <c r="Q567" s="226" t="s">
        <v>108</v>
      </c>
      <c r="R567" s="218">
        <v>370000</v>
      </c>
      <c r="S567" s="218">
        <f>Product_Name[[#This Row],[Đơn giá
Unit Price]]*Product_Name[[#This Row],[Số lượng
Quantity]]</f>
        <v>1850000</v>
      </c>
      <c r="T567" s="219">
        <v>44867</v>
      </c>
      <c r="U567" s="220">
        <v>44914</v>
      </c>
      <c r="V567" s="221">
        <v>44907</v>
      </c>
      <c r="W567" s="211" t="s">
        <v>2814</v>
      </c>
      <c r="X567" s="211" t="s">
        <v>54</v>
      </c>
      <c r="Y567" s="220" t="s">
        <v>2790</v>
      </c>
      <c r="Z567" s="222" t="s">
        <v>2087</v>
      </c>
      <c r="AA567" s="224" t="s">
        <v>2290</v>
      </c>
      <c r="AB567" s="227" t="s">
        <v>110</v>
      </c>
      <c r="AC567" s="295"/>
    </row>
    <row r="568" spans="1:29" ht="15.5" x14ac:dyDescent="0.35">
      <c r="A568" s="211" t="s">
        <v>110</v>
      </c>
      <c r="B568" s="214" t="s">
        <v>3043</v>
      </c>
      <c r="C568" s="211" t="s">
        <v>110</v>
      </c>
      <c r="D568" s="215">
        <v>3714</v>
      </c>
      <c r="E568" s="215">
        <v>7964</v>
      </c>
      <c r="F568" s="211" t="s">
        <v>2832</v>
      </c>
      <c r="G568" s="211" t="s">
        <v>2904</v>
      </c>
      <c r="H568" s="216" t="s">
        <v>2345</v>
      </c>
      <c r="I568" s="217" t="s">
        <v>2346</v>
      </c>
      <c r="J568" s="211" t="s">
        <v>2344</v>
      </c>
      <c r="K568" s="211" t="s">
        <v>733</v>
      </c>
      <c r="L568" s="211" t="s">
        <v>733</v>
      </c>
      <c r="M568" s="211" t="s">
        <v>796</v>
      </c>
      <c r="N568" s="211" t="s">
        <v>642</v>
      </c>
      <c r="O568" s="211">
        <v>2</v>
      </c>
      <c r="P568" s="211" t="s">
        <v>44</v>
      </c>
      <c r="Q568" s="226" t="s">
        <v>108</v>
      </c>
      <c r="R568" s="218">
        <v>12950000</v>
      </c>
      <c r="S568" s="218">
        <f>Product_Name[[#This Row],[Đơn giá
Unit Price]]*Product_Name[[#This Row],[Số lượng
Quantity]]</f>
        <v>25900000</v>
      </c>
      <c r="T568" s="219">
        <v>44883</v>
      </c>
      <c r="U568" s="220">
        <v>44928</v>
      </c>
      <c r="V568" s="221">
        <v>44929</v>
      </c>
      <c r="W568" s="214" t="s">
        <v>1537</v>
      </c>
      <c r="X568" s="211" t="s">
        <v>16</v>
      </c>
      <c r="Y568" s="220">
        <v>44866</v>
      </c>
      <c r="Z568" s="222"/>
      <c r="AA568" s="224" t="s">
        <v>2181</v>
      </c>
      <c r="AB568" s="227">
        <v>44874</v>
      </c>
      <c r="AC568" s="295"/>
    </row>
    <row r="569" spans="1:29" ht="15.5" x14ac:dyDescent="0.35">
      <c r="A569" s="211" t="s">
        <v>110</v>
      </c>
      <c r="B569" s="214" t="s">
        <v>2973</v>
      </c>
      <c r="C569" s="211" t="s">
        <v>110</v>
      </c>
      <c r="D569" s="215">
        <v>3717</v>
      </c>
      <c r="E569" s="215">
        <v>7965</v>
      </c>
      <c r="F569" s="211" t="s">
        <v>2832</v>
      </c>
      <c r="G569" s="211" t="s">
        <v>2904</v>
      </c>
      <c r="H569" s="216" t="s">
        <v>1639</v>
      </c>
      <c r="I569" s="217" t="s">
        <v>1638</v>
      </c>
      <c r="J569" s="211" t="s">
        <v>1637</v>
      </c>
      <c r="K569" s="211" t="s">
        <v>176</v>
      </c>
      <c r="L569" s="211" t="s">
        <v>176</v>
      </c>
      <c r="M569" s="211" t="s">
        <v>796</v>
      </c>
      <c r="N569" s="211" t="s">
        <v>642</v>
      </c>
      <c r="O569" s="211">
        <v>2</v>
      </c>
      <c r="P569" s="211" t="s">
        <v>276</v>
      </c>
      <c r="Q569" s="226" t="s">
        <v>108</v>
      </c>
      <c r="R569" s="218">
        <v>4048000</v>
      </c>
      <c r="S569" s="218">
        <f>Product_Name[[#This Row],[Đơn giá
Unit Price]]*Product_Name[[#This Row],[Số lượng
Quantity]]</f>
        <v>8096000</v>
      </c>
      <c r="T569" s="219">
        <v>44883</v>
      </c>
      <c r="U569" s="220">
        <v>44904</v>
      </c>
      <c r="V569" s="221">
        <v>44907</v>
      </c>
      <c r="W569" s="214" t="s">
        <v>1537</v>
      </c>
      <c r="X569" s="211" t="s">
        <v>16</v>
      </c>
      <c r="Y569" s="220">
        <v>44866</v>
      </c>
      <c r="Z569" s="222"/>
      <c r="AA569" s="224" t="s">
        <v>2800</v>
      </c>
      <c r="AB569" s="227">
        <v>44874</v>
      </c>
      <c r="AC569" s="295"/>
    </row>
    <row r="570" spans="1:29" ht="46.5" x14ac:dyDescent="0.35">
      <c r="A570" s="211" t="s">
        <v>110</v>
      </c>
      <c r="B570" s="214" t="s">
        <v>3608</v>
      </c>
      <c r="C570" s="211" t="s">
        <v>110</v>
      </c>
      <c r="D570" s="215">
        <v>3711</v>
      </c>
      <c r="E570" s="215">
        <v>7899</v>
      </c>
      <c r="F570" s="211" t="s">
        <v>2853</v>
      </c>
      <c r="G570" s="211" t="s">
        <v>2901</v>
      </c>
      <c r="H570" s="216" t="s">
        <v>2806</v>
      </c>
      <c r="I570" s="217" t="s">
        <v>2801</v>
      </c>
      <c r="J570" s="211" t="s">
        <v>2802</v>
      </c>
      <c r="K570" s="211" t="s">
        <v>2803</v>
      </c>
      <c r="L570" s="211" t="s">
        <v>102</v>
      </c>
      <c r="M570" s="211" t="s">
        <v>796</v>
      </c>
      <c r="N570" s="211" t="s">
        <v>642</v>
      </c>
      <c r="O570" s="211">
        <v>1</v>
      </c>
      <c r="P570" s="211" t="s">
        <v>276</v>
      </c>
      <c r="Q570" s="226" t="s">
        <v>108</v>
      </c>
      <c r="R570" s="218">
        <v>7597000</v>
      </c>
      <c r="S570" s="218">
        <f>Product_Name[[#This Row],[Đơn giá
Unit Price]]*Product_Name[[#This Row],[Số lượng
Quantity]]</f>
        <v>7597000</v>
      </c>
      <c r="T570" s="219">
        <v>44882</v>
      </c>
      <c r="U570" s="220">
        <v>44958</v>
      </c>
      <c r="V570" s="221"/>
      <c r="W570" s="211" t="s">
        <v>2651</v>
      </c>
      <c r="X570" s="211" t="s">
        <v>16</v>
      </c>
      <c r="Y570" s="220" t="s">
        <v>2812</v>
      </c>
      <c r="Z570" s="222"/>
      <c r="AA570" s="224" t="s">
        <v>2851</v>
      </c>
      <c r="AB570" s="227">
        <v>44876</v>
      </c>
      <c r="AC570" s="295"/>
    </row>
    <row r="571" spans="1:29" ht="15.5" x14ac:dyDescent="0.35">
      <c r="A571" s="211" t="s">
        <v>110</v>
      </c>
      <c r="B571" s="214" t="s">
        <v>3608</v>
      </c>
      <c r="C571" s="211" t="s">
        <v>110</v>
      </c>
      <c r="D571" s="215">
        <v>3711</v>
      </c>
      <c r="E571" s="215">
        <v>7899</v>
      </c>
      <c r="F571" s="211" t="s">
        <v>2853</v>
      </c>
      <c r="G571" s="211" t="s">
        <v>2901</v>
      </c>
      <c r="H571" s="216" t="s">
        <v>2852</v>
      </c>
      <c r="I571" s="217" t="s">
        <v>2804</v>
      </c>
      <c r="J571" s="211" t="s">
        <v>2805</v>
      </c>
      <c r="K571" s="211" t="s">
        <v>2803</v>
      </c>
      <c r="L571" s="211" t="s">
        <v>102</v>
      </c>
      <c r="M571" s="211" t="s">
        <v>796</v>
      </c>
      <c r="N571" s="211" t="s">
        <v>642</v>
      </c>
      <c r="O571" s="211">
        <v>1</v>
      </c>
      <c r="P571" s="211" t="s">
        <v>276</v>
      </c>
      <c r="Q571" s="226" t="s">
        <v>108</v>
      </c>
      <c r="R571" s="218">
        <v>3902000</v>
      </c>
      <c r="S571" s="218">
        <f>Product_Name[[#This Row],[Đơn giá
Unit Price]]*Product_Name[[#This Row],[Số lượng
Quantity]]</f>
        <v>3902000</v>
      </c>
      <c r="T571" s="219">
        <v>44882</v>
      </c>
      <c r="U571" s="220">
        <v>44958</v>
      </c>
      <c r="V571" s="221"/>
      <c r="W571" s="211" t="s">
        <v>2651</v>
      </c>
      <c r="X571" s="211" t="s">
        <v>16</v>
      </c>
      <c r="Y571" s="220" t="s">
        <v>2812</v>
      </c>
      <c r="Z571" s="222"/>
      <c r="AA571" s="224" t="s">
        <v>2181</v>
      </c>
      <c r="AB571" s="227">
        <v>44876</v>
      </c>
      <c r="AC571" s="295"/>
    </row>
    <row r="572" spans="1:29" ht="15.5" x14ac:dyDescent="0.35">
      <c r="A572" s="211">
        <v>7764</v>
      </c>
      <c r="B572" s="214" t="s">
        <v>3060</v>
      </c>
      <c r="C572" s="211">
        <v>10415</v>
      </c>
      <c r="D572" s="215" t="s">
        <v>110</v>
      </c>
      <c r="E572" s="215" t="s">
        <v>110</v>
      </c>
      <c r="F572" s="214" t="s">
        <v>110</v>
      </c>
      <c r="G572" s="214" t="s">
        <v>110</v>
      </c>
      <c r="H572" s="216" t="s">
        <v>388</v>
      </c>
      <c r="I572" s="216" t="s">
        <v>388</v>
      </c>
      <c r="J572" s="211" t="s">
        <v>389</v>
      </c>
      <c r="K572" s="211" t="s">
        <v>1356</v>
      </c>
      <c r="L572" s="211" t="s">
        <v>30</v>
      </c>
      <c r="M572" s="211" t="s">
        <v>795</v>
      </c>
      <c r="N572" s="211" t="s">
        <v>14</v>
      </c>
      <c r="O572" s="211">
        <v>20</v>
      </c>
      <c r="P572" s="211" t="s">
        <v>719</v>
      </c>
      <c r="Q572" s="213" t="s">
        <v>390</v>
      </c>
      <c r="R572" s="237">
        <v>182.98</v>
      </c>
      <c r="S572" s="250">
        <f>Product_Name[[#This Row],[Đơn giá
Unit Price]]*Product_Name[[#This Row],[Số lượng
Quantity]]</f>
        <v>3659.6</v>
      </c>
      <c r="T572" s="230">
        <v>44874</v>
      </c>
      <c r="U572" s="220">
        <v>44939</v>
      </c>
      <c r="V572" s="221">
        <v>44931</v>
      </c>
      <c r="W572" s="214" t="s">
        <v>1537</v>
      </c>
      <c r="X572" s="214" t="s">
        <v>16</v>
      </c>
      <c r="Y572" s="220">
        <v>44872</v>
      </c>
      <c r="Z572" s="222" t="s">
        <v>2087</v>
      </c>
      <c r="AA572" s="224" t="s">
        <v>2076</v>
      </c>
      <c r="AB572" s="251" t="s">
        <v>110</v>
      </c>
      <c r="AC572" s="295"/>
    </row>
    <row r="573" spans="1:29" ht="15.5" x14ac:dyDescent="0.35">
      <c r="A573" s="211" t="s">
        <v>110</v>
      </c>
      <c r="B573" s="214" t="s">
        <v>3200</v>
      </c>
      <c r="C573" s="211" t="s">
        <v>110</v>
      </c>
      <c r="D573" s="215">
        <v>3712</v>
      </c>
      <c r="E573" s="215">
        <v>7894</v>
      </c>
      <c r="F573" s="211" t="s">
        <v>2879</v>
      </c>
      <c r="G573" s="211" t="s">
        <v>2902</v>
      </c>
      <c r="H573" s="216" t="s">
        <v>1650</v>
      </c>
      <c r="I573" s="217" t="s">
        <v>1651</v>
      </c>
      <c r="J573" s="211" t="s">
        <v>1652</v>
      </c>
      <c r="K573" s="211" t="s">
        <v>1153</v>
      </c>
      <c r="L573" s="211" t="s">
        <v>1153</v>
      </c>
      <c r="M573" s="211" t="s">
        <v>797</v>
      </c>
      <c r="N573" s="211" t="s">
        <v>642</v>
      </c>
      <c r="O573" s="211">
        <v>20</v>
      </c>
      <c r="P573" s="211" t="s">
        <v>37</v>
      </c>
      <c r="Q573" s="213" t="s">
        <v>108</v>
      </c>
      <c r="R573" s="218">
        <v>9650000</v>
      </c>
      <c r="S573" s="218">
        <f>R573*O573</f>
        <v>193000000</v>
      </c>
      <c r="T573" s="219">
        <v>44882</v>
      </c>
      <c r="U573" s="220">
        <v>44927</v>
      </c>
      <c r="V573" s="221">
        <v>44960</v>
      </c>
      <c r="W573" s="211" t="s">
        <v>2813</v>
      </c>
      <c r="X573" s="211" t="s">
        <v>16</v>
      </c>
      <c r="Y573" s="220">
        <v>44874</v>
      </c>
      <c r="Z573" s="216"/>
      <c r="AA573" s="216" t="s">
        <v>2188</v>
      </c>
      <c r="AB573" s="227">
        <v>44880</v>
      </c>
      <c r="AC573" s="298" t="s">
        <v>2825</v>
      </c>
    </row>
    <row r="574" spans="1:29" ht="15.5" x14ac:dyDescent="0.35">
      <c r="A574" s="211" t="s">
        <v>110</v>
      </c>
      <c r="B574" s="214" t="s">
        <v>2972</v>
      </c>
      <c r="C574" s="211" t="s">
        <v>110</v>
      </c>
      <c r="D574" s="215">
        <v>3824</v>
      </c>
      <c r="E574" s="215">
        <v>8224</v>
      </c>
      <c r="F574" s="211" t="s">
        <v>110</v>
      </c>
      <c r="G574" s="211" t="s">
        <v>110</v>
      </c>
      <c r="H574" s="216" t="s">
        <v>2917</v>
      </c>
      <c r="I574" s="217" t="s">
        <v>2916</v>
      </c>
      <c r="J574" s="211" t="s">
        <v>2945</v>
      </c>
      <c r="K574" s="211" t="s">
        <v>2691</v>
      </c>
      <c r="L574" s="211" t="s">
        <v>2691</v>
      </c>
      <c r="M574" s="211" t="s">
        <v>796</v>
      </c>
      <c r="N574" s="211" t="s">
        <v>642</v>
      </c>
      <c r="O574" s="211">
        <v>1</v>
      </c>
      <c r="P574" s="211" t="s">
        <v>276</v>
      </c>
      <c r="Q574" s="213" t="s">
        <v>108</v>
      </c>
      <c r="R574" s="218">
        <v>1000000</v>
      </c>
      <c r="S574" s="218">
        <f>Product_Name[[#This Row],[Đơn giá
Unit Price]]*Product_Name[[#This Row],[Số lượng
Quantity]]</f>
        <v>1000000</v>
      </c>
      <c r="T574" s="219">
        <v>44896</v>
      </c>
      <c r="U574" s="220">
        <v>44903</v>
      </c>
      <c r="V574" s="221">
        <v>44907</v>
      </c>
      <c r="W574" s="211" t="s">
        <v>2814</v>
      </c>
      <c r="X574" s="211" t="s">
        <v>16</v>
      </c>
      <c r="Y574" s="220" t="s">
        <v>2920</v>
      </c>
      <c r="Z574" s="222"/>
      <c r="AA574" s="216" t="s">
        <v>2181</v>
      </c>
      <c r="AB574" s="227"/>
      <c r="AC574" s="295"/>
    </row>
    <row r="575" spans="1:29" ht="15.5" x14ac:dyDescent="0.35">
      <c r="A575" s="211" t="s">
        <v>110</v>
      </c>
      <c r="B575" s="214" t="s">
        <v>2972</v>
      </c>
      <c r="C575" s="211" t="s">
        <v>110</v>
      </c>
      <c r="D575" s="215">
        <v>3824</v>
      </c>
      <c r="E575" s="215">
        <v>8224</v>
      </c>
      <c r="F575" s="211" t="s">
        <v>110</v>
      </c>
      <c r="G575" s="211" t="s">
        <v>110</v>
      </c>
      <c r="H575" s="216" t="s">
        <v>2876</v>
      </c>
      <c r="I575" s="217" t="s">
        <v>2877</v>
      </c>
      <c r="J575" s="211" t="s">
        <v>2875</v>
      </c>
      <c r="K575" s="211" t="s">
        <v>2691</v>
      </c>
      <c r="L575" s="211" t="s">
        <v>2691</v>
      </c>
      <c r="M575" s="211" t="s">
        <v>796</v>
      </c>
      <c r="N575" s="211" t="s">
        <v>642</v>
      </c>
      <c r="O575" s="211">
        <v>3</v>
      </c>
      <c r="P575" s="211" t="s">
        <v>276</v>
      </c>
      <c r="Q575" s="213" t="s">
        <v>108</v>
      </c>
      <c r="R575" s="218">
        <v>80000</v>
      </c>
      <c r="S575" s="218">
        <f>Product_Name[[#This Row],[Đơn giá
Unit Price]]*Product_Name[[#This Row],[Số lượng
Quantity]]</f>
        <v>240000</v>
      </c>
      <c r="T575" s="219">
        <v>44896</v>
      </c>
      <c r="U575" s="220">
        <v>44903</v>
      </c>
      <c r="V575" s="221">
        <v>44907</v>
      </c>
      <c r="W575" s="211" t="s">
        <v>2814</v>
      </c>
      <c r="X575" s="211" t="s">
        <v>16</v>
      </c>
      <c r="Y575" s="220" t="s">
        <v>2920</v>
      </c>
      <c r="Z575" s="222"/>
      <c r="AA575" s="216" t="s">
        <v>2181</v>
      </c>
      <c r="AB575" s="227"/>
      <c r="AC575" s="295"/>
    </row>
    <row r="576" spans="1:29" ht="15.5" x14ac:dyDescent="0.35">
      <c r="A576" s="211" t="s">
        <v>110</v>
      </c>
      <c r="B576" s="214" t="s">
        <v>2972</v>
      </c>
      <c r="C576" s="211" t="s">
        <v>110</v>
      </c>
      <c r="D576" s="215">
        <v>3824</v>
      </c>
      <c r="E576" s="215">
        <v>8224</v>
      </c>
      <c r="F576" s="211" t="s">
        <v>110</v>
      </c>
      <c r="G576" s="211" t="s">
        <v>110</v>
      </c>
      <c r="H576" s="216" t="s">
        <v>2919</v>
      </c>
      <c r="I576" s="217" t="s">
        <v>2918</v>
      </c>
      <c r="J576" s="211">
        <v>1809635</v>
      </c>
      <c r="K576" s="211" t="s">
        <v>2691</v>
      </c>
      <c r="L576" s="211" t="s">
        <v>2691</v>
      </c>
      <c r="M576" s="211" t="s">
        <v>796</v>
      </c>
      <c r="N576" s="211" t="s">
        <v>642</v>
      </c>
      <c r="O576" s="211">
        <v>20</v>
      </c>
      <c r="P576" s="211" t="s">
        <v>276</v>
      </c>
      <c r="Q576" s="213" t="s">
        <v>108</v>
      </c>
      <c r="R576" s="218">
        <v>8000</v>
      </c>
      <c r="S576" s="218">
        <f>Product_Name[[#This Row],[Đơn giá
Unit Price]]*Product_Name[[#This Row],[Số lượng
Quantity]]</f>
        <v>160000</v>
      </c>
      <c r="T576" s="219">
        <v>44896</v>
      </c>
      <c r="U576" s="220">
        <v>44903</v>
      </c>
      <c r="V576" s="221">
        <v>44907</v>
      </c>
      <c r="W576" s="211" t="s">
        <v>2814</v>
      </c>
      <c r="X576" s="211" t="s">
        <v>16</v>
      </c>
      <c r="Y576" s="220" t="s">
        <v>2920</v>
      </c>
      <c r="Z576" s="222"/>
      <c r="AA576" s="216" t="s">
        <v>2181</v>
      </c>
      <c r="AB576" s="227"/>
      <c r="AC576" s="295"/>
    </row>
    <row r="577" spans="1:29" ht="15.5" x14ac:dyDescent="0.35">
      <c r="A577" s="211">
        <v>8032</v>
      </c>
      <c r="B577" s="214" t="s">
        <v>2948</v>
      </c>
      <c r="C577" s="211">
        <v>10784</v>
      </c>
      <c r="D577" s="215" t="s">
        <v>110</v>
      </c>
      <c r="E577" s="215" t="s">
        <v>110</v>
      </c>
      <c r="F577" s="211" t="s">
        <v>110</v>
      </c>
      <c r="G577" s="211" t="s">
        <v>110</v>
      </c>
      <c r="H577" s="216" t="s">
        <v>2921</v>
      </c>
      <c r="I577" s="217" t="s">
        <v>2922</v>
      </c>
      <c r="J577" s="211" t="s">
        <v>2926</v>
      </c>
      <c r="K577" s="211" t="s">
        <v>326</v>
      </c>
      <c r="L577" s="211" t="s">
        <v>326</v>
      </c>
      <c r="M577" s="211" t="s">
        <v>327</v>
      </c>
      <c r="N577" s="211" t="s">
        <v>14</v>
      </c>
      <c r="O577" s="211">
        <v>1</v>
      </c>
      <c r="P577" s="211" t="s">
        <v>105</v>
      </c>
      <c r="Q577" s="213" t="s">
        <v>108</v>
      </c>
      <c r="R577" s="218">
        <v>1280000</v>
      </c>
      <c r="S577" s="218">
        <f>Product_Name[[#This Row],[Đơn giá
Unit Price]]*Product_Name[[#This Row],[Số lượng
Quantity]]</f>
        <v>1280000</v>
      </c>
      <c r="T577" s="219">
        <v>44888</v>
      </c>
      <c r="U577" s="220">
        <v>44918</v>
      </c>
      <c r="V577" s="221">
        <v>44897</v>
      </c>
      <c r="W577" s="214" t="s">
        <v>1537</v>
      </c>
      <c r="X577" s="211" t="s">
        <v>53</v>
      </c>
      <c r="Y577" s="220">
        <v>44886</v>
      </c>
      <c r="Z577" s="222" t="s">
        <v>2087</v>
      </c>
      <c r="AA577" s="216" t="s">
        <v>2181</v>
      </c>
      <c r="AB577" s="227"/>
      <c r="AC577" s="295"/>
    </row>
    <row r="578" spans="1:29" ht="15.5" x14ac:dyDescent="0.35">
      <c r="A578" s="211">
        <v>8014</v>
      </c>
      <c r="B578" s="214" t="s">
        <v>2987</v>
      </c>
      <c r="C578" s="211">
        <v>10782</v>
      </c>
      <c r="D578" s="215" t="s">
        <v>110</v>
      </c>
      <c r="E578" s="215" t="s">
        <v>110</v>
      </c>
      <c r="F578" s="211" t="s">
        <v>110</v>
      </c>
      <c r="G578" s="211" t="s">
        <v>110</v>
      </c>
      <c r="H578" s="216" t="s">
        <v>1669</v>
      </c>
      <c r="I578" s="217" t="s">
        <v>1666</v>
      </c>
      <c r="J578" s="211" t="s">
        <v>1682</v>
      </c>
      <c r="K578" s="211" t="s">
        <v>1751</v>
      </c>
      <c r="L578" s="211" t="s">
        <v>1751</v>
      </c>
      <c r="M578" s="211" t="s">
        <v>1282</v>
      </c>
      <c r="N578" s="211" t="s">
        <v>14</v>
      </c>
      <c r="O578" s="211">
        <v>50</v>
      </c>
      <c r="P578" s="211" t="s">
        <v>964</v>
      </c>
      <c r="Q578" s="213" t="s">
        <v>108</v>
      </c>
      <c r="R578" s="218">
        <v>1975000</v>
      </c>
      <c r="S578" s="218">
        <f>R578*O578</f>
        <v>98750000</v>
      </c>
      <c r="T578" s="219">
        <v>44887</v>
      </c>
      <c r="U578" s="220">
        <v>44896</v>
      </c>
      <c r="V578" s="221">
        <v>44911</v>
      </c>
      <c r="W578" s="211" t="s">
        <v>2814</v>
      </c>
      <c r="X578" s="211" t="s">
        <v>16</v>
      </c>
      <c r="Y578" s="220">
        <v>44887</v>
      </c>
      <c r="Z578" s="222" t="s">
        <v>2087</v>
      </c>
      <c r="AA578" s="216" t="s">
        <v>2155</v>
      </c>
      <c r="AB578" s="227" t="s">
        <v>110</v>
      </c>
      <c r="AC578" s="295"/>
    </row>
    <row r="579" spans="1:29" ht="15.5" x14ac:dyDescent="0.35">
      <c r="A579" s="211">
        <v>8012</v>
      </c>
      <c r="B579" s="214" t="s">
        <v>3014</v>
      </c>
      <c r="C579" s="211">
        <v>10790</v>
      </c>
      <c r="D579" s="215" t="s">
        <v>110</v>
      </c>
      <c r="E579" s="215" t="s">
        <v>110</v>
      </c>
      <c r="F579" s="211" t="s">
        <v>110</v>
      </c>
      <c r="G579" s="211" t="s">
        <v>110</v>
      </c>
      <c r="H579" s="216" t="s">
        <v>1671</v>
      </c>
      <c r="I579" s="217" t="s">
        <v>1667</v>
      </c>
      <c r="J579" s="211" t="s">
        <v>1868</v>
      </c>
      <c r="K579" s="211" t="s">
        <v>1100</v>
      </c>
      <c r="L579" s="211" t="s">
        <v>1100</v>
      </c>
      <c r="M579" s="211" t="s">
        <v>1282</v>
      </c>
      <c r="N579" s="211" t="s">
        <v>14</v>
      </c>
      <c r="O579" s="211">
        <v>5000</v>
      </c>
      <c r="P579" s="211" t="s">
        <v>37</v>
      </c>
      <c r="Q579" s="213" t="s">
        <v>108</v>
      </c>
      <c r="R579" s="218">
        <v>5300</v>
      </c>
      <c r="S579" s="218">
        <f>R579*O579</f>
        <v>26500000</v>
      </c>
      <c r="T579" s="219">
        <v>44888</v>
      </c>
      <c r="U579" s="220">
        <v>44902</v>
      </c>
      <c r="V579" s="221">
        <v>44915</v>
      </c>
      <c r="W579" s="211" t="s">
        <v>2814</v>
      </c>
      <c r="X579" s="211" t="s">
        <v>16</v>
      </c>
      <c r="Y579" s="220">
        <v>44887</v>
      </c>
      <c r="Z579" s="222" t="s">
        <v>2087</v>
      </c>
      <c r="AA579" s="216" t="s">
        <v>2155</v>
      </c>
      <c r="AB579" s="227" t="s">
        <v>110</v>
      </c>
      <c r="AC579" s="295"/>
    </row>
    <row r="580" spans="1:29" ht="15.5" x14ac:dyDescent="0.35">
      <c r="A580" s="211">
        <v>8012</v>
      </c>
      <c r="B580" s="214" t="s">
        <v>3014</v>
      </c>
      <c r="C580" s="211">
        <v>10790</v>
      </c>
      <c r="D580" s="215" t="s">
        <v>110</v>
      </c>
      <c r="E580" s="215" t="s">
        <v>110</v>
      </c>
      <c r="F580" s="211" t="s">
        <v>110</v>
      </c>
      <c r="G580" s="211" t="s">
        <v>110</v>
      </c>
      <c r="H580" s="216" t="s">
        <v>1672</v>
      </c>
      <c r="I580" s="217" t="s">
        <v>1668</v>
      </c>
      <c r="J580" s="211" t="s">
        <v>1869</v>
      </c>
      <c r="K580" s="211" t="s">
        <v>1100</v>
      </c>
      <c r="L580" s="211" t="s">
        <v>1100</v>
      </c>
      <c r="M580" s="211" t="s">
        <v>1282</v>
      </c>
      <c r="N580" s="211" t="s">
        <v>14</v>
      </c>
      <c r="O580" s="211">
        <v>5000</v>
      </c>
      <c r="P580" s="211" t="s">
        <v>37</v>
      </c>
      <c r="Q580" s="213" t="s">
        <v>108</v>
      </c>
      <c r="R580" s="218">
        <v>7300</v>
      </c>
      <c r="S580" s="218">
        <f>R580*O580</f>
        <v>36500000</v>
      </c>
      <c r="T580" s="219">
        <v>44888</v>
      </c>
      <c r="U580" s="220">
        <v>44902</v>
      </c>
      <c r="V580" s="221">
        <v>44915</v>
      </c>
      <c r="W580" s="211" t="s">
        <v>2814</v>
      </c>
      <c r="X580" s="211" t="s">
        <v>16</v>
      </c>
      <c r="Y580" s="220">
        <v>44887</v>
      </c>
      <c r="Z580" s="222" t="s">
        <v>2087</v>
      </c>
      <c r="AA580" s="216" t="s">
        <v>2155</v>
      </c>
      <c r="AB580" s="227" t="s">
        <v>110</v>
      </c>
      <c r="AC580" s="295"/>
    </row>
    <row r="581" spans="1:29" ht="15.5" x14ac:dyDescent="0.35">
      <c r="A581" s="211">
        <v>8013</v>
      </c>
      <c r="B581" s="214" t="s">
        <v>2975</v>
      </c>
      <c r="C581" s="211">
        <v>10783</v>
      </c>
      <c r="D581" s="215" t="s">
        <v>110</v>
      </c>
      <c r="E581" s="215" t="s">
        <v>110</v>
      </c>
      <c r="F581" s="211" t="s">
        <v>110</v>
      </c>
      <c r="G581" s="211" t="s">
        <v>110</v>
      </c>
      <c r="H581" s="216" t="s">
        <v>2206</v>
      </c>
      <c r="I581" s="217" t="s">
        <v>2207</v>
      </c>
      <c r="J581" s="211" t="s">
        <v>2200</v>
      </c>
      <c r="K581" s="211" t="s">
        <v>2265</v>
      </c>
      <c r="L581" s="211" t="s">
        <v>2265</v>
      </c>
      <c r="M581" s="211" t="s">
        <v>1282</v>
      </c>
      <c r="N581" s="211" t="s">
        <v>14</v>
      </c>
      <c r="O581" s="211">
        <v>200</v>
      </c>
      <c r="P581" s="211" t="s">
        <v>276</v>
      </c>
      <c r="Q581" s="226" t="s">
        <v>108</v>
      </c>
      <c r="R581" s="218">
        <v>795000</v>
      </c>
      <c r="S581" s="218">
        <f>Product_Name[[#This Row],[Số lượng
Quantity]]*Product_Name[[#This Row],[Đơn giá
Unit Price]]</f>
        <v>159000000</v>
      </c>
      <c r="T581" s="219">
        <v>44888</v>
      </c>
      <c r="U581" s="220">
        <v>44896</v>
      </c>
      <c r="V581" s="221">
        <v>44907</v>
      </c>
      <c r="W581" s="211" t="s">
        <v>2814</v>
      </c>
      <c r="X581" s="211" t="s">
        <v>55</v>
      </c>
      <c r="Y581" s="220">
        <v>44887</v>
      </c>
      <c r="Z581" s="222" t="s">
        <v>2087</v>
      </c>
      <c r="AA581" s="216" t="s">
        <v>2155</v>
      </c>
      <c r="AB581" s="227" t="s">
        <v>110</v>
      </c>
      <c r="AC581" s="295"/>
    </row>
    <row r="582" spans="1:29" ht="15.5" x14ac:dyDescent="0.35">
      <c r="A582" s="211">
        <v>8013</v>
      </c>
      <c r="B582" s="214" t="s">
        <v>2975</v>
      </c>
      <c r="C582" s="211">
        <v>10783</v>
      </c>
      <c r="D582" s="215" t="s">
        <v>110</v>
      </c>
      <c r="E582" s="215" t="s">
        <v>110</v>
      </c>
      <c r="F582" s="211" t="s">
        <v>110</v>
      </c>
      <c r="G582" s="211" t="s">
        <v>110</v>
      </c>
      <c r="H582" s="216" t="s">
        <v>2208</v>
      </c>
      <c r="I582" s="217" t="s">
        <v>2209</v>
      </c>
      <c r="J582" s="211" t="s">
        <v>2201</v>
      </c>
      <c r="K582" s="211" t="s">
        <v>2265</v>
      </c>
      <c r="L582" s="211" t="s">
        <v>2265</v>
      </c>
      <c r="M582" s="211" t="s">
        <v>1282</v>
      </c>
      <c r="N582" s="211" t="s">
        <v>14</v>
      </c>
      <c r="O582" s="211">
        <v>200</v>
      </c>
      <c r="P582" s="211" t="s">
        <v>276</v>
      </c>
      <c r="Q582" s="226" t="s">
        <v>108</v>
      </c>
      <c r="R582" s="218">
        <v>245000</v>
      </c>
      <c r="S582" s="218">
        <f>Product_Name[[#This Row],[Số lượng
Quantity]]*Product_Name[[#This Row],[Đơn giá
Unit Price]]</f>
        <v>49000000</v>
      </c>
      <c r="T582" s="219">
        <v>44888</v>
      </c>
      <c r="U582" s="220">
        <v>44896</v>
      </c>
      <c r="V582" s="221">
        <v>44907</v>
      </c>
      <c r="W582" s="211" t="s">
        <v>2814</v>
      </c>
      <c r="X582" s="211" t="s">
        <v>55</v>
      </c>
      <c r="Y582" s="220">
        <v>44887</v>
      </c>
      <c r="Z582" s="222" t="s">
        <v>2087</v>
      </c>
      <c r="AA582" s="216" t="s">
        <v>2155</v>
      </c>
      <c r="AB582" s="227" t="s">
        <v>110</v>
      </c>
      <c r="AC582" s="295"/>
    </row>
    <row r="583" spans="1:29" ht="15.5" x14ac:dyDescent="0.35">
      <c r="A583" s="211">
        <v>8013</v>
      </c>
      <c r="B583" s="214" t="s">
        <v>2975</v>
      </c>
      <c r="C583" s="211">
        <v>10783</v>
      </c>
      <c r="D583" s="215" t="s">
        <v>110</v>
      </c>
      <c r="E583" s="215" t="s">
        <v>110</v>
      </c>
      <c r="F583" s="211" t="s">
        <v>110</v>
      </c>
      <c r="G583" s="211" t="s">
        <v>110</v>
      </c>
      <c r="H583" s="216" t="s">
        <v>2214</v>
      </c>
      <c r="I583" s="217" t="s">
        <v>2215</v>
      </c>
      <c r="J583" s="211" t="s">
        <v>2204</v>
      </c>
      <c r="K583" s="211" t="s">
        <v>2265</v>
      </c>
      <c r="L583" s="211" t="s">
        <v>2265</v>
      </c>
      <c r="M583" s="211" t="s">
        <v>1282</v>
      </c>
      <c r="N583" s="211" t="s">
        <v>14</v>
      </c>
      <c r="O583" s="211">
        <v>1000</v>
      </c>
      <c r="P583" s="211" t="s">
        <v>276</v>
      </c>
      <c r="Q583" s="226" t="s">
        <v>108</v>
      </c>
      <c r="R583" s="218">
        <v>55000</v>
      </c>
      <c r="S583" s="218">
        <f>Product_Name[[#This Row],[Số lượng
Quantity]]*Product_Name[[#This Row],[Đơn giá
Unit Price]]</f>
        <v>55000000</v>
      </c>
      <c r="T583" s="219">
        <v>44888</v>
      </c>
      <c r="U583" s="220">
        <v>44896</v>
      </c>
      <c r="V583" s="221">
        <v>44907</v>
      </c>
      <c r="W583" s="211" t="s">
        <v>2814</v>
      </c>
      <c r="X583" s="211" t="s">
        <v>55</v>
      </c>
      <c r="Y583" s="220">
        <v>44887</v>
      </c>
      <c r="Z583" s="222" t="s">
        <v>2087</v>
      </c>
      <c r="AA583" s="216" t="s">
        <v>2155</v>
      </c>
      <c r="AB583" s="227" t="s">
        <v>110</v>
      </c>
      <c r="AC583" s="295"/>
    </row>
    <row r="584" spans="1:29" ht="15.5" x14ac:dyDescent="0.35">
      <c r="A584" s="211">
        <v>8013</v>
      </c>
      <c r="B584" s="214" t="s">
        <v>2975</v>
      </c>
      <c r="C584" s="211">
        <v>10783</v>
      </c>
      <c r="D584" s="215" t="s">
        <v>110</v>
      </c>
      <c r="E584" s="215" t="s">
        <v>110</v>
      </c>
      <c r="F584" s="211" t="s">
        <v>110</v>
      </c>
      <c r="G584" s="211" t="s">
        <v>110</v>
      </c>
      <c r="H584" s="216" t="s">
        <v>2216</v>
      </c>
      <c r="I584" s="217" t="s">
        <v>2217</v>
      </c>
      <c r="J584" s="211" t="s">
        <v>2205</v>
      </c>
      <c r="K584" s="211" t="s">
        <v>2265</v>
      </c>
      <c r="L584" s="211" t="s">
        <v>2265</v>
      </c>
      <c r="M584" s="211" t="s">
        <v>1282</v>
      </c>
      <c r="N584" s="211" t="s">
        <v>14</v>
      </c>
      <c r="O584" s="211">
        <v>1250</v>
      </c>
      <c r="P584" s="211" t="s">
        <v>276</v>
      </c>
      <c r="Q584" s="226" t="s">
        <v>108</v>
      </c>
      <c r="R584" s="218">
        <v>22000</v>
      </c>
      <c r="S584" s="218">
        <f>Product_Name[[#This Row],[Số lượng
Quantity]]*Product_Name[[#This Row],[Đơn giá
Unit Price]]</f>
        <v>27500000</v>
      </c>
      <c r="T584" s="219">
        <v>44888</v>
      </c>
      <c r="U584" s="220">
        <v>44896</v>
      </c>
      <c r="V584" s="221">
        <v>44907</v>
      </c>
      <c r="W584" s="211" t="s">
        <v>2814</v>
      </c>
      <c r="X584" s="211" t="s">
        <v>55</v>
      </c>
      <c r="Y584" s="220">
        <v>44887</v>
      </c>
      <c r="Z584" s="222" t="s">
        <v>2087</v>
      </c>
      <c r="AA584" s="216" t="s">
        <v>2155</v>
      </c>
      <c r="AB584" s="227" t="s">
        <v>110</v>
      </c>
      <c r="AC584" s="295"/>
    </row>
    <row r="585" spans="1:29" ht="15.5" x14ac:dyDescent="0.35">
      <c r="A585" s="211">
        <v>8013</v>
      </c>
      <c r="B585" s="214" t="s">
        <v>2965</v>
      </c>
      <c r="C585" s="211">
        <v>10783</v>
      </c>
      <c r="D585" s="215" t="s">
        <v>110</v>
      </c>
      <c r="E585" s="215" t="s">
        <v>110</v>
      </c>
      <c r="F585" s="211" t="s">
        <v>110</v>
      </c>
      <c r="G585" s="211" t="s">
        <v>110</v>
      </c>
      <c r="H585" s="216" t="s">
        <v>2302</v>
      </c>
      <c r="I585" s="217" t="s">
        <v>2305</v>
      </c>
      <c r="J585" s="211" t="s">
        <v>2298</v>
      </c>
      <c r="K585" s="211" t="s">
        <v>2265</v>
      </c>
      <c r="L585" s="211" t="s">
        <v>2265</v>
      </c>
      <c r="M585" s="211" t="s">
        <v>1282</v>
      </c>
      <c r="N585" s="211" t="s">
        <v>14</v>
      </c>
      <c r="O585" s="211">
        <v>80</v>
      </c>
      <c r="P585" s="211" t="s">
        <v>276</v>
      </c>
      <c r="Q585" s="226" t="s">
        <v>108</v>
      </c>
      <c r="R585" s="218">
        <v>1200000</v>
      </c>
      <c r="S585" s="218">
        <f>Product_Name[[#This Row],[Số lượng
Quantity]]*Product_Name[[#This Row],[Đơn giá
Unit Price]]</f>
        <v>96000000</v>
      </c>
      <c r="T585" s="219">
        <v>44888</v>
      </c>
      <c r="U585" s="220">
        <v>44896</v>
      </c>
      <c r="V585" s="221">
        <v>44902</v>
      </c>
      <c r="W585" s="211" t="s">
        <v>2814</v>
      </c>
      <c r="X585" s="211" t="s">
        <v>55</v>
      </c>
      <c r="Y585" s="220">
        <v>44887</v>
      </c>
      <c r="Z585" s="222" t="s">
        <v>2087</v>
      </c>
      <c r="AA585" s="216" t="s">
        <v>2155</v>
      </c>
      <c r="AB585" s="227" t="s">
        <v>110</v>
      </c>
    </row>
    <row r="586" spans="1:29" ht="15.5" x14ac:dyDescent="0.35">
      <c r="A586" s="211">
        <v>8013</v>
      </c>
      <c r="B586" s="214" t="s">
        <v>2965</v>
      </c>
      <c r="C586" s="211">
        <v>10783</v>
      </c>
      <c r="D586" s="215" t="s">
        <v>110</v>
      </c>
      <c r="E586" s="215" t="s">
        <v>110</v>
      </c>
      <c r="F586" s="211" t="s">
        <v>110</v>
      </c>
      <c r="G586" s="211" t="s">
        <v>110</v>
      </c>
      <c r="H586" s="216" t="s">
        <v>2303</v>
      </c>
      <c r="I586" s="217" t="s">
        <v>2306</v>
      </c>
      <c r="J586" s="211" t="s">
        <v>2299</v>
      </c>
      <c r="K586" s="211" t="s">
        <v>2265</v>
      </c>
      <c r="L586" s="211" t="s">
        <v>2265</v>
      </c>
      <c r="M586" s="211" t="s">
        <v>1282</v>
      </c>
      <c r="N586" s="211" t="s">
        <v>14</v>
      </c>
      <c r="O586" s="211">
        <v>80</v>
      </c>
      <c r="P586" s="211" t="s">
        <v>276</v>
      </c>
      <c r="Q586" s="226" t="s">
        <v>108</v>
      </c>
      <c r="R586" s="218">
        <v>350000</v>
      </c>
      <c r="S586" s="218">
        <f>Product_Name[[#This Row],[Số lượng
Quantity]]*Product_Name[[#This Row],[Đơn giá
Unit Price]]</f>
        <v>28000000</v>
      </c>
      <c r="T586" s="219">
        <v>44888</v>
      </c>
      <c r="U586" s="220">
        <v>44896</v>
      </c>
      <c r="V586" s="221">
        <v>44902</v>
      </c>
      <c r="W586" s="211" t="s">
        <v>2814</v>
      </c>
      <c r="X586" s="211" t="s">
        <v>55</v>
      </c>
      <c r="Y586" s="220">
        <v>44887</v>
      </c>
      <c r="Z586" s="222" t="s">
        <v>2087</v>
      </c>
      <c r="AA586" s="216" t="s">
        <v>2155</v>
      </c>
      <c r="AB586" s="227" t="s">
        <v>110</v>
      </c>
    </row>
    <row r="587" spans="1:29" ht="15.5" x14ac:dyDescent="0.35">
      <c r="A587" s="211">
        <v>8013</v>
      </c>
      <c r="B587" s="214" t="s">
        <v>2965</v>
      </c>
      <c r="C587" s="211">
        <v>10783</v>
      </c>
      <c r="D587" s="215" t="s">
        <v>110</v>
      </c>
      <c r="E587" s="215" t="s">
        <v>110</v>
      </c>
      <c r="F587" s="211" t="s">
        <v>110</v>
      </c>
      <c r="G587" s="211" t="s">
        <v>110</v>
      </c>
      <c r="H587" s="216" t="s">
        <v>2382</v>
      </c>
      <c r="I587" s="217" t="s">
        <v>2307</v>
      </c>
      <c r="J587" s="211" t="s">
        <v>2300</v>
      </c>
      <c r="K587" s="211" t="s">
        <v>2265</v>
      </c>
      <c r="L587" s="211" t="s">
        <v>2265</v>
      </c>
      <c r="M587" s="211" t="s">
        <v>1282</v>
      </c>
      <c r="N587" s="211" t="s">
        <v>14</v>
      </c>
      <c r="O587" s="211">
        <v>500</v>
      </c>
      <c r="P587" s="211" t="s">
        <v>276</v>
      </c>
      <c r="Q587" s="226" t="s">
        <v>108</v>
      </c>
      <c r="R587" s="218">
        <v>62500</v>
      </c>
      <c r="S587" s="218">
        <f>Product_Name[[#This Row],[Số lượng
Quantity]]*Product_Name[[#This Row],[Đơn giá
Unit Price]]</f>
        <v>31250000</v>
      </c>
      <c r="T587" s="219">
        <v>44888</v>
      </c>
      <c r="U587" s="220">
        <v>44896</v>
      </c>
      <c r="V587" s="221">
        <v>44902</v>
      </c>
      <c r="W587" s="211" t="s">
        <v>2814</v>
      </c>
      <c r="X587" s="211" t="s">
        <v>55</v>
      </c>
      <c r="Y587" s="220">
        <v>44887</v>
      </c>
      <c r="Z587" s="222" t="s">
        <v>2087</v>
      </c>
      <c r="AA587" s="216" t="s">
        <v>2155</v>
      </c>
      <c r="AB587" s="227" t="s">
        <v>110</v>
      </c>
    </row>
    <row r="588" spans="1:29" ht="15.5" x14ac:dyDescent="0.35">
      <c r="A588" s="211">
        <v>8013</v>
      </c>
      <c r="B588" s="214" t="s">
        <v>2965</v>
      </c>
      <c r="C588" s="211">
        <v>10783</v>
      </c>
      <c r="D588" s="215" t="s">
        <v>110</v>
      </c>
      <c r="E588" s="215" t="s">
        <v>110</v>
      </c>
      <c r="F588" s="211" t="s">
        <v>110</v>
      </c>
      <c r="G588" s="211" t="s">
        <v>110</v>
      </c>
      <c r="H588" s="216" t="s">
        <v>2304</v>
      </c>
      <c r="I588" s="217" t="s">
        <v>2308</v>
      </c>
      <c r="J588" s="211" t="s">
        <v>2301</v>
      </c>
      <c r="K588" s="211" t="s">
        <v>2265</v>
      </c>
      <c r="L588" s="211" t="s">
        <v>2265</v>
      </c>
      <c r="M588" s="211" t="s">
        <v>1282</v>
      </c>
      <c r="N588" s="211" t="s">
        <v>14</v>
      </c>
      <c r="O588" s="211">
        <v>420</v>
      </c>
      <c r="P588" s="211" t="s">
        <v>276</v>
      </c>
      <c r="Q588" s="226" t="s">
        <v>108</v>
      </c>
      <c r="R588" s="218">
        <v>70000</v>
      </c>
      <c r="S588" s="218">
        <f>Product_Name[[#This Row],[Số lượng
Quantity]]*Product_Name[[#This Row],[Đơn giá
Unit Price]]</f>
        <v>29400000</v>
      </c>
      <c r="T588" s="219">
        <v>44888</v>
      </c>
      <c r="U588" s="220">
        <v>44896</v>
      </c>
      <c r="V588" s="221">
        <v>44902</v>
      </c>
      <c r="W588" s="211" t="s">
        <v>2814</v>
      </c>
      <c r="X588" s="211" t="s">
        <v>55</v>
      </c>
      <c r="Y588" s="220">
        <v>44887</v>
      </c>
      <c r="Z588" s="222" t="s">
        <v>2087</v>
      </c>
      <c r="AA588" s="216" t="s">
        <v>2155</v>
      </c>
      <c r="AB588" s="227" t="s">
        <v>110</v>
      </c>
    </row>
    <row r="589" spans="1:29" ht="15.5" x14ac:dyDescent="0.35">
      <c r="A589" s="211">
        <v>8015</v>
      </c>
      <c r="B589" s="214" t="s">
        <v>2976</v>
      </c>
      <c r="C589" s="211">
        <v>10781</v>
      </c>
      <c r="D589" s="215" t="s">
        <v>110</v>
      </c>
      <c r="E589" s="215" t="s">
        <v>110</v>
      </c>
      <c r="F589" s="211" t="s">
        <v>110</v>
      </c>
      <c r="G589" s="211" t="s">
        <v>110</v>
      </c>
      <c r="H589" s="216" t="s">
        <v>2362</v>
      </c>
      <c r="I589" s="217" t="s">
        <v>2361</v>
      </c>
      <c r="J589" s="211" t="s">
        <v>2363</v>
      </c>
      <c r="K589" s="211" t="s">
        <v>1150</v>
      </c>
      <c r="L589" s="211" t="s">
        <v>218</v>
      </c>
      <c r="M589" s="211" t="s">
        <v>123</v>
      </c>
      <c r="N589" s="211" t="s">
        <v>14</v>
      </c>
      <c r="O589" s="211">
        <v>250</v>
      </c>
      <c r="P589" s="211" t="s">
        <v>47</v>
      </c>
      <c r="Q589" s="226" t="s">
        <v>108</v>
      </c>
      <c r="R589" s="218">
        <v>42000</v>
      </c>
      <c r="S589" s="218">
        <f>R589*O589</f>
        <v>10500000</v>
      </c>
      <c r="T589" s="219">
        <v>44887</v>
      </c>
      <c r="U589" s="220">
        <v>44896</v>
      </c>
      <c r="V589" s="221">
        <v>44908</v>
      </c>
      <c r="W589" s="211" t="s">
        <v>2813</v>
      </c>
      <c r="X589" s="211" t="s">
        <v>16</v>
      </c>
      <c r="Y589" s="220">
        <v>44887</v>
      </c>
      <c r="Z589" s="222" t="s">
        <v>2087</v>
      </c>
      <c r="AA589" s="216" t="s">
        <v>2132</v>
      </c>
      <c r="AB589" s="227"/>
      <c r="AC589" s="295"/>
    </row>
    <row r="590" spans="1:29" ht="15.5" x14ac:dyDescent="0.35">
      <c r="A590" s="211" t="s">
        <v>110</v>
      </c>
      <c r="B590" s="214" t="s">
        <v>2964</v>
      </c>
      <c r="C590" s="211" t="s">
        <v>110</v>
      </c>
      <c r="D590" s="215">
        <v>3776</v>
      </c>
      <c r="E590" s="215">
        <v>8068</v>
      </c>
      <c r="F590" s="211" t="s">
        <v>110</v>
      </c>
      <c r="G590" s="211" t="s">
        <v>110</v>
      </c>
      <c r="H590" s="216" t="s">
        <v>2929</v>
      </c>
      <c r="I590" s="217" t="s">
        <v>2930</v>
      </c>
      <c r="J590" s="211" t="s">
        <v>2928</v>
      </c>
      <c r="K590" s="211" t="s">
        <v>2514</v>
      </c>
      <c r="L590" s="211" t="s">
        <v>218</v>
      </c>
      <c r="M590" s="211" t="s">
        <v>796</v>
      </c>
      <c r="N590" s="211" t="s">
        <v>642</v>
      </c>
      <c r="O590" s="211">
        <v>4</v>
      </c>
      <c r="P590" s="211" t="s">
        <v>276</v>
      </c>
      <c r="Q590" s="226" t="s">
        <v>108</v>
      </c>
      <c r="R590" s="218">
        <v>120000</v>
      </c>
      <c r="S590" s="218">
        <f>Product_Name[[#This Row],[Đơn giá
Unit Price]]*Product_Name[[#This Row],[Số lượng
Quantity]]</f>
        <v>480000</v>
      </c>
      <c r="T590" s="219">
        <v>44890</v>
      </c>
      <c r="U590" s="220">
        <v>44897</v>
      </c>
      <c r="V590" s="221">
        <v>44901</v>
      </c>
      <c r="W590" s="211" t="s">
        <v>2814</v>
      </c>
      <c r="X590" s="211" t="s">
        <v>16</v>
      </c>
      <c r="Y590" s="220">
        <v>44888</v>
      </c>
      <c r="Z590" s="222"/>
      <c r="AA590" s="216" t="s">
        <v>2076</v>
      </c>
      <c r="AB590" s="227"/>
      <c r="AC590" s="295"/>
    </row>
    <row r="591" spans="1:29" ht="15.5" x14ac:dyDescent="0.35">
      <c r="A591" s="211"/>
      <c r="B591" s="214"/>
      <c r="C591" s="211"/>
      <c r="D591" s="215"/>
      <c r="E591" s="215"/>
      <c r="F591" s="211"/>
      <c r="G591" s="211"/>
      <c r="H591" s="216" t="s">
        <v>1067</v>
      </c>
      <c r="I591" s="217" t="s">
        <v>1071</v>
      </c>
      <c r="J591" s="211" t="s">
        <v>1063</v>
      </c>
      <c r="K591" s="211"/>
      <c r="L591" s="211" t="s">
        <v>99</v>
      </c>
      <c r="M591" s="211" t="s">
        <v>1061</v>
      </c>
      <c r="N591" s="211" t="s">
        <v>642</v>
      </c>
      <c r="O591" s="211">
        <v>1</v>
      </c>
      <c r="P591" s="211" t="s">
        <v>276</v>
      </c>
      <c r="Q591" s="226" t="s">
        <v>108</v>
      </c>
      <c r="R591" s="218">
        <v>800000</v>
      </c>
      <c r="S591" s="218">
        <f t="shared" ref="S591:S599" si="4">R591*O591</f>
        <v>800000</v>
      </c>
      <c r="T591" s="219"/>
      <c r="U591" s="220"/>
      <c r="V591" s="221"/>
      <c r="W591" s="211" t="s">
        <v>2814</v>
      </c>
      <c r="X591" s="211" t="s">
        <v>16</v>
      </c>
      <c r="Y591" s="220">
        <v>44377</v>
      </c>
      <c r="Z591" s="222"/>
      <c r="AA591" s="216"/>
      <c r="AB591" s="227"/>
      <c r="AC591" s="295"/>
    </row>
    <row r="592" spans="1:29" ht="15.5" x14ac:dyDescent="0.35">
      <c r="A592" s="211"/>
      <c r="B592" s="214"/>
      <c r="C592" s="211"/>
      <c r="D592" s="215"/>
      <c r="E592" s="215"/>
      <c r="F592" s="211"/>
      <c r="G592" s="211"/>
      <c r="H592" s="216" t="s">
        <v>1069</v>
      </c>
      <c r="I592" s="217" t="s">
        <v>1073</v>
      </c>
      <c r="J592" s="211" t="s">
        <v>1065</v>
      </c>
      <c r="K592" s="211"/>
      <c r="L592" s="211" t="s">
        <v>99</v>
      </c>
      <c r="M592" s="211" t="s">
        <v>1061</v>
      </c>
      <c r="N592" s="211" t="s">
        <v>642</v>
      </c>
      <c r="O592" s="211">
        <v>1</v>
      </c>
      <c r="P592" s="211" t="s">
        <v>276</v>
      </c>
      <c r="Q592" s="226" t="s">
        <v>108</v>
      </c>
      <c r="R592" s="218">
        <v>800000</v>
      </c>
      <c r="S592" s="218">
        <f t="shared" si="4"/>
        <v>800000</v>
      </c>
      <c r="T592" s="219"/>
      <c r="U592" s="220"/>
      <c r="V592" s="221"/>
      <c r="W592" s="211" t="s">
        <v>2814</v>
      </c>
      <c r="X592" s="211" t="s">
        <v>16</v>
      </c>
      <c r="Y592" s="220">
        <v>44377</v>
      </c>
      <c r="Z592" s="222"/>
      <c r="AA592" s="216"/>
      <c r="AB592" s="227"/>
      <c r="AC592" s="295"/>
    </row>
    <row r="593" spans="1:29" ht="15.5" x14ac:dyDescent="0.35">
      <c r="A593" s="211"/>
      <c r="B593" s="214"/>
      <c r="C593" s="211"/>
      <c r="D593" s="215"/>
      <c r="E593" s="215"/>
      <c r="F593" s="211"/>
      <c r="G593" s="211"/>
      <c r="H593" s="216" t="s">
        <v>896</v>
      </c>
      <c r="I593" s="217" t="s">
        <v>911</v>
      </c>
      <c r="J593" s="211" t="s">
        <v>837</v>
      </c>
      <c r="K593" s="211"/>
      <c r="L593" s="211"/>
      <c r="M593" s="211" t="s">
        <v>796</v>
      </c>
      <c r="N593" s="211" t="s">
        <v>642</v>
      </c>
      <c r="O593" s="211">
        <v>1</v>
      </c>
      <c r="P593" s="211" t="s">
        <v>276</v>
      </c>
      <c r="Q593" s="226"/>
      <c r="R593" s="218"/>
      <c r="S593" s="218">
        <f t="shared" si="4"/>
        <v>0</v>
      </c>
      <c r="T593" s="219"/>
      <c r="U593" s="220"/>
      <c r="V593" s="221"/>
      <c r="W593" s="211"/>
      <c r="X593" s="211" t="s">
        <v>16</v>
      </c>
      <c r="Y593" s="220">
        <v>44377</v>
      </c>
      <c r="Z593" s="222"/>
      <c r="AA593" s="216"/>
      <c r="AB593" s="227"/>
      <c r="AC593" s="295"/>
    </row>
    <row r="594" spans="1:29" ht="15.5" x14ac:dyDescent="0.35">
      <c r="A594" s="211"/>
      <c r="B594" s="214"/>
      <c r="C594" s="211"/>
      <c r="D594" s="215"/>
      <c r="E594" s="215"/>
      <c r="F594" s="211"/>
      <c r="G594" s="211"/>
      <c r="H594" s="216" t="s">
        <v>289</v>
      </c>
      <c r="I594" s="217" t="s">
        <v>598</v>
      </c>
      <c r="J594" s="211" t="s">
        <v>838</v>
      </c>
      <c r="K594" s="211"/>
      <c r="L594" s="211"/>
      <c r="M594" s="211" t="s">
        <v>796</v>
      </c>
      <c r="N594" s="211" t="s">
        <v>642</v>
      </c>
      <c r="O594" s="211">
        <v>12</v>
      </c>
      <c r="P594" s="211" t="s">
        <v>799</v>
      </c>
      <c r="Q594" s="226"/>
      <c r="R594" s="218"/>
      <c r="S594" s="218">
        <f t="shared" si="4"/>
        <v>0</v>
      </c>
      <c r="T594" s="219"/>
      <c r="U594" s="220"/>
      <c r="V594" s="221"/>
      <c r="W594" s="211"/>
      <c r="X594" s="211" t="s">
        <v>16</v>
      </c>
      <c r="Y594" s="220">
        <v>44377</v>
      </c>
      <c r="Z594" s="222"/>
      <c r="AA594" s="216"/>
      <c r="AB594" s="227"/>
      <c r="AC594" s="295"/>
    </row>
    <row r="595" spans="1:29" ht="15.5" x14ac:dyDescent="0.35">
      <c r="A595" s="211"/>
      <c r="B595" s="214"/>
      <c r="C595" s="211"/>
      <c r="D595" s="215"/>
      <c r="E595" s="215"/>
      <c r="F595" s="211"/>
      <c r="G595" s="211"/>
      <c r="H595" s="216" t="s">
        <v>289</v>
      </c>
      <c r="I595" s="217" t="s">
        <v>598</v>
      </c>
      <c r="J595" s="211" t="s">
        <v>839</v>
      </c>
      <c r="K595" s="211"/>
      <c r="L595" s="211"/>
      <c r="M595" s="211" t="s">
        <v>796</v>
      </c>
      <c r="N595" s="211" t="s">
        <v>642</v>
      </c>
      <c r="O595" s="211">
        <v>7</v>
      </c>
      <c r="P595" s="211" t="s">
        <v>276</v>
      </c>
      <c r="Q595" s="226"/>
      <c r="R595" s="218"/>
      <c r="S595" s="218">
        <f t="shared" si="4"/>
        <v>0</v>
      </c>
      <c r="T595" s="219"/>
      <c r="U595" s="220"/>
      <c r="V595" s="221"/>
      <c r="W595" s="211"/>
      <c r="X595" s="211" t="s">
        <v>16</v>
      </c>
      <c r="Y595" s="220">
        <v>44377</v>
      </c>
      <c r="Z595" s="222"/>
      <c r="AA595" s="216"/>
      <c r="AB595" s="227"/>
      <c r="AC595" s="295"/>
    </row>
    <row r="596" spans="1:29" ht="15.5" x14ac:dyDescent="0.35">
      <c r="A596" s="211"/>
      <c r="B596" s="214"/>
      <c r="C596" s="211"/>
      <c r="D596" s="215"/>
      <c r="E596" s="215"/>
      <c r="F596" s="211"/>
      <c r="G596" s="211"/>
      <c r="H596" s="216" t="s">
        <v>289</v>
      </c>
      <c r="I596" s="217" t="s">
        <v>598</v>
      </c>
      <c r="J596" s="211" t="s">
        <v>840</v>
      </c>
      <c r="K596" s="211"/>
      <c r="L596" s="211"/>
      <c r="M596" s="211" t="s">
        <v>796</v>
      </c>
      <c r="N596" s="211" t="s">
        <v>642</v>
      </c>
      <c r="O596" s="211">
        <v>1</v>
      </c>
      <c r="P596" s="211" t="s">
        <v>276</v>
      </c>
      <c r="Q596" s="226"/>
      <c r="R596" s="218"/>
      <c r="S596" s="218">
        <f t="shared" si="4"/>
        <v>0</v>
      </c>
      <c r="T596" s="219"/>
      <c r="U596" s="220"/>
      <c r="V596" s="221"/>
      <c r="W596" s="211"/>
      <c r="X596" s="211" t="s">
        <v>16</v>
      </c>
      <c r="Y596" s="220">
        <v>44377</v>
      </c>
      <c r="Z596" s="222"/>
      <c r="AA596" s="216"/>
      <c r="AB596" s="227"/>
      <c r="AC596" s="295"/>
    </row>
    <row r="597" spans="1:29" ht="15.5" x14ac:dyDescent="0.35">
      <c r="A597" s="211"/>
      <c r="B597" s="214"/>
      <c r="C597" s="211"/>
      <c r="D597" s="215"/>
      <c r="E597" s="215"/>
      <c r="F597" s="211"/>
      <c r="G597" s="211"/>
      <c r="H597" s="216" t="s">
        <v>289</v>
      </c>
      <c r="I597" s="217" t="s">
        <v>598</v>
      </c>
      <c r="J597" s="211" t="s">
        <v>841</v>
      </c>
      <c r="K597" s="211"/>
      <c r="L597" s="211"/>
      <c r="M597" s="211" t="s">
        <v>796</v>
      </c>
      <c r="N597" s="211" t="s">
        <v>642</v>
      </c>
      <c r="O597" s="211">
        <v>1</v>
      </c>
      <c r="P597" s="211" t="s">
        <v>276</v>
      </c>
      <c r="Q597" s="226"/>
      <c r="R597" s="218"/>
      <c r="S597" s="218">
        <f t="shared" si="4"/>
        <v>0</v>
      </c>
      <c r="T597" s="219"/>
      <c r="U597" s="220"/>
      <c r="V597" s="221"/>
      <c r="W597" s="211"/>
      <c r="X597" s="211" t="s">
        <v>16</v>
      </c>
      <c r="Y597" s="220">
        <v>44377</v>
      </c>
      <c r="Z597" s="222"/>
      <c r="AA597" s="216"/>
      <c r="AB597" s="227"/>
      <c r="AC597" s="295"/>
    </row>
    <row r="598" spans="1:29" ht="15.5" x14ac:dyDescent="0.35">
      <c r="A598" s="211"/>
      <c r="B598" s="214"/>
      <c r="C598" s="211"/>
      <c r="D598" s="215"/>
      <c r="E598" s="215"/>
      <c r="F598" s="211"/>
      <c r="G598" s="211"/>
      <c r="H598" s="216" t="s">
        <v>289</v>
      </c>
      <c r="I598" s="217" t="s">
        <v>598</v>
      </c>
      <c r="J598" s="211" t="s">
        <v>842</v>
      </c>
      <c r="K598" s="211"/>
      <c r="L598" s="211"/>
      <c r="M598" s="211" t="s">
        <v>796</v>
      </c>
      <c r="N598" s="211" t="s">
        <v>642</v>
      </c>
      <c r="O598" s="211">
        <v>1</v>
      </c>
      <c r="P598" s="211" t="s">
        <v>276</v>
      </c>
      <c r="Q598" s="226"/>
      <c r="R598" s="218"/>
      <c r="S598" s="218">
        <f t="shared" si="4"/>
        <v>0</v>
      </c>
      <c r="T598" s="219"/>
      <c r="U598" s="220"/>
      <c r="V598" s="221"/>
      <c r="W598" s="211"/>
      <c r="X598" s="211" t="s">
        <v>16</v>
      </c>
      <c r="Y598" s="220">
        <v>44377</v>
      </c>
      <c r="Z598" s="222"/>
      <c r="AA598" s="216"/>
      <c r="AB598" s="227"/>
      <c r="AC598" s="295"/>
    </row>
    <row r="599" spans="1:29" ht="15.5" x14ac:dyDescent="0.35">
      <c r="A599" s="211"/>
      <c r="B599" s="214"/>
      <c r="C599" s="211"/>
      <c r="D599" s="215"/>
      <c r="E599" s="215"/>
      <c r="F599" s="211"/>
      <c r="G599" s="211"/>
      <c r="H599" s="216" t="s">
        <v>289</v>
      </c>
      <c r="I599" s="217" t="s">
        <v>598</v>
      </c>
      <c r="J599" s="211" t="s">
        <v>843</v>
      </c>
      <c r="K599" s="211"/>
      <c r="L599" s="211"/>
      <c r="M599" s="211" t="s">
        <v>796</v>
      </c>
      <c r="N599" s="211" t="s">
        <v>642</v>
      </c>
      <c r="O599" s="211">
        <v>1</v>
      </c>
      <c r="P599" s="211" t="s">
        <v>276</v>
      </c>
      <c r="Q599" s="226"/>
      <c r="R599" s="218"/>
      <c r="S599" s="218">
        <f t="shared" si="4"/>
        <v>0</v>
      </c>
      <c r="T599" s="219"/>
      <c r="U599" s="220"/>
      <c r="V599" s="221"/>
      <c r="W599" s="211"/>
      <c r="X599" s="211" t="s">
        <v>16</v>
      </c>
      <c r="Y599" s="220">
        <v>44377</v>
      </c>
      <c r="Z599" s="222"/>
      <c r="AA599" s="216"/>
      <c r="AB599" s="227"/>
      <c r="AC599" s="295"/>
    </row>
    <row r="600" spans="1:29" ht="15.5" x14ac:dyDescent="0.35">
      <c r="A600" s="211"/>
      <c r="B600" s="214"/>
      <c r="C600" s="211"/>
      <c r="D600" s="215"/>
      <c r="E600" s="215"/>
      <c r="F600" s="211"/>
      <c r="G600" s="211"/>
      <c r="H600" s="216" t="s">
        <v>289</v>
      </c>
      <c r="I600" s="217" t="s">
        <v>598</v>
      </c>
      <c r="J600" s="211" t="s">
        <v>844</v>
      </c>
      <c r="K600" s="211"/>
      <c r="L600" s="211"/>
      <c r="M600" s="211" t="s">
        <v>796</v>
      </c>
      <c r="N600" s="211" t="s">
        <v>642</v>
      </c>
      <c r="O600" s="211">
        <v>1</v>
      </c>
      <c r="P600" s="211" t="s">
        <v>276</v>
      </c>
      <c r="Q600" s="226"/>
      <c r="R600" s="218"/>
      <c r="S600" s="218">
        <f t="shared" ref="S600:S631" si="5">R600*O600</f>
        <v>0</v>
      </c>
      <c r="T600" s="219"/>
      <c r="U600" s="220"/>
      <c r="V600" s="221"/>
      <c r="W600" s="211"/>
      <c r="X600" s="211" t="s">
        <v>16</v>
      </c>
      <c r="Y600" s="220">
        <v>44377</v>
      </c>
      <c r="Z600" s="222"/>
      <c r="AA600" s="216"/>
      <c r="AB600" s="227"/>
      <c r="AC600" s="295"/>
    </row>
    <row r="601" spans="1:29" ht="15.5" x14ac:dyDescent="0.35">
      <c r="A601" s="211"/>
      <c r="B601" s="214"/>
      <c r="C601" s="211"/>
      <c r="D601" s="215"/>
      <c r="E601" s="215"/>
      <c r="F601" s="211"/>
      <c r="G601" s="211"/>
      <c r="H601" s="216" t="s">
        <v>289</v>
      </c>
      <c r="I601" s="217" t="s">
        <v>598</v>
      </c>
      <c r="J601" s="211" t="s">
        <v>845</v>
      </c>
      <c r="K601" s="211"/>
      <c r="L601" s="211"/>
      <c r="M601" s="211" t="s">
        <v>796</v>
      </c>
      <c r="N601" s="211" t="s">
        <v>642</v>
      </c>
      <c r="O601" s="211">
        <v>1</v>
      </c>
      <c r="P601" s="211" t="s">
        <v>276</v>
      </c>
      <c r="Q601" s="226"/>
      <c r="R601" s="218"/>
      <c r="S601" s="218">
        <f t="shared" si="5"/>
        <v>0</v>
      </c>
      <c r="T601" s="219"/>
      <c r="U601" s="220"/>
      <c r="V601" s="221"/>
      <c r="W601" s="211"/>
      <c r="X601" s="211" t="s">
        <v>16</v>
      </c>
      <c r="Y601" s="220">
        <v>44377</v>
      </c>
      <c r="Z601" s="222"/>
      <c r="AA601" s="216"/>
      <c r="AB601" s="227"/>
      <c r="AC601" s="295"/>
    </row>
    <row r="602" spans="1:29" ht="15.5" x14ac:dyDescent="0.35">
      <c r="A602" s="211"/>
      <c r="B602" s="214"/>
      <c r="C602" s="211"/>
      <c r="D602" s="215"/>
      <c r="E602" s="215"/>
      <c r="F602" s="211"/>
      <c r="G602" s="211"/>
      <c r="H602" s="216" t="s">
        <v>289</v>
      </c>
      <c r="I602" s="217" t="s">
        <v>598</v>
      </c>
      <c r="J602" s="211" t="s">
        <v>846</v>
      </c>
      <c r="K602" s="211"/>
      <c r="L602" s="211"/>
      <c r="M602" s="211" t="s">
        <v>796</v>
      </c>
      <c r="N602" s="211" t="s">
        <v>642</v>
      </c>
      <c r="O602" s="211">
        <v>1</v>
      </c>
      <c r="P602" s="211" t="s">
        <v>276</v>
      </c>
      <c r="Q602" s="226"/>
      <c r="R602" s="218"/>
      <c r="S602" s="218">
        <f t="shared" si="5"/>
        <v>0</v>
      </c>
      <c r="T602" s="219"/>
      <c r="U602" s="220"/>
      <c r="V602" s="221"/>
      <c r="W602" s="211"/>
      <c r="X602" s="211" t="s">
        <v>16</v>
      </c>
      <c r="Y602" s="220">
        <v>44377</v>
      </c>
      <c r="Z602" s="222"/>
      <c r="AA602" s="216"/>
      <c r="AB602" s="227"/>
      <c r="AC602" s="295"/>
    </row>
    <row r="603" spans="1:29" ht="15.5" x14ac:dyDescent="0.35">
      <c r="A603" s="211"/>
      <c r="B603" s="214"/>
      <c r="C603" s="211"/>
      <c r="D603" s="215"/>
      <c r="E603" s="215"/>
      <c r="F603" s="211"/>
      <c r="G603" s="211"/>
      <c r="H603" s="216" t="s">
        <v>289</v>
      </c>
      <c r="I603" s="217" t="s">
        <v>598</v>
      </c>
      <c r="J603" s="211" t="s">
        <v>847</v>
      </c>
      <c r="K603" s="211"/>
      <c r="L603" s="211"/>
      <c r="M603" s="211" t="s">
        <v>796</v>
      </c>
      <c r="N603" s="211" t="s">
        <v>642</v>
      </c>
      <c r="O603" s="211">
        <v>1</v>
      </c>
      <c r="P603" s="211" t="s">
        <v>276</v>
      </c>
      <c r="Q603" s="226"/>
      <c r="R603" s="218"/>
      <c r="S603" s="218">
        <f t="shared" si="5"/>
        <v>0</v>
      </c>
      <c r="T603" s="219"/>
      <c r="U603" s="220"/>
      <c r="V603" s="221"/>
      <c r="W603" s="211"/>
      <c r="X603" s="211" t="s">
        <v>16</v>
      </c>
      <c r="Y603" s="220">
        <v>44377</v>
      </c>
      <c r="Z603" s="222"/>
      <c r="AA603" s="216"/>
      <c r="AB603" s="227"/>
      <c r="AC603" s="295"/>
    </row>
    <row r="604" spans="1:29" ht="15.5" x14ac:dyDescent="0.35">
      <c r="A604" s="211"/>
      <c r="B604" s="214"/>
      <c r="C604" s="211"/>
      <c r="D604" s="215"/>
      <c r="E604" s="215"/>
      <c r="F604" s="211"/>
      <c r="G604" s="211"/>
      <c r="H604" s="216" t="s">
        <v>289</v>
      </c>
      <c r="I604" s="217" t="s">
        <v>598</v>
      </c>
      <c r="J604" s="211" t="s">
        <v>848</v>
      </c>
      <c r="K604" s="211"/>
      <c r="L604" s="211"/>
      <c r="M604" s="211" t="s">
        <v>796</v>
      </c>
      <c r="N604" s="211" t="s">
        <v>642</v>
      </c>
      <c r="O604" s="211">
        <v>1</v>
      </c>
      <c r="P604" s="211" t="s">
        <v>276</v>
      </c>
      <c r="Q604" s="226"/>
      <c r="R604" s="218"/>
      <c r="S604" s="218">
        <f t="shared" si="5"/>
        <v>0</v>
      </c>
      <c r="T604" s="219"/>
      <c r="U604" s="220"/>
      <c r="V604" s="221"/>
      <c r="W604" s="211"/>
      <c r="X604" s="211" t="s">
        <v>16</v>
      </c>
      <c r="Y604" s="220">
        <v>44377</v>
      </c>
      <c r="Z604" s="222"/>
      <c r="AA604" s="216"/>
      <c r="AB604" s="227"/>
      <c r="AC604" s="295"/>
    </row>
    <row r="605" spans="1:29" ht="15.5" x14ac:dyDescent="0.35">
      <c r="A605" s="211"/>
      <c r="B605" s="214"/>
      <c r="C605" s="211"/>
      <c r="D605" s="215"/>
      <c r="E605" s="215"/>
      <c r="F605" s="211"/>
      <c r="G605" s="211"/>
      <c r="H605" s="216" t="s">
        <v>289</v>
      </c>
      <c r="I605" s="217" t="s">
        <v>598</v>
      </c>
      <c r="J605" s="211" t="s">
        <v>849</v>
      </c>
      <c r="K605" s="211"/>
      <c r="L605" s="211"/>
      <c r="M605" s="211" t="s">
        <v>796</v>
      </c>
      <c r="N605" s="211" t="s">
        <v>642</v>
      </c>
      <c r="O605" s="211">
        <v>1</v>
      </c>
      <c r="P605" s="211" t="s">
        <v>276</v>
      </c>
      <c r="Q605" s="226"/>
      <c r="R605" s="218"/>
      <c r="S605" s="218">
        <f t="shared" si="5"/>
        <v>0</v>
      </c>
      <c r="T605" s="219"/>
      <c r="U605" s="220"/>
      <c r="V605" s="221"/>
      <c r="W605" s="211"/>
      <c r="X605" s="211" t="s">
        <v>16</v>
      </c>
      <c r="Y605" s="220">
        <v>44377</v>
      </c>
      <c r="Z605" s="222"/>
      <c r="AA605" s="216"/>
      <c r="AB605" s="227"/>
      <c r="AC605" s="295"/>
    </row>
    <row r="606" spans="1:29" ht="15.5" x14ac:dyDescent="0.35">
      <c r="A606" s="211"/>
      <c r="B606" s="214"/>
      <c r="C606" s="211"/>
      <c r="D606" s="215"/>
      <c r="E606" s="215"/>
      <c r="F606" s="211"/>
      <c r="G606" s="211"/>
      <c r="H606" s="216" t="s">
        <v>289</v>
      </c>
      <c r="I606" s="217" t="s">
        <v>598</v>
      </c>
      <c r="J606" s="211" t="s">
        <v>850</v>
      </c>
      <c r="K606" s="211"/>
      <c r="L606" s="211"/>
      <c r="M606" s="211" t="s">
        <v>796</v>
      </c>
      <c r="N606" s="211" t="s">
        <v>642</v>
      </c>
      <c r="O606" s="211">
        <v>1</v>
      </c>
      <c r="P606" s="211" t="s">
        <v>276</v>
      </c>
      <c r="Q606" s="226"/>
      <c r="R606" s="218"/>
      <c r="S606" s="218">
        <f t="shared" si="5"/>
        <v>0</v>
      </c>
      <c r="T606" s="219"/>
      <c r="U606" s="220"/>
      <c r="V606" s="221"/>
      <c r="W606" s="211"/>
      <c r="X606" s="211" t="s">
        <v>16</v>
      </c>
      <c r="Y606" s="220">
        <v>44377</v>
      </c>
      <c r="Z606" s="222"/>
      <c r="AA606" s="216"/>
      <c r="AB606" s="227"/>
      <c r="AC606" s="295"/>
    </row>
    <row r="607" spans="1:29" ht="15.5" x14ac:dyDescent="0.35">
      <c r="A607" s="211"/>
      <c r="B607" s="214"/>
      <c r="C607" s="211"/>
      <c r="D607" s="215"/>
      <c r="E607" s="215"/>
      <c r="F607" s="211"/>
      <c r="G607" s="211"/>
      <c r="H607" s="216" t="s">
        <v>289</v>
      </c>
      <c r="I607" s="217" t="s">
        <v>598</v>
      </c>
      <c r="J607" s="211" t="s">
        <v>851</v>
      </c>
      <c r="K607" s="211"/>
      <c r="L607" s="211"/>
      <c r="M607" s="211" t="s">
        <v>796</v>
      </c>
      <c r="N607" s="211" t="s">
        <v>642</v>
      </c>
      <c r="O607" s="211">
        <v>2</v>
      </c>
      <c r="P607" s="211" t="s">
        <v>276</v>
      </c>
      <c r="Q607" s="226"/>
      <c r="R607" s="218"/>
      <c r="S607" s="218">
        <f t="shared" si="5"/>
        <v>0</v>
      </c>
      <c r="T607" s="219"/>
      <c r="U607" s="220"/>
      <c r="V607" s="221"/>
      <c r="W607" s="211"/>
      <c r="X607" s="211" t="s">
        <v>16</v>
      </c>
      <c r="Y607" s="220">
        <v>44377</v>
      </c>
      <c r="Z607" s="222"/>
      <c r="AA607" s="216"/>
      <c r="AB607" s="227"/>
      <c r="AC607" s="295"/>
    </row>
    <row r="608" spans="1:29" ht="15.5" x14ac:dyDescent="0.35">
      <c r="A608" s="211"/>
      <c r="B608" s="214"/>
      <c r="C608" s="211"/>
      <c r="D608" s="215"/>
      <c r="E608" s="215"/>
      <c r="F608" s="211"/>
      <c r="G608" s="211"/>
      <c r="H608" s="216" t="s">
        <v>289</v>
      </c>
      <c r="I608" s="217" t="s">
        <v>598</v>
      </c>
      <c r="J608" s="211" t="s">
        <v>852</v>
      </c>
      <c r="K608" s="211"/>
      <c r="L608" s="211"/>
      <c r="M608" s="211" t="s">
        <v>796</v>
      </c>
      <c r="N608" s="211" t="s">
        <v>642</v>
      </c>
      <c r="O608" s="211">
        <v>2</v>
      </c>
      <c r="P608" s="211" t="s">
        <v>276</v>
      </c>
      <c r="Q608" s="226"/>
      <c r="R608" s="218"/>
      <c r="S608" s="218">
        <f t="shared" si="5"/>
        <v>0</v>
      </c>
      <c r="T608" s="219"/>
      <c r="U608" s="220"/>
      <c r="V608" s="221"/>
      <c r="W608" s="211"/>
      <c r="X608" s="211" t="s">
        <v>16</v>
      </c>
      <c r="Y608" s="220">
        <v>44377</v>
      </c>
      <c r="Z608" s="222"/>
      <c r="AA608" s="216"/>
      <c r="AB608" s="227"/>
      <c r="AC608" s="295"/>
    </row>
    <row r="609" spans="1:29" ht="15.5" x14ac:dyDescent="0.35">
      <c r="A609" s="211"/>
      <c r="B609" s="214"/>
      <c r="C609" s="211"/>
      <c r="D609" s="215"/>
      <c r="E609" s="215"/>
      <c r="F609" s="211"/>
      <c r="G609" s="211"/>
      <c r="H609" s="216" t="s">
        <v>289</v>
      </c>
      <c r="I609" s="217" t="s">
        <v>598</v>
      </c>
      <c r="J609" s="211" t="s">
        <v>853</v>
      </c>
      <c r="K609" s="211"/>
      <c r="L609" s="211"/>
      <c r="M609" s="211" t="s">
        <v>796</v>
      </c>
      <c r="N609" s="211" t="s">
        <v>642</v>
      </c>
      <c r="O609" s="211">
        <v>1</v>
      </c>
      <c r="P609" s="211" t="s">
        <v>276</v>
      </c>
      <c r="Q609" s="226"/>
      <c r="R609" s="218"/>
      <c r="S609" s="218">
        <f t="shared" si="5"/>
        <v>0</v>
      </c>
      <c r="T609" s="219"/>
      <c r="U609" s="220"/>
      <c r="V609" s="221"/>
      <c r="W609" s="211"/>
      <c r="X609" s="211" t="s">
        <v>16</v>
      </c>
      <c r="Y609" s="220">
        <v>44377</v>
      </c>
      <c r="Z609" s="222"/>
      <c r="AA609" s="216"/>
      <c r="AB609" s="227"/>
      <c r="AC609" s="295"/>
    </row>
    <row r="610" spans="1:29" ht="15.5" x14ac:dyDescent="0.35">
      <c r="A610" s="211"/>
      <c r="B610" s="214"/>
      <c r="C610" s="211"/>
      <c r="D610" s="215"/>
      <c r="E610" s="215"/>
      <c r="F610" s="211"/>
      <c r="G610" s="211"/>
      <c r="H610" s="216" t="s">
        <v>289</v>
      </c>
      <c r="I610" s="217" t="s">
        <v>598</v>
      </c>
      <c r="J610" s="211" t="s">
        <v>863</v>
      </c>
      <c r="K610" s="211"/>
      <c r="L610" s="211"/>
      <c r="M610" s="211" t="s">
        <v>796</v>
      </c>
      <c r="N610" s="211" t="s">
        <v>642</v>
      </c>
      <c r="O610" s="211">
        <v>3</v>
      </c>
      <c r="P610" s="211" t="s">
        <v>276</v>
      </c>
      <c r="Q610" s="226"/>
      <c r="R610" s="218"/>
      <c r="S610" s="218">
        <f t="shared" si="5"/>
        <v>0</v>
      </c>
      <c r="T610" s="219"/>
      <c r="U610" s="220"/>
      <c r="V610" s="221"/>
      <c r="W610" s="211"/>
      <c r="X610" s="211" t="s">
        <v>16</v>
      </c>
      <c r="Y610" s="220">
        <v>44377</v>
      </c>
      <c r="Z610" s="222"/>
      <c r="AA610" s="216"/>
      <c r="AB610" s="227"/>
      <c r="AC610" s="295"/>
    </row>
    <row r="611" spans="1:29" ht="15.5" x14ac:dyDescent="0.35">
      <c r="A611" s="211"/>
      <c r="B611" s="214"/>
      <c r="C611" s="211"/>
      <c r="D611" s="215"/>
      <c r="E611" s="215"/>
      <c r="F611" s="211"/>
      <c r="G611" s="211"/>
      <c r="H611" s="216" t="s">
        <v>892</v>
      </c>
      <c r="I611" s="217" t="s">
        <v>907</v>
      </c>
      <c r="J611" s="211" t="s">
        <v>864</v>
      </c>
      <c r="K611" s="211"/>
      <c r="L611" s="211"/>
      <c r="M611" s="211" t="s">
        <v>796</v>
      </c>
      <c r="N611" s="211" t="s">
        <v>642</v>
      </c>
      <c r="O611" s="211">
        <v>2</v>
      </c>
      <c r="P611" s="211" t="s">
        <v>276</v>
      </c>
      <c r="Q611" s="226"/>
      <c r="R611" s="218"/>
      <c r="S611" s="218">
        <f t="shared" si="5"/>
        <v>0</v>
      </c>
      <c r="T611" s="219"/>
      <c r="U611" s="220"/>
      <c r="V611" s="221"/>
      <c r="W611" s="211"/>
      <c r="X611" s="211" t="s">
        <v>16</v>
      </c>
      <c r="Y611" s="220">
        <v>44377</v>
      </c>
      <c r="Z611" s="222"/>
      <c r="AA611" s="216"/>
      <c r="AB611" s="227"/>
      <c r="AC611" s="295"/>
    </row>
    <row r="612" spans="1:29" ht="15.5" x14ac:dyDescent="0.35">
      <c r="A612" s="211"/>
      <c r="B612" s="214"/>
      <c r="C612" s="211"/>
      <c r="D612" s="215"/>
      <c r="E612" s="215"/>
      <c r="F612" s="211"/>
      <c r="G612" s="211"/>
      <c r="H612" s="216" t="s">
        <v>892</v>
      </c>
      <c r="I612" s="217" t="s">
        <v>907</v>
      </c>
      <c r="J612" s="211" t="s">
        <v>865</v>
      </c>
      <c r="K612" s="211"/>
      <c r="L612" s="211"/>
      <c r="M612" s="211" t="s">
        <v>796</v>
      </c>
      <c r="N612" s="211" t="s">
        <v>642</v>
      </c>
      <c r="O612" s="211">
        <v>1</v>
      </c>
      <c r="P612" s="211" t="s">
        <v>276</v>
      </c>
      <c r="Q612" s="226"/>
      <c r="R612" s="218"/>
      <c r="S612" s="218">
        <f t="shared" si="5"/>
        <v>0</v>
      </c>
      <c r="T612" s="219"/>
      <c r="U612" s="220"/>
      <c r="V612" s="221"/>
      <c r="W612" s="211"/>
      <c r="X612" s="211" t="s">
        <v>16</v>
      </c>
      <c r="Y612" s="220">
        <v>44377</v>
      </c>
      <c r="Z612" s="222"/>
      <c r="AA612" s="216"/>
      <c r="AB612" s="227"/>
      <c r="AC612" s="295"/>
    </row>
    <row r="613" spans="1:29" ht="15.5" x14ac:dyDescent="0.35">
      <c r="A613" s="211"/>
      <c r="B613" s="214"/>
      <c r="C613" s="211"/>
      <c r="D613" s="215"/>
      <c r="E613" s="215"/>
      <c r="F613" s="211"/>
      <c r="G613" s="211"/>
      <c r="H613" s="216" t="s">
        <v>892</v>
      </c>
      <c r="I613" s="217" t="s">
        <v>907</v>
      </c>
      <c r="J613" s="211" t="s">
        <v>866</v>
      </c>
      <c r="K613" s="211"/>
      <c r="L613" s="211"/>
      <c r="M613" s="211" t="s">
        <v>796</v>
      </c>
      <c r="N613" s="211" t="s">
        <v>642</v>
      </c>
      <c r="O613" s="211">
        <v>1</v>
      </c>
      <c r="P613" s="211" t="s">
        <v>276</v>
      </c>
      <c r="Q613" s="226"/>
      <c r="R613" s="218"/>
      <c r="S613" s="218">
        <f t="shared" si="5"/>
        <v>0</v>
      </c>
      <c r="T613" s="219"/>
      <c r="U613" s="220"/>
      <c r="V613" s="221"/>
      <c r="W613" s="211"/>
      <c r="X613" s="211" t="s">
        <v>16</v>
      </c>
      <c r="Y613" s="220">
        <v>44377</v>
      </c>
      <c r="Z613" s="222"/>
      <c r="AA613" s="216"/>
      <c r="AB613" s="227"/>
      <c r="AC613" s="295"/>
    </row>
    <row r="614" spans="1:29" ht="15.5" x14ac:dyDescent="0.35">
      <c r="A614" s="211"/>
      <c r="B614" s="214"/>
      <c r="C614" s="211"/>
      <c r="D614" s="215"/>
      <c r="E614" s="215"/>
      <c r="F614" s="211"/>
      <c r="G614" s="211"/>
      <c r="H614" s="216" t="s">
        <v>892</v>
      </c>
      <c r="I614" s="217" t="s">
        <v>907</v>
      </c>
      <c r="J614" s="211" t="s">
        <v>867</v>
      </c>
      <c r="K614" s="211"/>
      <c r="L614" s="211"/>
      <c r="M614" s="211" t="s">
        <v>796</v>
      </c>
      <c r="N614" s="211" t="s">
        <v>642</v>
      </c>
      <c r="O614" s="211">
        <v>2</v>
      </c>
      <c r="P614" s="211" t="s">
        <v>276</v>
      </c>
      <c r="Q614" s="226"/>
      <c r="R614" s="218"/>
      <c r="S614" s="218">
        <f t="shared" si="5"/>
        <v>0</v>
      </c>
      <c r="T614" s="219"/>
      <c r="U614" s="220"/>
      <c r="V614" s="221"/>
      <c r="W614" s="211"/>
      <c r="X614" s="211" t="s">
        <v>16</v>
      </c>
      <c r="Y614" s="220">
        <v>44377</v>
      </c>
      <c r="Z614" s="222"/>
      <c r="AA614" s="216"/>
      <c r="AB614" s="227"/>
      <c r="AC614" s="295"/>
    </row>
    <row r="615" spans="1:29" ht="15.5" x14ac:dyDescent="0.35">
      <c r="A615" s="211"/>
      <c r="B615" s="214"/>
      <c r="C615" s="211"/>
      <c r="D615" s="215"/>
      <c r="E615" s="215"/>
      <c r="F615" s="211"/>
      <c r="G615" s="211"/>
      <c r="H615" s="216" t="s">
        <v>892</v>
      </c>
      <c r="I615" s="217" t="s">
        <v>907</v>
      </c>
      <c r="J615" s="211" t="s">
        <v>868</v>
      </c>
      <c r="K615" s="211"/>
      <c r="L615" s="211"/>
      <c r="M615" s="211" t="s">
        <v>796</v>
      </c>
      <c r="N615" s="211" t="s">
        <v>642</v>
      </c>
      <c r="O615" s="211">
        <v>2</v>
      </c>
      <c r="P615" s="211" t="s">
        <v>276</v>
      </c>
      <c r="Q615" s="226"/>
      <c r="R615" s="218"/>
      <c r="S615" s="218">
        <f t="shared" si="5"/>
        <v>0</v>
      </c>
      <c r="T615" s="219"/>
      <c r="U615" s="220"/>
      <c r="V615" s="221"/>
      <c r="W615" s="211"/>
      <c r="X615" s="211" t="s">
        <v>16</v>
      </c>
      <c r="Y615" s="220">
        <v>44377</v>
      </c>
      <c r="Z615" s="222"/>
      <c r="AA615" s="216"/>
      <c r="AB615" s="227"/>
      <c r="AC615" s="295"/>
    </row>
    <row r="616" spans="1:29" ht="15.5" x14ac:dyDescent="0.35">
      <c r="A616" s="211"/>
      <c r="B616" s="214"/>
      <c r="C616" s="211"/>
      <c r="D616" s="215"/>
      <c r="E616" s="215"/>
      <c r="F616" s="211"/>
      <c r="G616" s="211"/>
      <c r="H616" s="216" t="s">
        <v>892</v>
      </c>
      <c r="I616" s="217" t="s">
        <v>907</v>
      </c>
      <c r="J616" s="211" t="s">
        <v>869</v>
      </c>
      <c r="K616" s="211"/>
      <c r="L616" s="211"/>
      <c r="M616" s="211" t="s">
        <v>796</v>
      </c>
      <c r="N616" s="211" t="s">
        <v>642</v>
      </c>
      <c r="O616" s="211">
        <v>3</v>
      </c>
      <c r="P616" s="211" t="s">
        <v>276</v>
      </c>
      <c r="Q616" s="226"/>
      <c r="R616" s="218"/>
      <c r="S616" s="218">
        <f t="shared" si="5"/>
        <v>0</v>
      </c>
      <c r="T616" s="219"/>
      <c r="U616" s="220"/>
      <c r="V616" s="221"/>
      <c r="W616" s="211"/>
      <c r="X616" s="211" t="s">
        <v>16</v>
      </c>
      <c r="Y616" s="220">
        <v>44377</v>
      </c>
      <c r="Z616" s="222"/>
      <c r="AA616" s="216"/>
      <c r="AB616" s="227"/>
      <c r="AC616" s="295"/>
    </row>
    <row r="617" spans="1:29" ht="15.5" x14ac:dyDescent="0.35">
      <c r="A617" s="211"/>
      <c r="B617" s="214"/>
      <c r="C617" s="211"/>
      <c r="D617" s="215"/>
      <c r="E617" s="215"/>
      <c r="F617" s="211"/>
      <c r="G617" s="211"/>
      <c r="H617" s="216" t="s">
        <v>892</v>
      </c>
      <c r="I617" s="217" t="s">
        <v>907</v>
      </c>
      <c r="J617" s="211" t="s">
        <v>870</v>
      </c>
      <c r="K617" s="211"/>
      <c r="L617" s="211"/>
      <c r="M617" s="211" t="s">
        <v>796</v>
      </c>
      <c r="N617" s="211" t="s">
        <v>642</v>
      </c>
      <c r="O617" s="211">
        <v>3</v>
      </c>
      <c r="P617" s="211" t="s">
        <v>276</v>
      </c>
      <c r="Q617" s="226"/>
      <c r="R617" s="218"/>
      <c r="S617" s="218">
        <f t="shared" si="5"/>
        <v>0</v>
      </c>
      <c r="T617" s="219"/>
      <c r="U617" s="220"/>
      <c r="V617" s="221"/>
      <c r="W617" s="211"/>
      <c r="X617" s="211" t="s">
        <v>16</v>
      </c>
      <c r="Y617" s="220">
        <v>44377</v>
      </c>
      <c r="Z617" s="222"/>
      <c r="AA617" s="216"/>
      <c r="AB617" s="227"/>
      <c r="AC617" s="295"/>
    </row>
    <row r="618" spans="1:29" ht="15.5" x14ac:dyDescent="0.35">
      <c r="A618" s="211"/>
      <c r="B618" s="214"/>
      <c r="C618" s="211"/>
      <c r="D618" s="215"/>
      <c r="E618" s="215"/>
      <c r="F618" s="211"/>
      <c r="G618" s="211"/>
      <c r="H618" s="216" t="s">
        <v>892</v>
      </c>
      <c r="I618" s="217" t="s">
        <v>907</v>
      </c>
      <c r="J618" s="211" t="s">
        <v>871</v>
      </c>
      <c r="K618" s="211"/>
      <c r="L618" s="211"/>
      <c r="M618" s="211" t="s">
        <v>796</v>
      </c>
      <c r="N618" s="211" t="s">
        <v>642</v>
      </c>
      <c r="O618" s="211">
        <v>1</v>
      </c>
      <c r="P618" s="211" t="s">
        <v>276</v>
      </c>
      <c r="Q618" s="226"/>
      <c r="R618" s="218"/>
      <c r="S618" s="218">
        <f t="shared" si="5"/>
        <v>0</v>
      </c>
      <c r="T618" s="219"/>
      <c r="U618" s="220"/>
      <c r="V618" s="221"/>
      <c r="W618" s="211"/>
      <c r="X618" s="211" t="s">
        <v>16</v>
      </c>
      <c r="Y618" s="220">
        <v>44377</v>
      </c>
      <c r="Z618" s="222"/>
      <c r="AA618" s="216"/>
      <c r="AB618" s="227"/>
      <c r="AC618" s="295"/>
    </row>
    <row r="619" spans="1:29" ht="15.5" x14ac:dyDescent="0.35">
      <c r="A619" s="211"/>
      <c r="B619" s="214"/>
      <c r="C619" s="211"/>
      <c r="D619" s="215"/>
      <c r="E619" s="215"/>
      <c r="F619" s="211"/>
      <c r="G619" s="211"/>
      <c r="H619" s="216" t="s">
        <v>892</v>
      </c>
      <c r="I619" s="217" t="s">
        <v>907</v>
      </c>
      <c r="J619" s="211" t="s">
        <v>872</v>
      </c>
      <c r="K619" s="211"/>
      <c r="L619" s="211"/>
      <c r="M619" s="211" t="s">
        <v>796</v>
      </c>
      <c r="N619" s="211" t="s">
        <v>642</v>
      </c>
      <c r="O619" s="211">
        <v>1</v>
      </c>
      <c r="P619" s="211" t="s">
        <v>276</v>
      </c>
      <c r="Q619" s="226"/>
      <c r="R619" s="218"/>
      <c r="S619" s="218">
        <f t="shared" si="5"/>
        <v>0</v>
      </c>
      <c r="T619" s="219"/>
      <c r="U619" s="220"/>
      <c r="V619" s="221"/>
      <c r="W619" s="211"/>
      <c r="X619" s="211" t="s">
        <v>16</v>
      </c>
      <c r="Y619" s="220">
        <v>44377</v>
      </c>
      <c r="Z619" s="222"/>
      <c r="AA619" s="216"/>
      <c r="AB619" s="227"/>
      <c r="AC619" s="295"/>
    </row>
    <row r="620" spans="1:29" ht="15.5" x14ac:dyDescent="0.35">
      <c r="A620" s="211"/>
      <c r="B620" s="214"/>
      <c r="C620" s="211"/>
      <c r="D620" s="215"/>
      <c r="E620" s="215"/>
      <c r="F620" s="211"/>
      <c r="G620" s="211"/>
      <c r="H620" s="216" t="s">
        <v>897</v>
      </c>
      <c r="I620" s="217" t="s">
        <v>912</v>
      </c>
      <c r="J620" s="211" t="s">
        <v>873</v>
      </c>
      <c r="K620" s="211"/>
      <c r="L620" s="211"/>
      <c r="M620" s="211" t="s">
        <v>796</v>
      </c>
      <c r="N620" s="211" t="s">
        <v>642</v>
      </c>
      <c r="O620" s="211">
        <v>1</v>
      </c>
      <c r="P620" s="211" t="s">
        <v>276</v>
      </c>
      <c r="Q620" s="226"/>
      <c r="R620" s="218"/>
      <c r="S620" s="218">
        <f t="shared" si="5"/>
        <v>0</v>
      </c>
      <c r="T620" s="219"/>
      <c r="U620" s="220"/>
      <c r="V620" s="221"/>
      <c r="W620" s="211"/>
      <c r="X620" s="211" t="s">
        <v>16</v>
      </c>
      <c r="Y620" s="220">
        <v>44377</v>
      </c>
      <c r="Z620" s="222"/>
      <c r="AA620" s="216"/>
      <c r="AB620" s="227"/>
      <c r="AC620" s="295"/>
    </row>
    <row r="621" spans="1:29" ht="15.5" x14ac:dyDescent="0.35">
      <c r="A621" s="211"/>
      <c r="B621" s="214"/>
      <c r="C621" s="211"/>
      <c r="D621" s="215"/>
      <c r="E621" s="215"/>
      <c r="F621" s="211"/>
      <c r="G621" s="211"/>
      <c r="H621" s="216" t="s">
        <v>898</v>
      </c>
      <c r="I621" s="217" t="s">
        <v>913</v>
      </c>
      <c r="J621" s="211" t="s">
        <v>874</v>
      </c>
      <c r="K621" s="211"/>
      <c r="L621" s="211"/>
      <c r="M621" s="211" t="s">
        <v>796</v>
      </c>
      <c r="N621" s="211" t="s">
        <v>642</v>
      </c>
      <c r="O621" s="211">
        <v>2</v>
      </c>
      <c r="P621" s="211" t="s">
        <v>276</v>
      </c>
      <c r="Q621" s="226"/>
      <c r="R621" s="218"/>
      <c r="S621" s="218">
        <f t="shared" si="5"/>
        <v>0</v>
      </c>
      <c r="T621" s="219"/>
      <c r="U621" s="220"/>
      <c r="V621" s="221"/>
      <c r="W621" s="211"/>
      <c r="X621" s="211" t="s">
        <v>16</v>
      </c>
      <c r="Y621" s="220">
        <v>44377</v>
      </c>
      <c r="Z621" s="222"/>
      <c r="AA621" s="216"/>
      <c r="AB621" s="227"/>
      <c r="AC621" s="295"/>
    </row>
    <row r="622" spans="1:29" ht="15.5" x14ac:dyDescent="0.35">
      <c r="A622" s="211"/>
      <c r="B622" s="214"/>
      <c r="C622" s="211"/>
      <c r="D622" s="215"/>
      <c r="E622" s="215"/>
      <c r="F622" s="211"/>
      <c r="G622" s="211"/>
      <c r="H622" s="216" t="s">
        <v>899</v>
      </c>
      <c r="I622" s="217" t="s">
        <v>914</v>
      </c>
      <c r="J622" s="211" t="s">
        <v>875</v>
      </c>
      <c r="K622" s="211"/>
      <c r="L622" s="211"/>
      <c r="M622" s="211" t="s">
        <v>796</v>
      </c>
      <c r="N622" s="211" t="s">
        <v>642</v>
      </c>
      <c r="O622" s="211">
        <v>6</v>
      </c>
      <c r="P622" s="211" t="s">
        <v>276</v>
      </c>
      <c r="Q622" s="226"/>
      <c r="R622" s="218"/>
      <c r="S622" s="218">
        <f t="shared" si="5"/>
        <v>0</v>
      </c>
      <c r="T622" s="219"/>
      <c r="U622" s="220"/>
      <c r="V622" s="221"/>
      <c r="W622" s="211"/>
      <c r="X622" s="211" t="s">
        <v>16</v>
      </c>
      <c r="Y622" s="220">
        <v>44377</v>
      </c>
      <c r="Z622" s="222"/>
      <c r="AA622" s="216"/>
      <c r="AB622" s="227"/>
      <c r="AC622" s="295"/>
    </row>
    <row r="623" spans="1:29" ht="15.5" x14ac:dyDescent="0.35">
      <c r="A623" s="211"/>
      <c r="B623" s="214"/>
      <c r="C623" s="211"/>
      <c r="D623" s="215"/>
      <c r="E623" s="215"/>
      <c r="F623" s="211"/>
      <c r="G623" s="211"/>
      <c r="H623" s="216" t="s">
        <v>900</v>
      </c>
      <c r="I623" s="217" t="s">
        <v>915</v>
      </c>
      <c r="J623" s="211" t="s">
        <v>876</v>
      </c>
      <c r="K623" s="211"/>
      <c r="L623" s="211"/>
      <c r="M623" s="211" t="s">
        <v>796</v>
      </c>
      <c r="N623" s="211" t="s">
        <v>642</v>
      </c>
      <c r="O623" s="211">
        <v>1</v>
      </c>
      <c r="P623" s="211" t="s">
        <v>276</v>
      </c>
      <c r="Q623" s="226"/>
      <c r="R623" s="218"/>
      <c r="S623" s="218">
        <f t="shared" si="5"/>
        <v>0</v>
      </c>
      <c r="T623" s="219"/>
      <c r="U623" s="220"/>
      <c r="V623" s="221"/>
      <c r="W623" s="211"/>
      <c r="X623" s="211" t="s">
        <v>16</v>
      </c>
      <c r="Y623" s="220">
        <v>44377</v>
      </c>
      <c r="Z623" s="222"/>
      <c r="AA623" s="216"/>
      <c r="AB623" s="227"/>
      <c r="AC623" s="295"/>
    </row>
    <row r="624" spans="1:29" ht="15.5" x14ac:dyDescent="0.35">
      <c r="A624" s="211"/>
      <c r="B624" s="214"/>
      <c r="C624" s="211"/>
      <c r="D624" s="215"/>
      <c r="E624" s="215"/>
      <c r="F624" s="211"/>
      <c r="G624" s="211"/>
      <c r="H624" s="216" t="s">
        <v>902</v>
      </c>
      <c r="I624" s="217" t="s">
        <v>917</v>
      </c>
      <c r="J624" s="211" t="s">
        <v>883</v>
      </c>
      <c r="K624" s="211"/>
      <c r="L624" s="211"/>
      <c r="M624" s="211" t="s">
        <v>796</v>
      </c>
      <c r="N624" s="211" t="s">
        <v>642</v>
      </c>
      <c r="O624" s="211">
        <v>2</v>
      </c>
      <c r="P624" s="211" t="s">
        <v>276</v>
      </c>
      <c r="Q624" s="226"/>
      <c r="R624" s="218"/>
      <c r="S624" s="218">
        <f t="shared" si="5"/>
        <v>0</v>
      </c>
      <c r="T624" s="219"/>
      <c r="U624" s="220"/>
      <c r="V624" s="221"/>
      <c r="W624" s="211"/>
      <c r="X624" s="211" t="s">
        <v>16</v>
      </c>
      <c r="Y624" s="220">
        <v>44377</v>
      </c>
      <c r="Z624" s="222"/>
      <c r="AA624" s="216"/>
      <c r="AB624" s="227"/>
      <c r="AC624" s="295"/>
    </row>
    <row r="625" spans="1:29" ht="15.5" x14ac:dyDescent="0.35">
      <c r="A625" s="211"/>
      <c r="B625" s="214"/>
      <c r="C625" s="211"/>
      <c r="D625" s="215"/>
      <c r="E625" s="215"/>
      <c r="F625" s="211"/>
      <c r="G625" s="211"/>
      <c r="H625" s="216" t="s">
        <v>903</v>
      </c>
      <c r="I625" s="217" t="s">
        <v>919</v>
      </c>
      <c r="J625" s="211" t="s">
        <v>885</v>
      </c>
      <c r="K625" s="211"/>
      <c r="L625" s="211"/>
      <c r="M625" s="211" t="s">
        <v>796</v>
      </c>
      <c r="N625" s="211" t="s">
        <v>642</v>
      </c>
      <c r="O625" s="211">
        <v>1</v>
      </c>
      <c r="P625" s="211" t="s">
        <v>276</v>
      </c>
      <c r="Q625" s="226"/>
      <c r="R625" s="218"/>
      <c r="S625" s="218">
        <f t="shared" si="5"/>
        <v>0</v>
      </c>
      <c r="T625" s="219"/>
      <c r="U625" s="220"/>
      <c r="V625" s="221"/>
      <c r="W625" s="211"/>
      <c r="X625" s="211" t="s">
        <v>16</v>
      </c>
      <c r="Y625" s="220">
        <v>44377</v>
      </c>
      <c r="Z625" s="222"/>
      <c r="AA625" s="216"/>
      <c r="AB625" s="227"/>
      <c r="AC625" s="295"/>
    </row>
    <row r="626" spans="1:29" ht="15.5" x14ac:dyDescent="0.35">
      <c r="A626" s="211"/>
      <c r="B626" s="214"/>
      <c r="C626" s="211"/>
      <c r="D626" s="215"/>
      <c r="E626" s="215"/>
      <c r="F626" s="211"/>
      <c r="G626" s="211"/>
      <c r="H626" s="216" t="s">
        <v>904</v>
      </c>
      <c r="I626" s="217" t="s">
        <v>920</v>
      </c>
      <c r="J626" s="211" t="s">
        <v>888</v>
      </c>
      <c r="K626" s="211"/>
      <c r="L626" s="211"/>
      <c r="M626" s="211" t="s">
        <v>796</v>
      </c>
      <c r="N626" s="211" t="s">
        <v>642</v>
      </c>
      <c r="O626" s="211">
        <v>1</v>
      </c>
      <c r="P626" s="211" t="s">
        <v>276</v>
      </c>
      <c r="Q626" s="226"/>
      <c r="R626" s="218"/>
      <c r="S626" s="218">
        <f t="shared" si="5"/>
        <v>0</v>
      </c>
      <c r="T626" s="219"/>
      <c r="U626" s="220"/>
      <c r="V626" s="221"/>
      <c r="W626" s="211"/>
      <c r="X626" s="211" t="s">
        <v>16</v>
      </c>
      <c r="Y626" s="220">
        <v>44377</v>
      </c>
      <c r="Z626" s="222"/>
      <c r="AA626" s="216"/>
      <c r="AB626" s="227"/>
      <c r="AC626" s="295"/>
    </row>
    <row r="627" spans="1:29" ht="15.5" x14ac:dyDescent="0.35">
      <c r="A627" s="211"/>
      <c r="B627" s="214"/>
      <c r="C627" s="211"/>
      <c r="D627" s="215"/>
      <c r="E627" s="215"/>
      <c r="F627" s="211"/>
      <c r="G627" s="211"/>
      <c r="H627" s="216" t="s">
        <v>903</v>
      </c>
      <c r="I627" s="217" t="s">
        <v>919</v>
      </c>
      <c r="J627" s="211" t="s">
        <v>889</v>
      </c>
      <c r="K627" s="211"/>
      <c r="L627" s="211"/>
      <c r="M627" s="211" t="s">
        <v>796</v>
      </c>
      <c r="N627" s="211" t="s">
        <v>642</v>
      </c>
      <c r="O627" s="211">
        <v>1</v>
      </c>
      <c r="P627" s="211" t="s">
        <v>276</v>
      </c>
      <c r="Q627" s="226"/>
      <c r="R627" s="218"/>
      <c r="S627" s="218">
        <f t="shared" si="5"/>
        <v>0</v>
      </c>
      <c r="T627" s="219"/>
      <c r="U627" s="220"/>
      <c r="V627" s="221"/>
      <c r="W627" s="211"/>
      <c r="X627" s="211" t="s">
        <v>16</v>
      </c>
      <c r="Y627" s="220">
        <v>44377</v>
      </c>
      <c r="Z627" s="222"/>
      <c r="AA627" s="216"/>
      <c r="AB627" s="227"/>
      <c r="AC627" s="295"/>
    </row>
    <row r="628" spans="1:29" ht="15.5" x14ac:dyDescent="0.35">
      <c r="A628" s="211"/>
      <c r="B628" s="214"/>
      <c r="C628" s="211"/>
      <c r="D628" s="215"/>
      <c r="E628" s="215"/>
      <c r="F628" s="211"/>
      <c r="G628" s="211"/>
      <c r="H628" s="216" t="s">
        <v>903</v>
      </c>
      <c r="I628" s="217" t="s">
        <v>919</v>
      </c>
      <c r="J628" s="211" t="s">
        <v>890</v>
      </c>
      <c r="K628" s="211"/>
      <c r="L628" s="211"/>
      <c r="M628" s="211" t="s">
        <v>796</v>
      </c>
      <c r="N628" s="211" t="s">
        <v>642</v>
      </c>
      <c r="O628" s="211">
        <v>1</v>
      </c>
      <c r="P628" s="211" t="s">
        <v>276</v>
      </c>
      <c r="Q628" s="226"/>
      <c r="R628" s="218"/>
      <c r="S628" s="218">
        <f t="shared" si="5"/>
        <v>0</v>
      </c>
      <c r="T628" s="219"/>
      <c r="U628" s="220"/>
      <c r="V628" s="221"/>
      <c r="W628" s="211"/>
      <c r="X628" s="211" t="s">
        <v>16</v>
      </c>
      <c r="Y628" s="220">
        <v>44756</v>
      </c>
      <c r="Z628" s="222"/>
      <c r="AA628" s="216"/>
      <c r="AB628" s="227"/>
      <c r="AC628" s="295"/>
    </row>
    <row r="629" spans="1:29" ht="15.5" x14ac:dyDescent="0.35">
      <c r="A629" s="211"/>
      <c r="B629" s="214"/>
      <c r="C629" s="211"/>
      <c r="D629" s="215"/>
      <c r="E629" s="215"/>
      <c r="F629" s="211"/>
      <c r="G629" s="211"/>
      <c r="H629" s="216" t="s">
        <v>903</v>
      </c>
      <c r="I629" s="217" t="s">
        <v>919</v>
      </c>
      <c r="J629" s="211" t="s">
        <v>891</v>
      </c>
      <c r="K629" s="211"/>
      <c r="L629" s="211"/>
      <c r="M629" s="211" t="s">
        <v>796</v>
      </c>
      <c r="N629" s="211" t="s">
        <v>642</v>
      </c>
      <c r="O629" s="211">
        <v>1</v>
      </c>
      <c r="P629" s="211" t="s">
        <v>276</v>
      </c>
      <c r="Q629" s="226"/>
      <c r="R629" s="218"/>
      <c r="S629" s="218">
        <f t="shared" si="5"/>
        <v>0</v>
      </c>
      <c r="T629" s="219"/>
      <c r="U629" s="220"/>
      <c r="V629" s="221"/>
      <c r="W629" s="211"/>
      <c r="X629" s="211" t="s">
        <v>16</v>
      </c>
      <c r="Y629" s="220">
        <v>44756</v>
      </c>
      <c r="Z629" s="222"/>
      <c r="AA629" s="216"/>
      <c r="AB629" s="227"/>
      <c r="AC629" s="295"/>
    </row>
    <row r="630" spans="1:29" ht="15.5" x14ac:dyDescent="0.35">
      <c r="A630" s="211"/>
      <c r="B630" s="214"/>
      <c r="C630" s="211"/>
      <c r="D630" s="215"/>
      <c r="E630" s="215"/>
      <c r="F630" s="211"/>
      <c r="G630" s="211"/>
      <c r="H630" s="216" t="s">
        <v>1012</v>
      </c>
      <c r="I630" s="217" t="s">
        <v>1013</v>
      </c>
      <c r="J630" s="211" t="s">
        <v>1014</v>
      </c>
      <c r="K630" s="211"/>
      <c r="L630" s="211"/>
      <c r="M630" s="211" t="s">
        <v>795</v>
      </c>
      <c r="N630" s="211" t="s">
        <v>14</v>
      </c>
      <c r="O630" s="211">
        <v>5</v>
      </c>
      <c r="P630" s="211" t="s">
        <v>1015</v>
      </c>
      <c r="Q630" s="226"/>
      <c r="R630" s="218"/>
      <c r="S630" s="218">
        <f t="shared" si="5"/>
        <v>0</v>
      </c>
      <c r="T630" s="219"/>
      <c r="U630" s="220"/>
      <c r="V630" s="221"/>
      <c r="W630" s="214" t="s">
        <v>2577</v>
      </c>
      <c r="X630" s="211" t="s">
        <v>16</v>
      </c>
      <c r="Y630" s="220">
        <v>44810</v>
      </c>
      <c r="Z630" s="222"/>
      <c r="AA630" s="216"/>
      <c r="AB630" s="227"/>
      <c r="AC630" s="295"/>
    </row>
    <row r="631" spans="1:29" ht="15.5" x14ac:dyDescent="0.35">
      <c r="A631" s="211"/>
      <c r="B631" s="214"/>
      <c r="C631" s="211"/>
      <c r="D631" s="215"/>
      <c r="E631" s="215"/>
      <c r="F631" s="211"/>
      <c r="G631" s="211"/>
      <c r="H631" s="216" t="s">
        <v>1030</v>
      </c>
      <c r="I631" s="217" t="s">
        <v>1031</v>
      </c>
      <c r="J631" s="211" t="s">
        <v>1032</v>
      </c>
      <c r="K631" s="211"/>
      <c r="L631" s="211"/>
      <c r="M631" s="211" t="s">
        <v>795</v>
      </c>
      <c r="N631" s="211" t="s">
        <v>14</v>
      </c>
      <c r="O631" s="211">
        <v>20</v>
      </c>
      <c r="P631" s="211" t="s">
        <v>798</v>
      </c>
      <c r="Q631" s="226" t="s">
        <v>108</v>
      </c>
      <c r="R631" s="218"/>
      <c r="S631" s="218">
        <f t="shared" si="5"/>
        <v>0</v>
      </c>
      <c r="T631" s="219"/>
      <c r="U631" s="220"/>
      <c r="V631" s="221"/>
      <c r="W631" s="214" t="s">
        <v>2577</v>
      </c>
      <c r="X631" s="211" t="s">
        <v>16</v>
      </c>
      <c r="Y631" s="220">
        <v>44790</v>
      </c>
      <c r="Z631" s="222"/>
      <c r="AA631" s="216"/>
      <c r="AB631" s="227"/>
      <c r="AC631" s="295"/>
    </row>
    <row r="632" spans="1:29" ht="15.5" x14ac:dyDescent="0.35">
      <c r="A632" s="211"/>
      <c r="B632" s="214"/>
      <c r="C632" s="211"/>
      <c r="D632" s="215"/>
      <c r="E632" s="215"/>
      <c r="F632" s="211"/>
      <c r="G632" s="211"/>
      <c r="H632" s="216" t="s">
        <v>1130</v>
      </c>
      <c r="I632" s="217" t="s">
        <v>1132</v>
      </c>
      <c r="J632" s="211" t="s">
        <v>1131</v>
      </c>
      <c r="K632" s="211" t="s">
        <v>1254</v>
      </c>
      <c r="L632" s="211" t="s">
        <v>1100</v>
      </c>
      <c r="M632" s="211" t="s">
        <v>796</v>
      </c>
      <c r="N632" s="211" t="s">
        <v>642</v>
      </c>
      <c r="O632" s="211">
        <v>1</v>
      </c>
      <c r="P632" s="211" t="s">
        <v>276</v>
      </c>
      <c r="Q632" s="226" t="s">
        <v>108</v>
      </c>
      <c r="R632" s="218">
        <v>2850000</v>
      </c>
      <c r="S632" s="218">
        <f t="shared" ref="S632:S645" si="6">R632*O632</f>
        <v>2850000</v>
      </c>
      <c r="T632" s="219"/>
      <c r="U632" s="220"/>
      <c r="V632" s="221"/>
      <c r="W632" s="211" t="s">
        <v>2813</v>
      </c>
      <c r="X632" s="211" t="s">
        <v>16</v>
      </c>
      <c r="Y632" s="220"/>
      <c r="Z632" s="222" t="s">
        <v>1255</v>
      </c>
      <c r="AA632" s="216"/>
      <c r="AB632" s="227" t="s">
        <v>1255</v>
      </c>
      <c r="AC632" s="295"/>
    </row>
    <row r="633" spans="1:29" ht="15.5" x14ac:dyDescent="0.35">
      <c r="A633" s="211"/>
      <c r="B633" s="214"/>
      <c r="C633" s="211"/>
      <c r="D633" s="215"/>
      <c r="E633" s="215"/>
      <c r="F633" s="211"/>
      <c r="G633" s="211"/>
      <c r="H633" s="216" t="s">
        <v>1165</v>
      </c>
      <c r="I633" s="217" t="s">
        <v>1166</v>
      </c>
      <c r="J633" s="211" t="s">
        <v>1164</v>
      </c>
      <c r="K633" s="211"/>
      <c r="L633" s="211"/>
      <c r="M633" s="211"/>
      <c r="N633" s="211"/>
      <c r="O633" s="211">
        <v>30</v>
      </c>
      <c r="P633" s="211" t="s">
        <v>1167</v>
      </c>
      <c r="Q633" s="226"/>
      <c r="R633" s="218"/>
      <c r="S633" s="218">
        <f t="shared" si="6"/>
        <v>0</v>
      </c>
      <c r="T633" s="219"/>
      <c r="U633" s="220"/>
      <c r="V633" s="221"/>
      <c r="W633" s="211"/>
      <c r="X633" s="211" t="s">
        <v>16</v>
      </c>
      <c r="Y633" s="220">
        <v>44805</v>
      </c>
      <c r="Z633" s="222"/>
      <c r="AA633" s="216"/>
      <c r="AB633" s="227"/>
      <c r="AC633" s="295"/>
    </row>
    <row r="634" spans="1:29" ht="15.5" x14ac:dyDescent="0.35">
      <c r="A634" s="211"/>
      <c r="B634" s="214"/>
      <c r="C634" s="211"/>
      <c r="D634" s="215"/>
      <c r="E634" s="215"/>
      <c r="F634" s="211"/>
      <c r="G634" s="211"/>
      <c r="H634" s="216" t="s">
        <v>1205</v>
      </c>
      <c r="I634" s="217" t="s">
        <v>1206</v>
      </c>
      <c r="J634" s="211" t="s">
        <v>1204</v>
      </c>
      <c r="K634" s="211"/>
      <c r="L634" s="211"/>
      <c r="M634" s="211" t="s">
        <v>63</v>
      </c>
      <c r="N634" s="211" t="s">
        <v>642</v>
      </c>
      <c r="O634" s="211">
        <v>1</v>
      </c>
      <c r="P634" s="211" t="s">
        <v>276</v>
      </c>
      <c r="Q634" s="226"/>
      <c r="R634" s="218"/>
      <c r="S634" s="218">
        <f t="shared" si="6"/>
        <v>0</v>
      </c>
      <c r="T634" s="219"/>
      <c r="U634" s="220"/>
      <c r="V634" s="221"/>
      <c r="W634" s="211" t="s">
        <v>2813</v>
      </c>
      <c r="X634" s="211" t="s">
        <v>16</v>
      </c>
      <c r="Y634" s="220">
        <v>44805</v>
      </c>
      <c r="Z634" s="222"/>
      <c r="AA634" s="216"/>
      <c r="AB634" s="227"/>
      <c r="AC634" s="295"/>
    </row>
    <row r="635" spans="1:29" ht="15.5" x14ac:dyDescent="0.35">
      <c r="A635" s="211"/>
      <c r="B635" s="214"/>
      <c r="C635" s="211"/>
      <c r="D635" s="215"/>
      <c r="E635" s="215"/>
      <c r="F635" s="211"/>
      <c r="G635" s="211"/>
      <c r="H635" s="216" t="s">
        <v>1249</v>
      </c>
      <c r="I635" s="217" t="s">
        <v>1250</v>
      </c>
      <c r="J635" s="211" t="s">
        <v>1242</v>
      </c>
      <c r="K635" s="211"/>
      <c r="L635" s="211"/>
      <c r="M635" s="211" t="s">
        <v>124</v>
      </c>
      <c r="N635" s="211" t="s">
        <v>14</v>
      </c>
      <c r="O635" s="211">
        <v>1</v>
      </c>
      <c r="P635" s="211" t="s">
        <v>276</v>
      </c>
      <c r="Q635" s="226"/>
      <c r="R635" s="218"/>
      <c r="S635" s="218">
        <f t="shared" si="6"/>
        <v>0</v>
      </c>
      <c r="T635" s="219"/>
      <c r="U635" s="220"/>
      <c r="V635" s="221"/>
      <c r="W635" s="211"/>
      <c r="X635" s="211" t="s">
        <v>16</v>
      </c>
      <c r="Y635" s="220">
        <v>44805</v>
      </c>
      <c r="Z635" s="222"/>
      <c r="AA635" s="216"/>
      <c r="AB635" s="227"/>
      <c r="AC635" s="295"/>
    </row>
    <row r="636" spans="1:29" ht="15.5" x14ac:dyDescent="0.35">
      <c r="A636" s="211"/>
      <c r="B636" s="214"/>
      <c r="C636" s="211"/>
      <c r="D636" s="215"/>
      <c r="E636" s="215"/>
      <c r="F636" s="211"/>
      <c r="G636" s="211"/>
      <c r="H636" s="216" t="s">
        <v>1244</v>
      </c>
      <c r="I636" s="217" t="s">
        <v>1245</v>
      </c>
      <c r="J636" s="211" t="s">
        <v>1243</v>
      </c>
      <c r="K636" s="211"/>
      <c r="L636" s="211"/>
      <c r="M636" s="211" t="s">
        <v>124</v>
      </c>
      <c r="N636" s="211" t="s">
        <v>14</v>
      </c>
      <c r="O636" s="211">
        <v>1</v>
      </c>
      <c r="P636" s="211" t="s">
        <v>276</v>
      </c>
      <c r="Q636" s="226"/>
      <c r="R636" s="218"/>
      <c r="S636" s="218">
        <f t="shared" si="6"/>
        <v>0</v>
      </c>
      <c r="T636" s="219"/>
      <c r="U636" s="220"/>
      <c r="V636" s="221"/>
      <c r="W636" s="211"/>
      <c r="X636" s="211" t="s">
        <v>16</v>
      </c>
      <c r="Y636" s="220"/>
      <c r="Z636" s="222"/>
      <c r="AA636" s="216"/>
      <c r="AB636" s="227"/>
      <c r="AC636" s="295"/>
    </row>
    <row r="637" spans="1:29" ht="15.5" x14ac:dyDescent="0.35">
      <c r="A637" s="211"/>
      <c r="B637" s="214"/>
      <c r="C637" s="211"/>
      <c r="D637" s="215"/>
      <c r="E637" s="215"/>
      <c r="F637" s="211"/>
      <c r="G637" s="211"/>
      <c r="H637" s="216" t="s">
        <v>1248</v>
      </c>
      <c r="I637" s="217" t="s">
        <v>1247</v>
      </c>
      <c r="J637" s="211" t="s">
        <v>1246</v>
      </c>
      <c r="K637" s="211"/>
      <c r="L637" s="211"/>
      <c r="M637" s="211" t="s">
        <v>124</v>
      </c>
      <c r="N637" s="211" t="s">
        <v>14</v>
      </c>
      <c r="O637" s="211">
        <v>1</v>
      </c>
      <c r="P637" s="211" t="s">
        <v>276</v>
      </c>
      <c r="Q637" s="226"/>
      <c r="R637" s="218"/>
      <c r="S637" s="218">
        <f t="shared" si="6"/>
        <v>0</v>
      </c>
      <c r="T637" s="219"/>
      <c r="U637" s="220"/>
      <c r="V637" s="221"/>
      <c r="W637" s="211"/>
      <c r="X637" s="211" t="s">
        <v>16</v>
      </c>
      <c r="Y637" s="220"/>
      <c r="Z637" s="222"/>
      <c r="AA637" s="216"/>
      <c r="AB637" s="227"/>
      <c r="AC637" s="295"/>
    </row>
    <row r="638" spans="1:29" ht="15.5" x14ac:dyDescent="0.35">
      <c r="A638" s="211"/>
      <c r="B638" s="214"/>
      <c r="C638" s="211"/>
      <c r="D638" s="215"/>
      <c r="E638" s="215"/>
      <c r="F638" s="211"/>
      <c r="G638" s="211"/>
      <c r="H638" s="216" t="s">
        <v>1285</v>
      </c>
      <c r="I638" s="217" t="s">
        <v>1284</v>
      </c>
      <c r="J638" s="211" t="s">
        <v>1283</v>
      </c>
      <c r="K638" s="211" t="s">
        <v>1286</v>
      </c>
      <c r="L638" s="211" t="s">
        <v>1286</v>
      </c>
      <c r="M638" s="211" t="s">
        <v>1282</v>
      </c>
      <c r="N638" s="211" t="s">
        <v>14</v>
      </c>
      <c r="O638" s="211">
        <v>4</v>
      </c>
      <c r="P638" s="211" t="s">
        <v>964</v>
      </c>
      <c r="Q638" s="226" t="s">
        <v>108</v>
      </c>
      <c r="R638" s="218">
        <v>1423000</v>
      </c>
      <c r="S638" s="218">
        <f t="shared" si="6"/>
        <v>5692000</v>
      </c>
      <c r="T638" s="219"/>
      <c r="U638" s="220"/>
      <c r="V638" s="221"/>
      <c r="W638" s="211" t="s">
        <v>51</v>
      </c>
      <c r="X638" s="211" t="s">
        <v>16</v>
      </c>
      <c r="Y638" s="220"/>
      <c r="Z638" s="222"/>
      <c r="AA638" s="216"/>
      <c r="AB638" s="227"/>
      <c r="AC638" s="295"/>
    </row>
    <row r="639" spans="1:29" ht="15.5" x14ac:dyDescent="0.35">
      <c r="A639" s="211"/>
      <c r="B639" s="214"/>
      <c r="C639" s="211"/>
      <c r="D639" s="215"/>
      <c r="E639" s="215"/>
      <c r="F639" s="211"/>
      <c r="G639" s="211"/>
      <c r="H639" s="216" t="s">
        <v>1290</v>
      </c>
      <c r="I639" s="217" t="s">
        <v>1292</v>
      </c>
      <c r="J639" s="211" t="s">
        <v>1291</v>
      </c>
      <c r="K639" s="211"/>
      <c r="L639" s="211"/>
      <c r="M639" s="211" t="s">
        <v>1282</v>
      </c>
      <c r="N639" s="211" t="s">
        <v>14</v>
      </c>
      <c r="O639" s="211">
        <v>3</v>
      </c>
      <c r="P639" s="211" t="s">
        <v>276</v>
      </c>
      <c r="Q639" s="226"/>
      <c r="R639" s="218"/>
      <c r="S639" s="218">
        <f t="shared" si="6"/>
        <v>0</v>
      </c>
      <c r="T639" s="219"/>
      <c r="U639" s="220"/>
      <c r="V639" s="221"/>
      <c r="W639" s="211"/>
      <c r="X639" s="211" t="s">
        <v>16</v>
      </c>
      <c r="Y639" s="220">
        <v>44819</v>
      </c>
      <c r="Z639" s="222"/>
      <c r="AA639" s="216"/>
      <c r="AB639" s="227"/>
      <c r="AC639" s="295"/>
    </row>
    <row r="640" spans="1:29" ht="15.5" x14ac:dyDescent="0.35">
      <c r="A640" s="211"/>
      <c r="B640" s="214"/>
      <c r="C640" s="211"/>
      <c r="D640" s="215"/>
      <c r="E640" s="215"/>
      <c r="F640" s="211"/>
      <c r="G640" s="211"/>
      <c r="H640" s="216" t="s">
        <v>1294</v>
      </c>
      <c r="I640" s="217" t="s">
        <v>1295</v>
      </c>
      <c r="J640" s="211" t="s">
        <v>1293</v>
      </c>
      <c r="K640" s="211"/>
      <c r="L640" s="211"/>
      <c r="M640" s="211" t="s">
        <v>1282</v>
      </c>
      <c r="N640" s="211" t="s">
        <v>14</v>
      </c>
      <c r="O640" s="211">
        <v>3</v>
      </c>
      <c r="P640" s="211" t="s">
        <v>276</v>
      </c>
      <c r="Q640" s="226"/>
      <c r="R640" s="218"/>
      <c r="S640" s="218">
        <f t="shared" si="6"/>
        <v>0</v>
      </c>
      <c r="T640" s="219"/>
      <c r="U640" s="220"/>
      <c r="V640" s="221"/>
      <c r="W640" s="211"/>
      <c r="X640" s="211" t="s">
        <v>16</v>
      </c>
      <c r="Y640" s="220">
        <v>44827</v>
      </c>
      <c r="Z640" s="222"/>
      <c r="AA640" s="216"/>
      <c r="AB640" s="227"/>
      <c r="AC640" s="295"/>
    </row>
    <row r="641" spans="1:29" ht="15.5" x14ac:dyDescent="0.35">
      <c r="A641" s="211"/>
      <c r="B641" s="214"/>
      <c r="C641" s="211"/>
      <c r="D641" s="215"/>
      <c r="E641" s="215"/>
      <c r="F641" s="211"/>
      <c r="G641" s="211"/>
      <c r="H641" s="216" t="s">
        <v>1375</v>
      </c>
      <c r="I641" s="217" t="s">
        <v>1313</v>
      </c>
      <c r="J641" s="211" t="s">
        <v>1312</v>
      </c>
      <c r="K641" s="211" t="s">
        <v>1376</v>
      </c>
      <c r="L641" s="211" t="s">
        <v>1100</v>
      </c>
      <c r="M641" s="211" t="s">
        <v>796</v>
      </c>
      <c r="N641" s="211" t="s">
        <v>642</v>
      </c>
      <c r="O641" s="211">
        <v>2</v>
      </c>
      <c r="P641" s="211" t="s">
        <v>276</v>
      </c>
      <c r="Q641" s="226" t="s">
        <v>108</v>
      </c>
      <c r="R641" s="218">
        <v>1905000</v>
      </c>
      <c r="S641" s="218">
        <f t="shared" si="6"/>
        <v>3810000</v>
      </c>
      <c r="T641" s="219"/>
      <c r="U641" s="220"/>
      <c r="V641" s="221"/>
      <c r="W641" s="211" t="s">
        <v>21</v>
      </c>
      <c r="X641" s="211" t="s">
        <v>16</v>
      </c>
      <c r="Y641" s="220">
        <v>44573</v>
      </c>
      <c r="Z641" s="222"/>
      <c r="AA641" s="216"/>
      <c r="AB641" s="227"/>
      <c r="AC641" s="295"/>
    </row>
    <row r="642" spans="1:29" ht="15.5" x14ac:dyDescent="0.35">
      <c r="A642" s="211"/>
      <c r="B642" s="214"/>
      <c r="C642" s="211"/>
      <c r="D642" s="215"/>
      <c r="E642" s="215"/>
      <c r="F642" s="211"/>
      <c r="G642" s="211"/>
      <c r="H642" s="216" t="s">
        <v>1354</v>
      </c>
      <c r="I642" s="217" t="s">
        <v>1353</v>
      </c>
      <c r="J642" s="211" t="s">
        <v>1355</v>
      </c>
      <c r="K642" s="211"/>
      <c r="L642" s="211"/>
      <c r="M642" s="211" t="s">
        <v>796</v>
      </c>
      <c r="N642" s="211" t="s">
        <v>642</v>
      </c>
      <c r="O642" s="211">
        <v>1</v>
      </c>
      <c r="P642" s="211" t="s">
        <v>276</v>
      </c>
      <c r="Q642" s="226"/>
      <c r="R642" s="218"/>
      <c r="S642" s="218">
        <f t="shared" si="6"/>
        <v>0</v>
      </c>
      <c r="T642" s="219"/>
      <c r="U642" s="220"/>
      <c r="V642" s="221"/>
      <c r="W642" s="211"/>
      <c r="X642" s="211" t="s">
        <v>16</v>
      </c>
      <c r="Y642" s="220">
        <v>44567</v>
      </c>
      <c r="Z642" s="222"/>
      <c r="AA642" s="216"/>
      <c r="AB642" s="227"/>
      <c r="AC642" s="295"/>
    </row>
    <row r="643" spans="1:29" ht="15.5" x14ac:dyDescent="0.35">
      <c r="A643" s="211"/>
      <c r="B643" s="214"/>
      <c r="C643" s="211"/>
      <c r="D643" s="215"/>
      <c r="E643" s="215"/>
      <c r="F643" s="211"/>
      <c r="G643" s="211"/>
      <c r="H643" s="216" t="s">
        <v>1747</v>
      </c>
      <c r="I643" s="217" t="s">
        <v>1740</v>
      </c>
      <c r="J643" s="211" t="s">
        <v>1748</v>
      </c>
      <c r="K643" s="211" t="s">
        <v>1810</v>
      </c>
      <c r="L643" s="211" t="s">
        <v>1810</v>
      </c>
      <c r="M643" s="211" t="s">
        <v>63</v>
      </c>
      <c r="N643" s="211" t="s">
        <v>642</v>
      </c>
      <c r="O643" s="211">
        <v>1</v>
      </c>
      <c r="P643" s="211" t="s">
        <v>44</v>
      </c>
      <c r="Q643" s="226" t="s">
        <v>390</v>
      </c>
      <c r="R643" s="218"/>
      <c r="S643" s="218">
        <f t="shared" si="6"/>
        <v>0</v>
      </c>
      <c r="T643" s="219"/>
      <c r="U643" s="220"/>
      <c r="V643" s="221"/>
      <c r="W643" s="211"/>
      <c r="X643" s="211" t="s">
        <v>16</v>
      </c>
      <c r="Y643" s="220">
        <v>44609</v>
      </c>
      <c r="Z643" s="222"/>
      <c r="AA643" s="216" t="s">
        <v>1744</v>
      </c>
      <c r="AB643" s="227"/>
      <c r="AC643" s="295"/>
    </row>
    <row r="644" spans="1:29" ht="15.5" x14ac:dyDescent="0.35">
      <c r="A644" s="211"/>
      <c r="B644" s="214"/>
      <c r="C644" s="211"/>
      <c r="D644" s="215"/>
      <c r="E644" s="215"/>
      <c r="F644" s="211" t="s">
        <v>2233</v>
      </c>
      <c r="G644" s="211" t="s">
        <v>2177</v>
      </c>
      <c r="H644" s="216" t="s">
        <v>1859</v>
      </c>
      <c r="I644" s="217" t="s">
        <v>1861</v>
      </c>
      <c r="J644" s="211" t="s">
        <v>1857</v>
      </c>
      <c r="K644" s="211" t="s">
        <v>1863</v>
      </c>
      <c r="L644" s="211"/>
      <c r="M644" s="211" t="s">
        <v>63</v>
      </c>
      <c r="N644" s="211" t="s">
        <v>642</v>
      </c>
      <c r="O644" s="211">
        <v>1</v>
      </c>
      <c r="P644" s="211" t="s">
        <v>1092</v>
      </c>
      <c r="Q644" s="226" t="s">
        <v>108</v>
      </c>
      <c r="R644" s="218">
        <v>1513610000</v>
      </c>
      <c r="S644" s="218">
        <f t="shared" si="6"/>
        <v>1513610000</v>
      </c>
      <c r="T644" s="219"/>
      <c r="U644" s="220"/>
      <c r="V644" s="221"/>
      <c r="W644" s="211" t="s">
        <v>2813</v>
      </c>
      <c r="X644" s="211" t="s">
        <v>16</v>
      </c>
      <c r="Y644" s="220" t="s">
        <v>2178</v>
      </c>
      <c r="Z644" s="222"/>
      <c r="AA644" s="216" t="s">
        <v>2179</v>
      </c>
      <c r="AB644" s="227"/>
      <c r="AC644" s="295"/>
    </row>
    <row r="645" spans="1:29" ht="15.5" x14ac:dyDescent="0.35">
      <c r="A645" s="211"/>
      <c r="B645" s="214"/>
      <c r="C645" s="211"/>
      <c r="D645" s="215"/>
      <c r="E645" s="215"/>
      <c r="F645" s="211" t="s">
        <v>2233</v>
      </c>
      <c r="G645" s="211" t="s">
        <v>2177</v>
      </c>
      <c r="H645" s="216" t="s">
        <v>1860</v>
      </c>
      <c r="I645" s="217" t="s">
        <v>1862</v>
      </c>
      <c r="J645" s="211" t="s">
        <v>1858</v>
      </c>
      <c r="K645" s="211" t="s">
        <v>1882</v>
      </c>
      <c r="L645" s="211"/>
      <c r="M645" s="211" t="s">
        <v>63</v>
      </c>
      <c r="N645" s="211" t="s">
        <v>642</v>
      </c>
      <c r="O645" s="211">
        <v>1</v>
      </c>
      <c r="P645" s="211" t="s">
        <v>1092</v>
      </c>
      <c r="Q645" s="226" t="s">
        <v>108</v>
      </c>
      <c r="R645" s="218">
        <v>195800000</v>
      </c>
      <c r="S645" s="218">
        <f t="shared" si="6"/>
        <v>195800000</v>
      </c>
      <c r="T645" s="219"/>
      <c r="U645" s="220"/>
      <c r="V645" s="221"/>
      <c r="W645" s="211" t="s">
        <v>2813</v>
      </c>
      <c r="X645" s="211" t="s">
        <v>16</v>
      </c>
      <c r="Y645" s="220" t="s">
        <v>2178</v>
      </c>
      <c r="Z645" s="222"/>
      <c r="AA645" s="216" t="s">
        <v>2179</v>
      </c>
      <c r="AB645" s="227"/>
      <c r="AC645" s="295"/>
    </row>
    <row r="646" spans="1:29" ht="15.5" x14ac:dyDescent="0.35">
      <c r="A646" s="211"/>
      <c r="B646" s="214"/>
      <c r="C646" s="211"/>
      <c r="D646" s="215"/>
      <c r="E646" s="215"/>
      <c r="F646" s="211"/>
      <c r="G646" s="211"/>
      <c r="H646" s="216" t="s">
        <v>2508</v>
      </c>
      <c r="I646" s="217" t="s">
        <v>2503</v>
      </c>
      <c r="J646" s="211" t="s">
        <v>2507</v>
      </c>
      <c r="K646" s="211"/>
      <c r="L646" s="211"/>
      <c r="M646" s="211" t="s">
        <v>826</v>
      </c>
      <c r="N646" s="211" t="s">
        <v>14</v>
      </c>
      <c r="O646" s="211">
        <v>2</v>
      </c>
      <c r="P646" s="211" t="s">
        <v>276</v>
      </c>
      <c r="Q646" s="226"/>
      <c r="R646" s="218"/>
      <c r="S646" s="218">
        <f>Product_Name[[#This Row],[Đơn giá
Unit Price]]*Product_Name[[#This Row],[Số lượng
Quantity]]</f>
        <v>0</v>
      </c>
      <c r="T646" s="219"/>
      <c r="U646" s="220"/>
      <c r="V646" s="221"/>
      <c r="W646" s="211"/>
      <c r="X646" s="211" t="s">
        <v>16</v>
      </c>
      <c r="Y646" s="220" t="s">
        <v>2510</v>
      </c>
      <c r="Z646" s="222" t="s">
        <v>2087</v>
      </c>
      <c r="AA646" s="216" t="s">
        <v>2509</v>
      </c>
      <c r="AB646" s="227" t="s">
        <v>2523</v>
      </c>
      <c r="AC646" s="295"/>
    </row>
    <row r="647" spans="1:29" ht="15.5" x14ac:dyDescent="0.35">
      <c r="A647" s="211"/>
      <c r="B647" s="214"/>
      <c r="C647" s="211"/>
      <c r="D647" s="215"/>
      <c r="E647" s="215"/>
      <c r="F647" s="211"/>
      <c r="G647" s="211"/>
      <c r="H647" s="216" t="s">
        <v>2505</v>
      </c>
      <c r="I647" s="217" t="s">
        <v>2504</v>
      </c>
      <c r="J647" s="211" t="s">
        <v>2506</v>
      </c>
      <c r="K647" s="211"/>
      <c r="L647" s="211"/>
      <c r="M647" s="211" t="s">
        <v>826</v>
      </c>
      <c r="N647" s="211" t="s">
        <v>14</v>
      </c>
      <c r="O647" s="211">
        <v>2</v>
      </c>
      <c r="P647" s="211" t="s">
        <v>276</v>
      </c>
      <c r="Q647" s="226"/>
      <c r="R647" s="218"/>
      <c r="S647" s="218">
        <f>Product_Name[[#This Row],[Đơn giá
Unit Price]]*Product_Name[[#This Row],[Số lượng
Quantity]]</f>
        <v>0</v>
      </c>
      <c r="T647" s="219"/>
      <c r="U647" s="220"/>
      <c r="V647" s="221"/>
      <c r="W647" s="211"/>
      <c r="X647" s="211" t="s">
        <v>16</v>
      </c>
      <c r="Y647" s="220" t="s">
        <v>2510</v>
      </c>
      <c r="Z647" s="222" t="s">
        <v>2087</v>
      </c>
      <c r="AA647" s="216" t="s">
        <v>2509</v>
      </c>
      <c r="AB647" s="227" t="s">
        <v>2523</v>
      </c>
      <c r="AC647" s="295"/>
    </row>
    <row r="648" spans="1:29" ht="15.5" x14ac:dyDescent="0.35">
      <c r="A648" s="211"/>
      <c r="B648" s="214"/>
      <c r="C648" s="211"/>
      <c r="D648" s="215"/>
      <c r="E648" s="215"/>
      <c r="F648" s="211"/>
      <c r="G648" s="211"/>
      <c r="H648" s="216" t="s">
        <v>2528</v>
      </c>
      <c r="I648" s="217" t="s">
        <v>2527</v>
      </c>
      <c r="J648" s="211" t="s">
        <v>2529</v>
      </c>
      <c r="K648" s="211" t="s">
        <v>176</v>
      </c>
      <c r="L648" s="211" t="s">
        <v>176</v>
      </c>
      <c r="M648" s="211" t="s">
        <v>124</v>
      </c>
      <c r="N648" s="211" t="s">
        <v>14</v>
      </c>
      <c r="O648" s="211">
        <v>3</v>
      </c>
      <c r="P648" s="211" t="s">
        <v>276</v>
      </c>
      <c r="Q648" s="226" t="s">
        <v>108</v>
      </c>
      <c r="R648" s="218">
        <v>782000</v>
      </c>
      <c r="S648" s="218">
        <f>Product_Name[[#This Row],[Đơn giá
Unit Price]]*Product_Name[[#This Row],[Số lượng
Quantity]]</f>
        <v>2346000</v>
      </c>
      <c r="T648" s="219"/>
      <c r="U648" s="220"/>
      <c r="V648" s="221"/>
      <c r="W648" s="211" t="s">
        <v>2813</v>
      </c>
      <c r="X648" s="211" t="s">
        <v>53</v>
      </c>
      <c r="Y648" s="220" t="s">
        <v>2530</v>
      </c>
      <c r="Z648" s="222" t="s">
        <v>2087</v>
      </c>
      <c r="AA648" s="216" t="s">
        <v>1987</v>
      </c>
      <c r="AB648" s="227" t="s">
        <v>2713</v>
      </c>
      <c r="AC648" s="295"/>
    </row>
    <row r="649" spans="1:29" ht="15.5" x14ac:dyDescent="0.35">
      <c r="A649" s="252"/>
      <c r="B649" s="253"/>
      <c r="C649" s="252"/>
      <c r="D649" s="254"/>
      <c r="E649" s="254"/>
      <c r="F649" s="252"/>
      <c r="G649" s="252"/>
      <c r="H649" s="255" t="s">
        <v>2642</v>
      </c>
      <c r="I649" s="256" t="s">
        <v>2641</v>
      </c>
      <c r="J649" s="252" t="s">
        <v>2640</v>
      </c>
      <c r="K649" s="252" t="s">
        <v>1751</v>
      </c>
      <c r="L649" s="211" t="s">
        <v>1751</v>
      </c>
      <c r="M649" s="252" t="s">
        <v>123</v>
      </c>
      <c r="N649" s="252" t="s">
        <v>14</v>
      </c>
      <c r="O649" s="252">
        <v>5</v>
      </c>
      <c r="P649" s="252" t="s">
        <v>37</v>
      </c>
      <c r="Q649" s="257" t="s">
        <v>108</v>
      </c>
      <c r="R649" s="258">
        <v>4600000</v>
      </c>
      <c r="S649" s="258">
        <f>Product_Name[[#This Row],[Đơn giá
Unit Price]]*Product_Name[[#This Row],[Số lượng
Quantity]]</f>
        <v>23000000</v>
      </c>
      <c r="T649" s="259"/>
      <c r="U649" s="246"/>
      <c r="V649" s="260"/>
      <c r="W649" s="211" t="s">
        <v>2813</v>
      </c>
      <c r="X649" s="252" t="s">
        <v>16</v>
      </c>
      <c r="Y649" s="246" t="s">
        <v>2667</v>
      </c>
      <c r="Z649" s="261" t="s">
        <v>2087</v>
      </c>
      <c r="AA649" s="255" t="s">
        <v>2643</v>
      </c>
      <c r="AB649" s="262" t="s">
        <v>349</v>
      </c>
      <c r="AC649" s="295"/>
    </row>
    <row r="650" spans="1:29" ht="15.5" x14ac:dyDescent="0.35">
      <c r="A650" s="211"/>
      <c r="B650" s="214"/>
      <c r="C650" s="211"/>
      <c r="D650" s="215"/>
      <c r="E650" s="215"/>
      <c r="F650" s="211"/>
      <c r="G650" s="211"/>
      <c r="H650" s="216" t="s">
        <v>2649</v>
      </c>
      <c r="I650" s="217" t="s">
        <v>2648</v>
      </c>
      <c r="J650" s="211" t="s">
        <v>2644</v>
      </c>
      <c r="K650" s="211" t="s">
        <v>2646</v>
      </c>
      <c r="L650" s="211" t="s">
        <v>1510</v>
      </c>
      <c r="M650" s="211" t="s">
        <v>63</v>
      </c>
      <c r="N650" s="211" t="s">
        <v>642</v>
      </c>
      <c r="O650" s="211">
        <v>1</v>
      </c>
      <c r="P650" s="211" t="s">
        <v>37</v>
      </c>
      <c r="Q650" s="226" t="s">
        <v>108</v>
      </c>
      <c r="R650" s="218">
        <v>610000000</v>
      </c>
      <c r="S650" s="218">
        <f>Product_Name[[#This Row],[Đơn giá
Unit Price]]*Product_Name[[#This Row],[Số lượng
Quantity]]</f>
        <v>610000000</v>
      </c>
      <c r="T650" s="219"/>
      <c r="U650" s="220"/>
      <c r="V650" s="221"/>
      <c r="W650" s="211" t="s">
        <v>2813</v>
      </c>
      <c r="X650" s="211" t="s">
        <v>16</v>
      </c>
      <c r="Y650" s="220" t="s">
        <v>2652</v>
      </c>
      <c r="Z650" s="222"/>
      <c r="AA650" s="216" t="s">
        <v>2647</v>
      </c>
      <c r="AB650" s="227" t="s">
        <v>2702</v>
      </c>
      <c r="AC650" s="295"/>
    </row>
    <row r="651" spans="1:29" ht="15.5" x14ac:dyDescent="0.35">
      <c r="A651" s="211"/>
      <c r="B651" s="214"/>
      <c r="C651" s="211"/>
      <c r="D651" s="215"/>
      <c r="E651" s="215"/>
      <c r="F651" s="211"/>
      <c r="G651" s="211"/>
      <c r="H651" s="216" t="s">
        <v>2649</v>
      </c>
      <c r="I651" s="217" t="s">
        <v>2648</v>
      </c>
      <c r="J651" s="211" t="s">
        <v>2645</v>
      </c>
      <c r="K651" s="211" t="s">
        <v>2646</v>
      </c>
      <c r="L651" s="211" t="s">
        <v>1510</v>
      </c>
      <c r="M651" s="211" t="s">
        <v>63</v>
      </c>
      <c r="N651" s="211" t="s">
        <v>642</v>
      </c>
      <c r="O651" s="211">
        <v>1</v>
      </c>
      <c r="P651" s="211" t="s">
        <v>37</v>
      </c>
      <c r="Q651" s="226" t="s">
        <v>108</v>
      </c>
      <c r="R651" s="218">
        <v>725000000</v>
      </c>
      <c r="S651" s="218">
        <f>Product_Name[[#This Row],[Đơn giá
Unit Price]]*Product_Name[[#This Row],[Số lượng
Quantity]]</f>
        <v>725000000</v>
      </c>
      <c r="T651" s="219"/>
      <c r="U651" s="220"/>
      <c r="V651" s="221"/>
      <c r="W651" s="211" t="s">
        <v>2813</v>
      </c>
      <c r="X651" s="211" t="s">
        <v>16</v>
      </c>
      <c r="Y651" s="220" t="s">
        <v>2652</v>
      </c>
      <c r="Z651" s="222"/>
      <c r="AA651" s="216" t="s">
        <v>2647</v>
      </c>
      <c r="AB651" s="227" t="s">
        <v>2702</v>
      </c>
      <c r="AC651" s="295"/>
    </row>
    <row r="652" spans="1:29" ht="15.5" x14ac:dyDescent="0.35">
      <c r="A652" s="211"/>
      <c r="B652" s="214"/>
      <c r="C652" s="211"/>
      <c r="D652" s="215"/>
      <c r="E652" s="215"/>
      <c r="F652" s="211"/>
      <c r="G652" s="211"/>
      <c r="H652" s="216" t="s">
        <v>2701</v>
      </c>
      <c r="I652" s="217" t="s">
        <v>2650</v>
      </c>
      <c r="J652" s="211" t="s">
        <v>2700</v>
      </c>
      <c r="K652" s="211" t="s">
        <v>2646</v>
      </c>
      <c r="L652" s="211" t="s">
        <v>1510</v>
      </c>
      <c r="M652" s="211" t="s">
        <v>63</v>
      </c>
      <c r="N652" s="211" t="s">
        <v>642</v>
      </c>
      <c r="O652" s="211">
        <v>1</v>
      </c>
      <c r="P652" s="211" t="s">
        <v>37</v>
      </c>
      <c r="Q652" s="226" t="s">
        <v>108</v>
      </c>
      <c r="R652" s="218">
        <v>860000000</v>
      </c>
      <c r="S652" s="218">
        <f>Product_Name[[#This Row],[Đơn giá
Unit Price]]*Product_Name[[#This Row],[Số lượng
Quantity]]</f>
        <v>860000000</v>
      </c>
      <c r="T652" s="219"/>
      <c r="U652" s="220"/>
      <c r="V652" s="221"/>
      <c r="W652" s="211" t="s">
        <v>2813</v>
      </c>
      <c r="X652" s="211" t="s">
        <v>16</v>
      </c>
      <c r="Y652" s="220" t="s">
        <v>2652</v>
      </c>
      <c r="Z652" s="222"/>
      <c r="AA652" s="216" t="s">
        <v>2647</v>
      </c>
      <c r="AB652" s="227" t="s">
        <v>2702</v>
      </c>
      <c r="AC652" s="295"/>
    </row>
    <row r="653" spans="1:29" ht="15.5" x14ac:dyDescent="0.35">
      <c r="A653" s="211"/>
      <c r="B653" s="214"/>
      <c r="C653" s="211"/>
      <c r="D653" s="215"/>
      <c r="E653" s="215"/>
      <c r="F653" s="211"/>
      <c r="G653" s="211"/>
      <c r="H653" s="216" t="s">
        <v>2654</v>
      </c>
      <c r="I653" s="217" t="s">
        <v>2653</v>
      </c>
      <c r="J653" s="211" t="s">
        <v>2655</v>
      </c>
      <c r="K653" s="211" t="s">
        <v>2193</v>
      </c>
      <c r="L653" s="211" t="s">
        <v>733</v>
      </c>
      <c r="M653" s="211" t="s">
        <v>124</v>
      </c>
      <c r="N653" s="211" t="s">
        <v>14</v>
      </c>
      <c r="O653" s="211">
        <v>3</v>
      </c>
      <c r="P653" s="211" t="s">
        <v>37</v>
      </c>
      <c r="Q653" s="226" t="s">
        <v>108</v>
      </c>
      <c r="R653" s="218">
        <v>64157000</v>
      </c>
      <c r="S653" s="218">
        <f>Product_Name[[#This Row],[Đơn giá
Unit Price]]*Product_Name[[#This Row],[Số lượng
Quantity]]</f>
        <v>192471000</v>
      </c>
      <c r="T653" s="219"/>
      <c r="U653" s="220"/>
      <c r="V653" s="221"/>
      <c r="W653" s="211" t="s">
        <v>1565</v>
      </c>
      <c r="X653" s="211" t="s">
        <v>16</v>
      </c>
      <c r="Y653" s="220" t="s">
        <v>2659</v>
      </c>
      <c r="Z653" s="222" t="s">
        <v>2087</v>
      </c>
      <c r="AA653" s="216" t="s">
        <v>2056</v>
      </c>
      <c r="AB653" s="227" t="s">
        <v>2773</v>
      </c>
      <c r="AC653" s="295"/>
    </row>
    <row r="654" spans="1:29" ht="15.5" x14ac:dyDescent="0.35">
      <c r="A654" s="211"/>
      <c r="B654" s="214"/>
      <c r="C654" s="211"/>
      <c r="D654" s="215"/>
      <c r="E654" s="215"/>
      <c r="F654" s="211"/>
      <c r="G654" s="211"/>
      <c r="H654" s="216" t="s">
        <v>2656</v>
      </c>
      <c r="I654" s="217" t="s">
        <v>2657</v>
      </c>
      <c r="J654" s="211" t="s">
        <v>2658</v>
      </c>
      <c r="K654" s="211" t="s">
        <v>2193</v>
      </c>
      <c r="L654" s="211" t="s">
        <v>733</v>
      </c>
      <c r="M654" s="211" t="s">
        <v>124</v>
      </c>
      <c r="N654" s="211" t="s">
        <v>14</v>
      </c>
      <c r="O654" s="211">
        <v>3</v>
      </c>
      <c r="P654" s="211" t="s">
        <v>37</v>
      </c>
      <c r="Q654" s="226" t="s">
        <v>108</v>
      </c>
      <c r="R654" s="218">
        <v>24410000</v>
      </c>
      <c r="S654" s="218">
        <f>Product_Name[[#This Row],[Đơn giá
Unit Price]]*Product_Name[[#This Row],[Số lượng
Quantity]]</f>
        <v>73230000</v>
      </c>
      <c r="T654" s="219"/>
      <c r="U654" s="220"/>
      <c r="V654" s="221"/>
      <c r="W654" s="211" t="s">
        <v>1565</v>
      </c>
      <c r="X654" s="211" t="s">
        <v>16</v>
      </c>
      <c r="Y654" s="220" t="s">
        <v>2659</v>
      </c>
      <c r="Z654" s="222" t="s">
        <v>2087</v>
      </c>
      <c r="AA654" s="216" t="s">
        <v>2056</v>
      </c>
      <c r="AB654" s="227" t="s">
        <v>2773</v>
      </c>
      <c r="AC654" s="295"/>
    </row>
    <row r="655" spans="1:29" ht="46.5" x14ac:dyDescent="0.35">
      <c r="A655" s="211"/>
      <c r="B655" s="214"/>
      <c r="C655" s="211"/>
      <c r="D655" s="215"/>
      <c r="E655" s="215"/>
      <c r="F655" s="211" t="s">
        <v>2688</v>
      </c>
      <c r="G655" s="213" t="s">
        <v>2823</v>
      </c>
      <c r="H655" s="216" t="s">
        <v>2678</v>
      </c>
      <c r="I655" s="217"/>
      <c r="J655" s="211"/>
      <c r="K655" s="211" t="s">
        <v>2689</v>
      </c>
      <c r="L655" s="211" t="s">
        <v>2689</v>
      </c>
      <c r="M655" s="211"/>
      <c r="N655" s="211"/>
      <c r="O655" s="211">
        <v>3</v>
      </c>
      <c r="P655" s="211" t="s">
        <v>276</v>
      </c>
      <c r="Q655" s="226" t="s">
        <v>2687</v>
      </c>
      <c r="R655" s="218">
        <v>38500</v>
      </c>
      <c r="S655" s="218">
        <f>Product_Name[[#This Row],[Đơn giá
Unit Price]]*Product_Name[[#This Row],[Số lượng
Quantity]]</f>
        <v>115500</v>
      </c>
      <c r="T655" s="219"/>
      <c r="U655" s="220"/>
      <c r="V655" s="221"/>
      <c r="W655" s="211" t="s">
        <v>611</v>
      </c>
      <c r="X655" s="211" t="s">
        <v>611</v>
      </c>
      <c r="Y655" s="220">
        <v>44839</v>
      </c>
      <c r="Z655" s="222" t="s">
        <v>2087</v>
      </c>
      <c r="AA655" s="216" t="s">
        <v>2056</v>
      </c>
      <c r="AB655" s="227">
        <v>44844</v>
      </c>
      <c r="AC655" s="295"/>
    </row>
    <row r="656" spans="1:29" ht="46.5" x14ac:dyDescent="0.35">
      <c r="A656" s="211"/>
      <c r="B656" s="214"/>
      <c r="C656" s="211"/>
      <c r="D656" s="215"/>
      <c r="E656" s="215"/>
      <c r="F656" s="211" t="s">
        <v>2688</v>
      </c>
      <c r="G656" s="213" t="s">
        <v>2823</v>
      </c>
      <c r="H656" s="216" t="s">
        <v>2679</v>
      </c>
      <c r="I656" s="217"/>
      <c r="J656" s="211"/>
      <c r="K656" s="211" t="s">
        <v>2689</v>
      </c>
      <c r="L656" s="211" t="s">
        <v>2689</v>
      </c>
      <c r="M656" s="211"/>
      <c r="N656" s="211"/>
      <c r="O656" s="211">
        <v>6</v>
      </c>
      <c r="P656" s="211" t="s">
        <v>276</v>
      </c>
      <c r="Q656" s="226" t="s">
        <v>2687</v>
      </c>
      <c r="R656" s="218">
        <v>87200</v>
      </c>
      <c r="S656" s="218">
        <f>Product_Name[[#This Row],[Đơn giá
Unit Price]]*Product_Name[[#This Row],[Số lượng
Quantity]]</f>
        <v>523200</v>
      </c>
      <c r="T656" s="219"/>
      <c r="U656" s="220"/>
      <c r="V656" s="221"/>
      <c r="W656" s="211" t="s">
        <v>611</v>
      </c>
      <c r="X656" s="211" t="s">
        <v>611</v>
      </c>
      <c r="Y656" s="220">
        <v>44839</v>
      </c>
      <c r="Z656" s="222" t="s">
        <v>2087</v>
      </c>
      <c r="AA656" s="216" t="s">
        <v>2056</v>
      </c>
      <c r="AB656" s="227">
        <v>44839</v>
      </c>
      <c r="AC656" s="295"/>
    </row>
    <row r="657" spans="1:29" ht="46.5" x14ac:dyDescent="0.35">
      <c r="A657" s="211"/>
      <c r="B657" s="214"/>
      <c r="C657" s="211"/>
      <c r="D657" s="215"/>
      <c r="E657" s="215"/>
      <c r="F657" s="211" t="s">
        <v>2688</v>
      </c>
      <c r="G657" s="213" t="s">
        <v>2823</v>
      </c>
      <c r="H657" s="216" t="s">
        <v>2680</v>
      </c>
      <c r="I657" s="217"/>
      <c r="J657" s="211"/>
      <c r="K657" s="211" t="s">
        <v>2689</v>
      </c>
      <c r="L657" s="211" t="s">
        <v>2689</v>
      </c>
      <c r="M657" s="211"/>
      <c r="N657" s="211"/>
      <c r="O657" s="211">
        <v>3</v>
      </c>
      <c r="P657" s="211" t="s">
        <v>276</v>
      </c>
      <c r="Q657" s="226" t="s">
        <v>2687</v>
      </c>
      <c r="R657" s="218">
        <v>99500</v>
      </c>
      <c r="S657" s="218">
        <f>Product_Name[[#This Row],[Đơn giá
Unit Price]]*Product_Name[[#This Row],[Số lượng
Quantity]]</f>
        <v>298500</v>
      </c>
      <c r="T657" s="219"/>
      <c r="U657" s="220"/>
      <c r="V657" s="221"/>
      <c r="W657" s="211" t="s">
        <v>611</v>
      </c>
      <c r="X657" s="211" t="s">
        <v>611</v>
      </c>
      <c r="Y657" s="220">
        <v>44839</v>
      </c>
      <c r="Z657" s="222" t="s">
        <v>2087</v>
      </c>
      <c r="AA657" s="216" t="s">
        <v>2056</v>
      </c>
      <c r="AB657" s="227">
        <v>44839</v>
      </c>
      <c r="AC657" s="295"/>
    </row>
    <row r="658" spans="1:29" ht="46.5" x14ac:dyDescent="0.35">
      <c r="A658" s="211"/>
      <c r="B658" s="214"/>
      <c r="C658" s="211"/>
      <c r="D658" s="215"/>
      <c r="E658" s="215"/>
      <c r="F658" s="211" t="s">
        <v>2688</v>
      </c>
      <c r="G658" s="213" t="s">
        <v>2823</v>
      </c>
      <c r="H658" s="216" t="s">
        <v>2681</v>
      </c>
      <c r="I658" s="217"/>
      <c r="J658" s="211"/>
      <c r="K658" s="211" t="s">
        <v>2689</v>
      </c>
      <c r="L658" s="211" t="s">
        <v>2689</v>
      </c>
      <c r="M658" s="211"/>
      <c r="N658" s="211"/>
      <c r="O658" s="211">
        <v>3</v>
      </c>
      <c r="P658" s="211" t="s">
        <v>276</v>
      </c>
      <c r="Q658" s="226" t="s">
        <v>2687</v>
      </c>
      <c r="R658" s="218">
        <v>22600</v>
      </c>
      <c r="S658" s="218">
        <f>Product_Name[[#This Row],[Đơn giá
Unit Price]]*Product_Name[[#This Row],[Số lượng
Quantity]]</f>
        <v>67800</v>
      </c>
      <c r="T658" s="219"/>
      <c r="U658" s="220"/>
      <c r="V658" s="221"/>
      <c r="W658" s="211" t="s">
        <v>611</v>
      </c>
      <c r="X658" s="211" t="s">
        <v>611</v>
      </c>
      <c r="Y658" s="220">
        <v>44839</v>
      </c>
      <c r="Z658" s="222" t="s">
        <v>2087</v>
      </c>
      <c r="AA658" s="216" t="s">
        <v>2056</v>
      </c>
      <c r="AB658" s="227">
        <v>44839</v>
      </c>
      <c r="AC658" s="295"/>
    </row>
    <row r="659" spans="1:29" ht="46.5" x14ac:dyDescent="0.35">
      <c r="A659" s="211"/>
      <c r="B659" s="214"/>
      <c r="C659" s="211"/>
      <c r="D659" s="215"/>
      <c r="E659" s="215"/>
      <c r="F659" s="211" t="s">
        <v>2688</v>
      </c>
      <c r="G659" s="213" t="s">
        <v>2823</v>
      </c>
      <c r="H659" s="216" t="s">
        <v>2682</v>
      </c>
      <c r="I659" s="217"/>
      <c r="J659" s="211"/>
      <c r="K659" s="211" t="s">
        <v>2689</v>
      </c>
      <c r="L659" s="211" t="s">
        <v>2689</v>
      </c>
      <c r="M659" s="211"/>
      <c r="N659" s="211"/>
      <c r="O659" s="211">
        <v>3</v>
      </c>
      <c r="P659" s="211" t="s">
        <v>276</v>
      </c>
      <c r="Q659" s="226" t="s">
        <v>2687</v>
      </c>
      <c r="R659" s="218">
        <v>2000</v>
      </c>
      <c r="S659" s="218">
        <f>Product_Name[[#This Row],[Đơn giá
Unit Price]]*Product_Name[[#This Row],[Số lượng
Quantity]]</f>
        <v>6000</v>
      </c>
      <c r="T659" s="219"/>
      <c r="U659" s="220"/>
      <c r="V659" s="221"/>
      <c r="W659" s="211" t="s">
        <v>611</v>
      </c>
      <c r="X659" s="211" t="s">
        <v>611</v>
      </c>
      <c r="Y659" s="220">
        <v>44839</v>
      </c>
      <c r="Z659" s="222" t="s">
        <v>2087</v>
      </c>
      <c r="AA659" s="216" t="s">
        <v>2056</v>
      </c>
      <c r="AB659" s="227">
        <v>44839</v>
      </c>
      <c r="AC659" s="295"/>
    </row>
    <row r="660" spans="1:29" ht="46.5" x14ac:dyDescent="0.35">
      <c r="A660" s="211"/>
      <c r="B660" s="214"/>
      <c r="C660" s="211"/>
      <c r="D660" s="215"/>
      <c r="E660" s="215"/>
      <c r="F660" s="211" t="s">
        <v>2688</v>
      </c>
      <c r="G660" s="213" t="s">
        <v>2823</v>
      </c>
      <c r="H660" s="216" t="s">
        <v>2683</v>
      </c>
      <c r="I660" s="217"/>
      <c r="J660" s="211"/>
      <c r="K660" s="211" t="s">
        <v>2689</v>
      </c>
      <c r="L660" s="211" t="s">
        <v>2689</v>
      </c>
      <c r="M660" s="211"/>
      <c r="N660" s="211"/>
      <c r="O660" s="211">
        <v>3</v>
      </c>
      <c r="P660" s="211" t="s">
        <v>276</v>
      </c>
      <c r="Q660" s="226" t="s">
        <v>2687</v>
      </c>
      <c r="R660" s="218">
        <v>2000</v>
      </c>
      <c r="S660" s="218">
        <f>Product_Name[[#This Row],[Đơn giá
Unit Price]]*Product_Name[[#This Row],[Số lượng
Quantity]]</f>
        <v>6000</v>
      </c>
      <c r="T660" s="219"/>
      <c r="U660" s="220"/>
      <c r="V660" s="221"/>
      <c r="W660" s="211" t="s">
        <v>611</v>
      </c>
      <c r="X660" s="211" t="s">
        <v>611</v>
      </c>
      <c r="Y660" s="220">
        <v>44839</v>
      </c>
      <c r="Z660" s="222" t="s">
        <v>2087</v>
      </c>
      <c r="AA660" s="216" t="s">
        <v>2056</v>
      </c>
      <c r="AB660" s="227">
        <v>44839</v>
      </c>
      <c r="AC660" s="295"/>
    </row>
    <row r="661" spans="1:29" ht="46.5" x14ac:dyDescent="0.35">
      <c r="A661" s="211"/>
      <c r="B661" s="214"/>
      <c r="C661" s="211"/>
      <c r="D661" s="215"/>
      <c r="E661" s="215"/>
      <c r="F661" s="211" t="s">
        <v>2688</v>
      </c>
      <c r="G661" s="213" t="s">
        <v>2823</v>
      </c>
      <c r="H661" s="216" t="s">
        <v>2684</v>
      </c>
      <c r="I661" s="217"/>
      <c r="J661" s="211"/>
      <c r="K661" s="211" t="s">
        <v>2689</v>
      </c>
      <c r="L661" s="211" t="s">
        <v>2689</v>
      </c>
      <c r="M661" s="211"/>
      <c r="N661" s="211"/>
      <c r="O661" s="211">
        <v>3</v>
      </c>
      <c r="P661" s="211" t="s">
        <v>276</v>
      </c>
      <c r="Q661" s="226" t="s">
        <v>2687</v>
      </c>
      <c r="R661" s="218">
        <v>2000</v>
      </c>
      <c r="S661" s="218">
        <f>Product_Name[[#This Row],[Đơn giá
Unit Price]]*Product_Name[[#This Row],[Số lượng
Quantity]]</f>
        <v>6000</v>
      </c>
      <c r="T661" s="219"/>
      <c r="U661" s="220"/>
      <c r="V661" s="221"/>
      <c r="W661" s="211" t="s">
        <v>611</v>
      </c>
      <c r="X661" s="211" t="s">
        <v>611</v>
      </c>
      <c r="Y661" s="220">
        <v>44839</v>
      </c>
      <c r="Z661" s="222" t="s">
        <v>2087</v>
      </c>
      <c r="AA661" s="216" t="s">
        <v>2056</v>
      </c>
      <c r="AB661" s="227">
        <v>44839</v>
      </c>
      <c r="AC661" s="295"/>
    </row>
    <row r="662" spans="1:29" ht="46.5" x14ac:dyDescent="0.35">
      <c r="A662" s="211"/>
      <c r="B662" s="214"/>
      <c r="C662" s="211"/>
      <c r="D662" s="215"/>
      <c r="E662" s="215"/>
      <c r="F662" s="211" t="s">
        <v>2688</v>
      </c>
      <c r="G662" s="213" t="s">
        <v>2823</v>
      </c>
      <c r="H662" s="216" t="s">
        <v>2685</v>
      </c>
      <c r="I662" s="217"/>
      <c r="J662" s="211"/>
      <c r="K662" s="211" t="s">
        <v>2689</v>
      </c>
      <c r="L662" s="211" t="s">
        <v>2689</v>
      </c>
      <c r="M662" s="211"/>
      <c r="N662" s="211"/>
      <c r="O662" s="211">
        <v>3</v>
      </c>
      <c r="P662" s="211" t="s">
        <v>276</v>
      </c>
      <c r="Q662" s="226" t="s">
        <v>2687</v>
      </c>
      <c r="R662" s="218">
        <v>2000</v>
      </c>
      <c r="S662" s="218">
        <f>Product_Name[[#This Row],[Đơn giá
Unit Price]]*Product_Name[[#This Row],[Số lượng
Quantity]]</f>
        <v>6000</v>
      </c>
      <c r="T662" s="219"/>
      <c r="U662" s="220"/>
      <c r="V662" s="221"/>
      <c r="W662" s="211" t="s">
        <v>611</v>
      </c>
      <c r="X662" s="211" t="s">
        <v>611</v>
      </c>
      <c r="Y662" s="220">
        <v>44839</v>
      </c>
      <c r="Z662" s="222" t="s">
        <v>2087</v>
      </c>
      <c r="AA662" s="216" t="s">
        <v>2056</v>
      </c>
      <c r="AB662" s="227">
        <v>44839</v>
      </c>
      <c r="AC662" s="295"/>
    </row>
    <row r="663" spans="1:29" ht="46.5" x14ac:dyDescent="0.35">
      <c r="A663" s="211"/>
      <c r="B663" s="214"/>
      <c r="C663" s="211"/>
      <c r="D663" s="215"/>
      <c r="E663" s="215"/>
      <c r="F663" s="211" t="s">
        <v>2688</v>
      </c>
      <c r="G663" s="213" t="s">
        <v>2823</v>
      </c>
      <c r="H663" s="216" t="s">
        <v>2686</v>
      </c>
      <c r="I663" s="217"/>
      <c r="J663" s="211"/>
      <c r="K663" s="211" t="s">
        <v>2689</v>
      </c>
      <c r="L663" s="211" t="s">
        <v>2689</v>
      </c>
      <c r="M663" s="211"/>
      <c r="N663" s="211"/>
      <c r="O663" s="211">
        <v>3</v>
      </c>
      <c r="P663" s="211" t="s">
        <v>276</v>
      </c>
      <c r="Q663" s="226" t="s">
        <v>2687</v>
      </c>
      <c r="R663" s="218">
        <v>200</v>
      </c>
      <c r="S663" s="218">
        <f>Product_Name[[#This Row],[Đơn giá
Unit Price]]*Product_Name[[#This Row],[Số lượng
Quantity]]</f>
        <v>600</v>
      </c>
      <c r="T663" s="219"/>
      <c r="U663" s="220"/>
      <c r="V663" s="221"/>
      <c r="W663" s="211" t="s">
        <v>611</v>
      </c>
      <c r="X663" s="211" t="s">
        <v>611</v>
      </c>
      <c r="Y663" s="220">
        <v>44839</v>
      </c>
      <c r="Z663" s="222" t="s">
        <v>2087</v>
      </c>
      <c r="AA663" s="216" t="s">
        <v>2056</v>
      </c>
      <c r="AB663" s="227">
        <v>44839</v>
      </c>
      <c r="AC663" s="295"/>
    </row>
    <row r="664" spans="1:29" ht="15.5" x14ac:dyDescent="0.35">
      <c r="A664" s="211"/>
      <c r="B664" s="214"/>
      <c r="C664" s="211"/>
      <c r="D664" s="215" t="s">
        <v>110</v>
      </c>
      <c r="E664" s="215" t="s">
        <v>110</v>
      </c>
      <c r="F664" s="211" t="s">
        <v>110</v>
      </c>
      <c r="G664" s="211" t="s">
        <v>110</v>
      </c>
      <c r="H664" s="216" t="s">
        <v>2734</v>
      </c>
      <c r="I664" s="217" t="s">
        <v>2735</v>
      </c>
      <c r="J664" s="211" t="s">
        <v>2733</v>
      </c>
      <c r="K664" s="211" t="s">
        <v>1426</v>
      </c>
      <c r="L664" s="211"/>
      <c r="M664" s="211" t="s">
        <v>123</v>
      </c>
      <c r="N664" s="211" t="s">
        <v>14</v>
      </c>
      <c r="O664" s="211">
        <v>5</v>
      </c>
      <c r="P664" s="211" t="s">
        <v>44</v>
      </c>
      <c r="Q664" s="226" t="s">
        <v>108</v>
      </c>
      <c r="R664" s="218">
        <v>1249000</v>
      </c>
      <c r="S664" s="218">
        <f>Product_Name[[#This Row],[Đơn giá
Unit Price]]*Product_Name[[#This Row],[Số lượng
Quantity]]</f>
        <v>6245000</v>
      </c>
      <c r="T664" s="219"/>
      <c r="U664" s="220"/>
      <c r="V664" s="221"/>
      <c r="W664" s="214" t="s">
        <v>1537</v>
      </c>
      <c r="X664" s="211" t="s">
        <v>54</v>
      </c>
      <c r="Y664" s="220">
        <v>44853</v>
      </c>
      <c r="Z664" s="222" t="s">
        <v>2087</v>
      </c>
      <c r="AA664" s="216" t="s">
        <v>2290</v>
      </c>
      <c r="AB664" s="227" t="s">
        <v>2794</v>
      </c>
      <c r="AC664" s="295"/>
    </row>
    <row r="665" spans="1:29" ht="15.5" x14ac:dyDescent="0.35">
      <c r="A665" s="211" t="s">
        <v>110</v>
      </c>
      <c r="B665" s="214" t="s">
        <v>3235</v>
      </c>
      <c r="C665" s="211" t="s">
        <v>110</v>
      </c>
      <c r="D665" s="215">
        <v>4004</v>
      </c>
      <c r="E665" s="215">
        <v>8503</v>
      </c>
      <c r="F665" s="211" t="s">
        <v>2982</v>
      </c>
      <c r="G665" s="211" t="s">
        <v>2994</v>
      </c>
      <c r="H665" s="216" t="s">
        <v>1650</v>
      </c>
      <c r="I665" s="217" t="s">
        <v>1651</v>
      </c>
      <c r="J665" s="211" t="s">
        <v>1652</v>
      </c>
      <c r="K665" s="211" t="s">
        <v>1153</v>
      </c>
      <c r="L665" s="211" t="s">
        <v>1153</v>
      </c>
      <c r="M665" s="211" t="s">
        <v>796</v>
      </c>
      <c r="N665" s="211" t="s">
        <v>642</v>
      </c>
      <c r="O665" s="211">
        <v>20</v>
      </c>
      <c r="P665" s="211" t="s">
        <v>37</v>
      </c>
      <c r="Q665" s="226" t="s">
        <v>108</v>
      </c>
      <c r="R665" s="218">
        <v>9650000</v>
      </c>
      <c r="S665" s="218">
        <f>R665*O665</f>
        <v>193000000</v>
      </c>
      <c r="T665" s="219">
        <v>44912</v>
      </c>
      <c r="U665" s="220">
        <v>44970</v>
      </c>
      <c r="V665" s="221">
        <v>44973</v>
      </c>
      <c r="W665" s="211" t="s">
        <v>2813</v>
      </c>
      <c r="X665" s="211" t="s">
        <v>16</v>
      </c>
      <c r="Y665" s="220">
        <v>44874</v>
      </c>
      <c r="Z665" s="222"/>
      <c r="AA665" s="216" t="s">
        <v>2188</v>
      </c>
      <c r="AB665" s="227">
        <v>44908</v>
      </c>
      <c r="AC665" s="295" t="s">
        <v>2826</v>
      </c>
    </row>
    <row r="666" spans="1:29" ht="15.5" x14ac:dyDescent="0.35">
      <c r="A666" s="211" t="s">
        <v>110</v>
      </c>
      <c r="B666" s="214" t="s">
        <v>3378</v>
      </c>
      <c r="C666" s="211" t="s">
        <v>110</v>
      </c>
      <c r="D666" s="215">
        <v>4238</v>
      </c>
      <c r="E666" s="215">
        <v>8956</v>
      </c>
      <c r="F666" s="211" t="s">
        <v>3065</v>
      </c>
      <c r="G666" s="211" t="s">
        <v>3066</v>
      </c>
      <c r="H666" s="216" t="s">
        <v>1650</v>
      </c>
      <c r="I666" s="217" t="s">
        <v>1651</v>
      </c>
      <c r="J666" s="211" t="s">
        <v>1652</v>
      </c>
      <c r="K666" s="211" t="s">
        <v>1153</v>
      </c>
      <c r="L666" s="211" t="s">
        <v>1153</v>
      </c>
      <c r="M666" s="211" t="s">
        <v>796</v>
      </c>
      <c r="N666" s="211" t="s">
        <v>642</v>
      </c>
      <c r="O666" s="211">
        <v>20</v>
      </c>
      <c r="P666" s="211" t="s">
        <v>37</v>
      </c>
      <c r="Q666" s="226" t="s">
        <v>108</v>
      </c>
      <c r="R666" s="218">
        <v>9650000</v>
      </c>
      <c r="S666" s="218">
        <f>R666*O666</f>
        <v>193000000</v>
      </c>
      <c r="T666" s="219">
        <v>44936</v>
      </c>
      <c r="U666" s="220">
        <v>44981</v>
      </c>
      <c r="V666" s="221">
        <v>44991</v>
      </c>
      <c r="W666" s="211" t="s">
        <v>2813</v>
      </c>
      <c r="X666" s="211" t="s">
        <v>16</v>
      </c>
      <c r="Y666" s="220">
        <v>44874</v>
      </c>
      <c r="Z666" s="222"/>
      <c r="AA666" s="216" t="s">
        <v>2188</v>
      </c>
      <c r="AB666" s="227">
        <v>44930</v>
      </c>
      <c r="AC666" s="295" t="s">
        <v>2827</v>
      </c>
    </row>
    <row r="667" spans="1:29" ht="15.5" x14ac:dyDescent="0.35">
      <c r="A667" s="211"/>
      <c r="B667" s="214" t="s">
        <v>3493</v>
      </c>
      <c r="C667" s="211"/>
      <c r="D667" s="215">
        <v>4555</v>
      </c>
      <c r="E667" s="215">
        <v>9621</v>
      </c>
      <c r="F667" s="211" t="s">
        <v>3288</v>
      </c>
      <c r="G667" s="211" t="s">
        <v>3297</v>
      </c>
      <c r="H667" s="216" t="s">
        <v>1650</v>
      </c>
      <c r="I667" s="217" t="s">
        <v>1651</v>
      </c>
      <c r="J667" s="211" t="s">
        <v>1652</v>
      </c>
      <c r="K667" s="211" t="s">
        <v>1153</v>
      </c>
      <c r="L667" s="211" t="s">
        <v>1153</v>
      </c>
      <c r="M667" s="211" t="s">
        <v>796</v>
      </c>
      <c r="N667" s="211" t="s">
        <v>642</v>
      </c>
      <c r="O667" s="211">
        <v>20</v>
      </c>
      <c r="P667" s="211" t="s">
        <v>37</v>
      </c>
      <c r="Q667" s="226" t="s">
        <v>108</v>
      </c>
      <c r="R667" s="218">
        <v>9650000</v>
      </c>
      <c r="S667" s="218">
        <f>R667*O667</f>
        <v>193000000</v>
      </c>
      <c r="T667" s="219">
        <v>44984</v>
      </c>
      <c r="U667" s="220">
        <v>45026</v>
      </c>
      <c r="V667" s="221">
        <v>45009</v>
      </c>
      <c r="W667" s="211" t="s">
        <v>2813</v>
      </c>
      <c r="X667" s="211" t="s">
        <v>16</v>
      </c>
      <c r="Y667" s="220">
        <v>44874</v>
      </c>
      <c r="Z667" s="222"/>
      <c r="AA667" s="216" t="s">
        <v>2188</v>
      </c>
      <c r="AB667" s="227">
        <v>44979</v>
      </c>
      <c r="AC667" s="295" t="s">
        <v>2828</v>
      </c>
    </row>
    <row r="668" spans="1:29" ht="15.5" x14ac:dyDescent="0.35">
      <c r="A668" s="211"/>
      <c r="B668" s="214"/>
      <c r="C668" s="211"/>
      <c r="D668" s="215"/>
      <c r="E668" s="215"/>
      <c r="F668" s="211"/>
      <c r="G668" s="211"/>
      <c r="H668" s="216" t="s">
        <v>1650</v>
      </c>
      <c r="I668" s="217" t="s">
        <v>1651</v>
      </c>
      <c r="J668" s="211" t="s">
        <v>1652</v>
      </c>
      <c r="K668" s="211" t="s">
        <v>1153</v>
      </c>
      <c r="L668" s="211" t="s">
        <v>1153</v>
      </c>
      <c r="M668" s="211" t="s">
        <v>796</v>
      </c>
      <c r="N668" s="211" t="s">
        <v>642</v>
      </c>
      <c r="O668" s="211">
        <v>20</v>
      </c>
      <c r="P668" s="211" t="s">
        <v>37</v>
      </c>
      <c r="Q668" s="226" t="s">
        <v>108</v>
      </c>
      <c r="R668" s="218">
        <v>9650000</v>
      </c>
      <c r="S668" s="218">
        <f>R668*O668</f>
        <v>193000000</v>
      </c>
      <c r="T668" s="219"/>
      <c r="U668" s="220"/>
      <c r="V668" s="221"/>
      <c r="W668" s="211" t="s">
        <v>2813</v>
      </c>
      <c r="X668" s="211" t="s">
        <v>16</v>
      </c>
      <c r="Y668" s="220">
        <v>44874</v>
      </c>
      <c r="Z668" s="222"/>
      <c r="AA668" s="216" t="s">
        <v>2188</v>
      </c>
      <c r="AB668" s="227"/>
      <c r="AC668" s="295" t="s">
        <v>2829</v>
      </c>
    </row>
    <row r="669" spans="1:29" ht="62" x14ac:dyDescent="0.35">
      <c r="A669" s="211">
        <v>8508</v>
      </c>
      <c r="B669" s="214"/>
      <c r="C669" s="211">
        <v>11541</v>
      </c>
      <c r="D669" s="215" t="s">
        <v>110</v>
      </c>
      <c r="E669" s="215" t="s">
        <v>110</v>
      </c>
      <c r="F669" s="211" t="s">
        <v>110</v>
      </c>
      <c r="G669" s="211" t="s">
        <v>110</v>
      </c>
      <c r="H669" s="216" t="s">
        <v>324</v>
      </c>
      <c r="I669" s="217" t="s">
        <v>2834</v>
      </c>
      <c r="J669" s="211" t="s">
        <v>325</v>
      </c>
      <c r="K669" s="211" t="s">
        <v>1160</v>
      </c>
      <c r="L669" s="211" t="s">
        <v>326</v>
      </c>
      <c r="M669" s="211" t="s">
        <v>327</v>
      </c>
      <c r="N669" s="211" t="s">
        <v>14</v>
      </c>
      <c r="O669" s="211">
        <v>18400</v>
      </c>
      <c r="P669" s="211" t="s">
        <v>46</v>
      </c>
      <c r="Q669" s="226" t="s">
        <v>108</v>
      </c>
      <c r="R669" s="218">
        <v>65000</v>
      </c>
      <c r="S669" s="218">
        <f>Product_Name[[#This Row],[Đơn giá
Unit Price]]*Product_Name[[#This Row],[Số lượng
Quantity]]</f>
        <v>1196000000</v>
      </c>
      <c r="T669" s="219">
        <v>44912</v>
      </c>
      <c r="U669" s="220">
        <v>45019</v>
      </c>
      <c r="V669" s="221"/>
      <c r="W669" s="211" t="s">
        <v>3198</v>
      </c>
      <c r="X669" s="211" t="s">
        <v>16</v>
      </c>
      <c r="Y669" s="220" t="s">
        <v>2833</v>
      </c>
      <c r="Z669" s="222" t="s">
        <v>328</v>
      </c>
      <c r="AA669" s="224" t="s">
        <v>2881</v>
      </c>
      <c r="AB669" s="227"/>
      <c r="AC669" s="295"/>
    </row>
    <row r="670" spans="1:29" ht="15.5" x14ac:dyDescent="0.35">
      <c r="A670" s="211" t="s">
        <v>110</v>
      </c>
      <c r="B670" s="214" t="s">
        <v>3271</v>
      </c>
      <c r="C670" s="211" t="s">
        <v>110</v>
      </c>
      <c r="D670" s="215">
        <v>4003</v>
      </c>
      <c r="E670" s="215">
        <v>8516</v>
      </c>
      <c r="F670" s="211" t="s">
        <v>2983</v>
      </c>
      <c r="G670" s="211" t="s">
        <v>2995</v>
      </c>
      <c r="H670" s="216" t="s">
        <v>2836</v>
      </c>
      <c r="I670" s="217" t="s">
        <v>2837</v>
      </c>
      <c r="J670" s="211" t="s">
        <v>2835</v>
      </c>
      <c r="K670" s="211" t="s">
        <v>176</v>
      </c>
      <c r="L670" s="211" t="s">
        <v>176</v>
      </c>
      <c r="M670" s="211" t="s">
        <v>796</v>
      </c>
      <c r="N670" s="211" t="s">
        <v>642</v>
      </c>
      <c r="O670" s="211">
        <v>1</v>
      </c>
      <c r="P670" s="211" t="s">
        <v>37</v>
      </c>
      <c r="Q670" s="226" t="s">
        <v>108</v>
      </c>
      <c r="R670" s="218">
        <v>8730000</v>
      </c>
      <c r="S670" s="218">
        <f>Product_Name[[#This Row],[Đơn giá
Unit Price]]*Product_Name[[#This Row],[Số lượng
Quantity]]</f>
        <v>8730000</v>
      </c>
      <c r="T670" s="219">
        <v>44912</v>
      </c>
      <c r="U670" s="220">
        <v>44939</v>
      </c>
      <c r="V670" s="221">
        <v>44979</v>
      </c>
      <c r="W670" s="211" t="s">
        <v>2160</v>
      </c>
      <c r="X670" s="211" t="s">
        <v>16</v>
      </c>
      <c r="Y670" s="220" t="s">
        <v>2838</v>
      </c>
      <c r="Z670" s="222"/>
      <c r="AA670" s="216" t="s">
        <v>2839</v>
      </c>
      <c r="AB670" s="227">
        <v>44908</v>
      </c>
      <c r="AC670" s="295"/>
    </row>
    <row r="671" spans="1:29" ht="31" x14ac:dyDescent="0.35">
      <c r="A671" s="211" t="s">
        <v>110</v>
      </c>
      <c r="B671" s="214" t="s">
        <v>3333</v>
      </c>
      <c r="C671" s="211" t="s">
        <v>110</v>
      </c>
      <c r="D671" s="215">
        <v>4125</v>
      </c>
      <c r="E671" s="215">
        <v>8723</v>
      </c>
      <c r="F671" s="213" t="s">
        <v>2986</v>
      </c>
      <c r="G671" s="211" t="s">
        <v>3032</v>
      </c>
      <c r="H671" s="216" t="s">
        <v>2840</v>
      </c>
      <c r="I671" s="217" t="s">
        <v>2841</v>
      </c>
      <c r="J671" s="211" t="s">
        <v>2842</v>
      </c>
      <c r="K671" s="211" t="s">
        <v>176</v>
      </c>
      <c r="L671" s="211" t="s">
        <v>176</v>
      </c>
      <c r="M671" s="211" t="s">
        <v>796</v>
      </c>
      <c r="N671" s="211" t="s">
        <v>642</v>
      </c>
      <c r="O671" s="211">
        <v>2</v>
      </c>
      <c r="P671" s="211" t="s">
        <v>37</v>
      </c>
      <c r="Q671" s="226" t="s">
        <v>108</v>
      </c>
      <c r="R671" s="218">
        <v>22000000</v>
      </c>
      <c r="S671" s="218">
        <f>Product_Name[[#This Row],[Đơn giá
Unit Price]]*Product_Name[[#This Row],[Số lượng
Quantity]]</f>
        <v>44000000</v>
      </c>
      <c r="T671" s="219">
        <v>44923</v>
      </c>
      <c r="U671" s="220">
        <v>44963</v>
      </c>
      <c r="V671" s="221">
        <v>44988</v>
      </c>
      <c r="W671" s="214" t="s">
        <v>2577</v>
      </c>
      <c r="X671" s="211" t="s">
        <v>55</v>
      </c>
      <c r="Y671" s="220" t="s">
        <v>2844</v>
      </c>
      <c r="Z671" s="222"/>
      <c r="AA671" s="216" t="s">
        <v>2843</v>
      </c>
      <c r="AB671" s="227">
        <v>44910</v>
      </c>
      <c r="AC671" s="295"/>
    </row>
    <row r="672" spans="1:29" ht="15.5" x14ac:dyDescent="0.35">
      <c r="A672" s="211" t="s">
        <v>110</v>
      </c>
      <c r="B672" s="214" t="s">
        <v>3292</v>
      </c>
      <c r="C672" s="211" t="s">
        <v>110</v>
      </c>
      <c r="D672" s="215">
        <v>4239</v>
      </c>
      <c r="E672" s="215">
        <v>8953</v>
      </c>
      <c r="F672" s="211" t="s">
        <v>3067</v>
      </c>
      <c r="G672" s="211" t="s">
        <v>3068</v>
      </c>
      <c r="H672" s="216" t="s">
        <v>2845</v>
      </c>
      <c r="I672" s="217" t="s">
        <v>2847</v>
      </c>
      <c r="J672" s="211" t="s">
        <v>2846</v>
      </c>
      <c r="K672" s="211" t="s">
        <v>733</v>
      </c>
      <c r="L672" s="211" t="s">
        <v>733</v>
      </c>
      <c r="M672" s="211" t="s">
        <v>796</v>
      </c>
      <c r="N672" s="211" t="s">
        <v>642</v>
      </c>
      <c r="O672" s="211">
        <v>5</v>
      </c>
      <c r="P672" s="211" t="s">
        <v>37</v>
      </c>
      <c r="Q672" s="226" t="s">
        <v>108</v>
      </c>
      <c r="R672" s="218">
        <v>3107000</v>
      </c>
      <c r="S672" s="218">
        <f>Product_Name[[#This Row],[Đơn giá
Unit Price]]*Product_Name[[#This Row],[Số lượng
Quantity]]</f>
        <v>15535000</v>
      </c>
      <c r="T672" s="219">
        <v>44936</v>
      </c>
      <c r="U672" s="220">
        <v>44970</v>
      </c>
      <c r="V672" s="221">
        <v>44981</v>
      </c>
      <c r="W672" s="214" t="s">
        <v>1537</v>
      </c>
      <c r="X672" s="211" t="s">
        <v>16</v>
      </c>
      <c r="Y672" s="220" t="s">
        <v>2848</v>
      </c>
      <c r="Z672" s="222"/>
      <c r="AA672" s="216" t="s">
        <v>2647</v>
      </c>
      <c r="AB672" s="227"/>
      <c r="AC672" s="295"/>
    </row>
    <row r="673" spans="1:29" ht="15.5" x14ac:dyDescent="0.35">
      <c r="A673" s="211"/>
      <c r="B673" s="214"/>
      <c r="C673" s="211"/>
      <c r="D673" s="215"/>
      <c r="E673" s="215"/>
      <c r="F673" s="211"/>
      <c r="G673" s="211"/>
      <c r="H673" s="216" t="s">
        <v>2874</v>
      </c>
      <c r="I673" s="217" t="s">
        <v>2857</v>
      </c>
      <c r="J673" s="211" t="s">
        <v>2868</v>
      </c>
      <c r="K673" s="211"/>
      <c r="L673" s="211"/>
      <c r="M673" s="211" t="s">
        <v>796</v>
      </c>
      <c r="N673" s="211" t="s">
        <v>642</v>
      </c>
      <c r="O673" s="211">
        <v>1</v>
      </c>
      <c r="P673" s="211" t="s">
        <v>276</v>
      </c>
      <c r="Q673" s="226" t="s">
        <v>108</v>
      </c>
      <c r="R673" s="218"/>
      <c r="S673" s="218">
        <f>Product_Name[[#This Row],[Đơn giá
Unit Price]]*Product_Name[[#This Row],[Số lượng
Quantity]]</f>
        <v>0</v>
      </c>
      <c r="T673" s="219"/>
      <c r="U673" s="220"/>
      <c r="V673" s="221"/>
      <c r="W673" s="211"/>
      <c r="X673" s="211" t="s">
        <v>16</v>
      </c>
      <c r="Y673" s="220" t="s">
        <v>2856</v>
      </c>
      <c r="Z673" s="222"/>
      <c r="AA673" s="216" t="s">
        <v>2181</v>
      </c>
      <c r="AB673" s="227" t="s">
        <v>2903</v>
      </c>
      <c r="AC673" s="295"/>
    </row>
    <row r="674" spans="1:29" ht="15.5" x14ac:dyDescent="0.35">
      <c r="A674" s="211"/>
      <c r="B674" s="214"/>
      <c r="C674" s="211"/>
      <c r="D674" s="215"/>
      <c r="E674" s="215"/>
      <c r="F674" s="211"/>
      <c r="G674" s="211"/>
      <c r="H674" s="216" t="s">
        <v>2858</v>
      </c>
      <c r="I674" s="217" t="s">
        <v>2859</v>
      </c>
      <c r="J674" s="211" t="s">
        <v>2869</v>
      </c>
      <c r="K674" s="211"/>
      <c r="L674" s="211"/>
      <c r="M674" s="211" t="s">
        <v>796</v>
      </c>
      <c r="N674" s="211" t="s">
        <v>642</v>
      </c>
      <c r="O674" s="211">
        <v>1</v>
      </c>
      <c r="P674" s="211" t="s">
        <v>107</v>
      </c>
      <c r="Q674" s="226" t="s">
        <v>108</v>
      </c>
      <c r="R674" s="218"/>
      <c r="S674" s="218">
        <f>Product_Name[[#This Row],[Đơn giá
Unit Price]]*Product_Name[[#This Row],[Số lượng
Quantity]]</f>
        <v>0</v>
      </c>
      <c r="T674" s="219"/>
      <c r="U674" s="220"/>
      <c r="V674" s="221"/>
      <c r="W674" s="211"/>
      <c r="X674" s="211" t="s">
        <v>16</v>
      </c>
      <c r="Y674" s="220" t="s">
        <v>2856</v>
      </c>
      <c r="Z674" s="222"/>
      <c r="AA674" s="216" t="s">
        <v>2181</v>
      </c>
      <c r="AB674" s="227" t="s">
        <v>2903</v>
      </c>
      <c r="AC674" s="295"/>
    </row>
    <row r="675" spans="1:29" ht="15.5" x14ac:dyDescent="0.35">
      <c r="A675" s="211"/>
      <c r="B675" s="214"/>
      <c r="C675" s="211"/>
      <c r="D675" s="215"/>
      <c r="E675" s="215"/>
      <c r="F675" s="211"/>
      <c r="G675" s="211"/>
      <c r="H675" s="216" t="s">
        <v>2860</v>
      </c>
      <c r="I675" s="217" t="s">
        <v>2861</v>
      </c>
      <c r="J675" s="211" t="s">
        <v>2870</v>
      </c>
      <c r="K675" s="211"/>
      <c r="L675" s="211"/>
      <c r="M675" s="211" t="s">
        <v>796</v>
      </c>
      <c r="N675" s="211" t="s">
        <v>642</v>
      </c>
      <c r="O675" s="211">
        <v>1</v>
      </c>
      <c r="P675" s="211" t="s">
        <v>276</v>
      </c>
      <c r="Q675" s="226" t="s">
        <v>108</v>
      </c>
      <c r="R675" s="218"/>
      <c r="S675" s="218">
        <f>Product_Name[[#This Row],[Đơn giá
Unit Price]]*Product_Name[[#This Row],[Số lượng
Quantity]]</f>
        <v>0</v>
      </c>
      <c r="T675" s="219"/>
      <c r="U675" s="220"/>
      <c r="V675" s="221"/>
      <c r="W675" s="211"/>
      <c r="X675" s="211" t="s">
        <v>16</v>
      </c>
      <c r="Y675" s="220" t="s">
        <v>2856</v>
      </c>
      <c r="Z675" s="222"/>
      <c r="AA675" s="216" t="s">
        <v>2181</v>
      </c>
      <c r="AB675" s="227" t="s">
        <v>2903</v>
      </c>
      <c r="AC675" s="295"/>
    </row>
    <row r="676" spans="1:29" ht="15.5" x14ac:dyDescent="0.35">
      <c r="A676" s="211"/>
      <c r="B676" s="214"/>
      <c r="C676" s="211"/>
      <c r="D676" s="215"/>
      <c r="E676" s="215"/>
      <c r="F676" s="211"/>
      <c r="G676" s="211"/>
      <c r="H676" s="216" t="s">
        <v>2862</v>
      </c>
      <c r="I676" s="217" t="s">
        <v>2863</v>
      </c>
      <c r="J676" s="211" t="s">
        <v>2871</v>
      </c>
      <c r="K676" s="211"/>
      <c r="L676" s="211"/>
      <c r="M676" s="211" t="s">
        <v>796</v>
      </c>
      <c r="N676" s="211" t="s">
        <v>642</v>
      </c>
      <c r="O676" s="211">
        <v>5</v>
      </c>
      <c r="P676" s="211" t="s">
        <v>276</v>
      </c>
      <c r="Q676" s="226" t="s">
        <v>108</v>
      </c>
      <c r="R676" s="218"/>
      <c r="S676" s="218">
        <f>Product_Name[[#This Row],[Đơn giá
Unit Price]]*Product_Name[[#This Row],[Số lượng
Quantity]]</f>
        <v>0</v>
      </c>
      <c r="T676" s="219"/>
      <c r="U676" s="220"/>
      <c r="V676" s="221"/>
      <c r="W676" s="211"/>
      <c r="X676" s="211" t="s">
        <v>16</v>
      </c>
      <c r="Y676" s="220" t="s">
        <v>2856</v>
      </c>
      <c r="Z676" s="222"/>
      <c r="AA676" s="216" t="s">
        <v>2181</v>
      </c>
      <c r="AB676" s="227" t="s">
        <v>2903</v>
      </c>
      <c r="AC676" s="295"/>
    </row>
    <row r="677" spans="1:29" ht="15.5" x14ac:dyDescent="0.35">
      <c r="A677" s="211"/>
      <c r="B677" s="214"/>
      <c r="C677" s="211"/>
      <c r="D677" s="215"/>
      <c r="E677" s="215"/>
      <c r="F677" s="211"/>
      <c r="G677" s="211"/>
      <c r="H677" s="216" t="s">
        <v>2864</v>
      </c>
      <c r="I677" s="217" t="s">
        <v>2865</v>
      </c>
      <c r="J677" s="211" t="s">
        <v>2872</v>
      </c>
      <c r="K677" s="211"/>
      <c r="L677" s="211"/>
      <c r="M677" s="211" t="s">
        <v>796</v>
      </c>
      <c r="N677" s="211" t="s">
        <v>642</v>
      </c>
      <c r="O677" s="211">
        <v>5</v>
      </c>
      <c r="P677" s="211" t="s">
        <v>276</v>
      </c>
      <c r="Q677" s="226" t="s">
        <v>108</v>
      </c>
      <c r="R677" s="218"/>
      <c r="S677" s="218">
        <f>Product_Name[[#This Row],[Đơn giá
Unit Price]]*Product_Name[[#This Row],[Số lượng
Quantity]]</f>
        <v>0</v>
      </c>
      <c r="T677" s="219"/>
      <c r="U677" s="220"/>
      <c r="V677" s="221"/>
      <c r="W677" s="211"/>
      <c r="X677" s="211" t="s">
        <v>16</v>
      </c>
      <c r="Y677" s="220" t="s">
        <v>2856</v>
      </c>
      <c r="Z677" s="222"/>
      <c r="AA677" s="216" t="s">
        <v>2181</v>
      </c>
      <c r="AB677" s="227" t="s">
        <v>2903</v>
      </c>
      <c r="AC677" s="295"/>
    </row>
    <row r="678" spans="1:29" ht="15.5" x14ac:dyDescent="0.35">
      <c r="A678" s="211"/>
      <c r="B678" s="214"/>
      <c r="C678" s="211"/>
      <c r="D678" s="215"/>
      <c r="E678" s="215"/>
      <c r="F678" s="211"/>
      <c r="G678" s="211"/>
      <c r="H678" s="216" t="s">
        <v>2866</v>
      </c>
      <c r="I678" s="217" t="s">
        <v>2867</v>
      </c>
      <c r="J678" s="211" t="s">
        <v>2873</v>
      </c>
      <c r="K678" s="211"/>
      <c r="L678" s="211"/>
      <c r="M678" s="211" t="s">
        <v>796</v>
      </c>
      <c r="N678" s="211" t="s">
        <v>642</v>
      </c>
      <c r="O678" s="211">
        <v>1</v>
      </c>
      <c r="P678" s="211" t="s">
        <v>276</v>
      </c>
      <c r="Q678" s="226" t="s">
        <v>108</v>
      </c>
      <c r="R678" s="218"/>
      <c r="S678" s="218">
        <f>Product_Name[[#This Row],[Đơn giá
Unit Price]]*Product_Name[[#This Row],[Số lượng
Quantity]]</f>
        <v>0</v>
      </c>
      <c r="T678" s="219"/>
      <c r="U678" s="220"/>
      <c r="V678" s="221"/>
      <c r="W678" s="211"/>
      <c r="X678" s="211" t="s">
        <v>16</v>
      </c>
      <c r="Y678" s="220" t="s">
        <v>2856</v>
      </c>
      <c r="Z678" s="222"/>
      <c r="AA678" s="216" t="s">
        <v>2181</v>
      </c>
      <c r="AB678" s="227" t="s">
        <v>2903</v>
      </c>
      <c r="AC678" s="295"/>
    </row>
    <row r="679" spans="1:29" ht="15.5" x14ac:dyDescent="0.35">
      <c r="A679" s="211">
        <v>8954</v>
      </c>
      <c r="B679" s="214" t="s">
        <v>3195</v>
      </c>
      <c r="C679" s="211">
        <v>12245</v>
      </c>
      <c r="D679" s="215" t="s">
        <v>110</v>
      </c>
      <c r="E679" s="215" t="s">
        <v>110</v>
      </c>
      <c r="F679" s="215" t="s">
        <v>110</v>
      </c>
      <c r="G679" s="215" t="s">
        <v>110</v>
      </c>
      <c r="H679" s="216" t="s">
        <v>1671</v>
      </c>
      <c r="I679" s="217" t="s">
        <v>1667</v>
      </c>
      <c r="J679" s="211" t="s">
        <v>3069</v>
      </c>
      <c r="K679" s="211" t="s">
        <v>3031</v>
      </c>
      <c r="L679" s="211" t="s">
        <v>3031</v>
      </c>
      <c r="M679" s="211" t="s">
        <v>1282</v>
      </c>
      <c r="N679" s="211" t="s">
        <v>14</v>
      </c>
      <c r="O679" s="211">
        <v>10000</v>
      </c>
      <c r="P679" s="211" t="s">
        <v>276</v>
      </c>
      <c r="Q679" s="226" t="s">
        <v>108</v>
      </c>
      <c r="R679" s="218">
        <v>1233</v>
      </c>
      <c r="S679" s="218">
        <f>Product_Name[[#This Row],[Đơn giá
Unit Price]]*Product_Name[[#This Row],[Số lượng
Quantity]]</f>
        <v>12330000</v>
      </c>
      <c r="T679" s="219">
        <v>44937</v>
      </c>
      <c r="U679" s="220">
        <v>44958</v>
      </c>
      <c r="V679" s="221">
        <v>44960</v>
      </c>
      <c r="W679" s="211" t="s">
        <v>2813</v>
      </c>
      <c r="X679" s="211" t="s">
        <v>55</v>
      </c>
      <c r="Y679" s="220" t="s">
        <v>2878</v>
      </c>
      <c r="Z679" s="222" t="s">
        <v>2087</v>
      </c>
      <c r="AA679" s="216" t="s">
        <v>2155</v>
      </c>
      <c r="AB679" s="227"/>
      <c r="AC679" s="295"/>
    </row>
    <row r="680" spans="1:29" ht="15.5" x14ac:dyDescent="0.35">
      <c r="A680" s="211">
        <v>8954</v>
      </c>
      <c r="B680" s="214" t="s">
        <v>3195</v>
      </c>
      <c r="C680" s="211">
        <v>12245</v>
      </c>
      <c r="D680" s="215" t="s">
        <v>110</v>
      </c>
      <c r="E680" s="215" t="s">
        <v>110</v>
      </c>
      <c r="F680" s="215" t="s">
        <v>110</v>
      </c>
      <c r="G680" s="215" t="s">
        <v>110</v>
      </c>
      <c r="H680" s="216" t="s">
        <v>1672</v>
      </c>
      <c r="I680" s="217" t="s">
        <v>1668</v>
      </c>
      <c r="J680" s="211" t="s">
        <v>3070</v>
      </c>
      <c r="K680" s="211" t="s">
        <v>3031</v>
      </c>
      <c r="L680" s="211" t="s">
        <v>3031</v>
      </c>
      <c r="M680" s="211" t="s">
        <v>1282</v>
      </c>
      <c r="N680" s="211" t="s">
        <v>14</v>
      </c>
      <c r="O680" s="211">
        <v>10000</v>
      </c>
      <c r="P680" s="211" t="s">
        <v>276</v>
      </c>
      <c r="Q680" s="226" t="s">
        <v>108</v>
      </c>
      <c r="R680" s="218">
        <v>1746</v>
      </c>
      <c r="S680" s="218">
        <f>Product_Name[[#This Row],[Đơn giá
Unit Price]]*Product_Name[[#This Row],[Số lượng
Quantity]]</f>
        <v>17460000</v>
      </c>
      <c r="T680" s="219">
        <v>44937</v>
      </c>
      <c r="U680" s="220">
        <v>44958</v>
      </c>
      <c r="V680" s="221">
        <v>44960</v>
      </c>
      <c r="W680" s="211" t="s">
        <v>2813</v>
      </c>
      <c r="X680" s="211" t="s">
        <v>55</v>
      </c>
      <c r="Y680" s="220" t="s">
        <v>2878</v>
      </c>
      <c r="Z680" s="222" t="s">
        <v>2087</v>
      </c>
      <c r="AA680" s="216" t="s">
        <v>2155</v>
      </c>
      <c r="AB680" s="227"/>
      <c r="AC680" s="295"/>
    </row>
    <row r="681" spans="1:29" ht="31" x14ac:dyDescent="0.35">
      <c r="A681" s="211"/>
      <c r="B681" s="214"/>
      <c r="C681" s="211"/>
      <c r="D681" s="215"/>
      <c r="E681" s="215"/>
      <c r="F681" s="211"/>
      <c r="G681" s="211"/>
      <c r="H681" s="216" t="s">
        <v>2892</v>
      </c>
      <c r="I681" s="217" t="s">
        <v>2895</v>
      </c>
      <c r="J681" s="211" t="s">
        <v>2889</v>
      </c>
      <c r="K681" s="211" t="s">
        <v>2898</v>
      </c>
      <c r="L681" s="211"/>
      <c r="M681" s="211" t="s">
        <v>796</v>
      </c>
      <c r="N681" s="211" t="s">
        <v>642</v>
      </c>
      <c r="O681" s="211">
        <v>1</v>
      </c>
      <c r="P681" s="211" t="s">
        <v>1092</v>
      </c>
      <c r="Q681" s="226" t="s">
        <v>108</v>
      </c>
      <c r="R681" s="218"/>
      <c r="S681" s="218">
        <f>Product_Name[[#This Row],[Đơn giá
Unit Price]]*Product_Name[[#This Row],[Số lượng
Quantity]]</f>
        <v>0</v>
      </c>
      <c r="T681" s="219"/>
      <c r="U681" s="220"/>
      <c r="V681" s="221"/>
      <c r="W681" s="211"/>
      <c r="X681" s="211" t="s">
        <v>55</v>
      </c>
      <c r="Y681" s="220" t="s">
        <v>2900</v>
      </c>
      <c r="Z681" s="222"/>
      <c r="AA681" s="224" t="s">
        <v>2899</v>
      </c>
      <c r="AB681" s="227"/>
      <c r="AC681" s="295"/>
    </row>
    <row r="682" spans="1:29" ht="15.5" x14ac:dyDescent="0.35">
      <c r="A682" s="211"/>
      <c r="B682" s="214"/>
      <c r="C682" s="211"/>
      <c r="D682" s="215"/>
      <c r="E682" s="215"/>
      <c r="F682" s="211"/>
      <c r="G682" s="211"/>
      <c r="H682" s="216" t="s">
        <v>2893</v>
      </c>
      <c r="I682" s="217" t="s">
        <v>2896</v>
      </c>
      <c r="J682" s="211" t="s">
        <v>2890</v>
      </c>
      <c r="K682" s="211" t="s">
        <v>2898</v>
      </c>
      <c r="L682" s="211"/>
      <c r="M682" s="211" t="s">
        <v>796</v>
      </c>
      <c r="N682" s="211" t="s">
        <v>642</v>
      </c>
      <c r="O682" s="211">
        <v>1</v>
      </c>
      <c r="P682" s="211" t="s">
        <v>1092</v>
      </c>
      <c r="Q682" s="226" t="s">
        <v>108</v>
      </c>
      <c r="R682" s="218"/>
      <c r="S682" s="218">
        <f>Product_Name[[#This Row],[Đơn giá
Unit Price]]*Product_Name[[#This Row],[Số lượng
Quantity]]</f>
        <v>0</v>
      </c>
      <c r="T682" s="219"/>
      <c r="U682" s="220"/>
      <c r="V682" s="221"/>
      <c r="W682" s="211"/>
      <c r="X682" s="211" t="s">
        <v>55</v>
      </c>
      <c r="Y682" s="220" t="s">
        <v>2900</v>
      </c>
      <c r="Z682" s="222"/>
      <c r="AA682" s="216" t="s">
        <v>2899</v>
      </c>
      <c r="AB682" s="227"/>
      <c r="AC682" s="295"/>
    </row>
    <row r="683" spans="1:29" ht="15.5" x14ac:dyDescent="0.35">
      <c r="A683" s="211"/>
      <c r="B683" s="214"/>
      <c r="C683" s="211"/>
      <c r="D683" s="215"/>
      <c r="E683" s="215"/>
      <c r="F683" s="211"/>
      <c r="G683" s="211"/>
      <c r="H683" s="216" t="s">
        <v>2894</v>
      </c>
      <c r="I683" s="217" t="s">
        <v>2897</v>
      </c>
      <c r="J683" s="211" t="s">
        <v>2891</v>
      </c>
      <c r="K683" s="211" t="s">
        <v>2898</v>
      </c>
      <c r="L683" s="211"/>
      <c r="M683" s="211" t="s">
        <v>796</v>
      </c>
      <c r="N683" s="211" t="s">
        <v>642</v>
      </c>
      <c r="O683" s="211">
        <v>1</v>
      </c>
      <c r="P683" s="211" t="s">
        <v>1092</v>
      </c>
      <c r="Q683" s="226" t="s">
        <v>108</v>
      </c>
      <c r="R683" s="218"/>
      <c r="S683" s="218">
        <f>Product_Name[[#This Row],[Đơn giá
Unit Price]]*Product_Name[[#This Row],[Số lượng
Quantity]]</f>
        <v>0</v>
      </c>
      <c r="T683" s="219"/>
      <c r="U683" s="220"/>
      <c r="V683" s="221"/>
      <c r="W683" s="211"/>
      <c r="X683" s="211" t="s">
        <v>55</v>
      </c>
      <c r="Y683" s="220" t="s">
        <v>2900</v>
      </c>
      <c r="Z683" s="222"/>
      <c r="AA683" s="216" t="s">
        <v>2899</v>
      </c>
      <c r="AB683" s="227"/>
      <c r="AC683" s="295"/>
    </row>
    <row r="684" spans="1:29" ht="15.5" x14ac:dyDescent="0.35">
      <c r="A684" s="215" t="s">
        <v>110</v>
      </c>
      <c r="B684" s="214" t="s">
        <v>3327</v>
      </c>
      <c r="C684" s="215" t="s">
        <v>110</v>
      </c>
      <c r="D684" s="215">
        <v>4267</v>
      </c>
      <c r="E684" s="215">
        <v>9025</v>
      </c>
      <c r="F684" s="215" t="s">
        <v>110</v>
      </c>
      <c r="G684" s="215" t="s">
        <v>110</v>
      </c>
      <c r="H684" s="216" t="s">
        <v>2912</v>
      </c>
      <c r="I684" s="217" t="s">
        <v>2913</v>
      </c>
      <c r="J684" s="211" t="s">
        <v>2910</v>
      </c>
      <c r="K684" s="211" t="s">
        <v>1663</v>
      </c>
      <c r="L684" s="211" t="s">
        <v>1663</v>
      </c>
      <c r="M684" s="211" t="s">
        <v>2914</v>
      </c>
      <c r="N684" s="211" t="s">
        <v>642</v>
      </c>
      <c r="O684" s="211">
        <v>350</v>
      </c>
      <c r="P684" s="211" t="s">
        <v>312</v>
      </c>
      <c r="Q684" s="226" t="s">
        <v>108</v>
      </c>
      <c r="R684" s="218">
        <v>88300</v>
      </c>
      <c r="S684" s="218">
        <f>Product_Name[[#This Row],[Đơn giá
Unit Price]]*Product_Name[[#This Row],[Số lượng
Quantity]]</f>
        <v>30905000</v>
      </c>
      <c r="T684" s="219">
        <v>44937</v>
      </c>
      <c r="U684" s="220">
        <v>44986</v>
      </c>
      <c r="V684" s="221">
        <v>44986</v>
      </c>
      <c r="W684" s="211" t="s">
        <v>2814</v>
      </c>
      <c r="X684" s="211" t="s">
        <v>53</v>
      </c>
      <c r="Y684" s="220" t="s">
        <v>2915</v>
      </c>
      <c r="Z684" s="222"/>
      <c r="AA684" s="216" t="s">
        <v>2647</v>
      </c>
      <c r="AB684" s="227"/>
      <c r="AC684" s="295"/>
    </row>
    <row r="685" spans="1:29" ht="15.5" x14ac:dyDescent="0.35">
      <c r="A685" s="215" t="s">
        <v>110</v>
      </c>
      <c r="B685" s="214" t="s">
        <v>3327</v>
      </c>
      <c r="C685" s="215" t="s">
        <v>110</v>
      </c>
      <c r="D685" s="215">
        <v>4267</v>
      </c>
      <c r="E685" s="215">
        <v>9025</v>
      </c>
      <c r="F685" s="215" t="s">
        <v>110</v>
      </c>
      <c r="G685" s="215" t="s">
        <v>110</v>
      </c>
      <c r="H685" s="216" t="s">
        <v>2912</v>
      </c>
      <c r="I685" s="217" t="s">
        <v>2913</v>
      </c>
      <c r="J685" s="211" t="s">
        <v>2911</v>
      </c>
      <c r="K685" s="211" t="s">
        <v>1663</v>
      </c>
      <c r="L685" s="211" t="s">
        <v>1663</v>
      </c>
      <c r="M685" s="211" t="s">
        <v>2914</v>
      </c>
      <c r="N685" s="211" t="s">
        <v>642</v>
      </c>
      <c r="O685" s="211">
        <v>300</v>
      </c>
      <c r="P685" s="211" t="s">
        <v>312</v>
      </c>
      <c r="Q685" s="226" t="s">
        <v>108</v>
      </c>
      <c r="R685" s="218">
        <v>46900</v>
      </c>
      <c r="S685" s="218">
        <f>Product_Name[[#This Row],[Đơn giá
Unit Price]]*Product_Name[[#This Row],[Số lượng
Quantity]]</f>
        <v>14070000</v>
      </c>
      <c r="T685" s="219">
        <v>44937</v>
      </c>
      <c r="U685" s="220">
        <v>44986</v>
      </c>
      <c r="V685" s="221">
        <v>44986</v>
      </c>
      <c r="W685" s="211" t="s">
        <v>2814</v>
      </c>
      <c r="X685" s="211" t="s">
        <v>53</v>
      </c>
      <c r="Y685" s="220" t="s">
        <v>2915</v>
      </c>
      <c r="Z685" s="222"/>
      <c r="AA685" s="216" t="s">
        <v>2647</v>
      </c>
      <c r="AB685" s="227"/>
      <c r="AC685" s="295"/>
    </row>
    <row r="686" spans="1:29" ht="15.5" x14ac:dyDescent="0.35">
      <c r="A686" s="211"/>
      <c r="B686" s="214"/>
      <c r="C686" s="211"/>
      <c r="D686" s="215"/>
      <c r="E686" s="215"/>
      <c r="F686" s="211"/>
      <c r="G686" s="211" t="s">
        <v>2969</v>
      </c>
      <c r="H686" s="216" t="s">
        <v>2934</v>
      </c>
      <c r="I686" s="217" t="s">
        <v>2932</v>
      </c>
      <c r="J686" s="211" t="s">
        <v>2933</v>
      </c>
      <c r="K686" s="211"/>
      <c r="L686" s="211"/>
      <c r="M686" s="211" t="s">
        <v>796</v>
      </c>
      <c r="N686" s="211" t="s">
        <v>642</v>
      </c>
      <c r="O686" s="211">
        <v>7</v>
      </c>
      <c r="P686" s="211" t="s">
        <v>276</v>
      </c>
      <c r="Q686" s="226" t="s">
        <v>108</v>
      </c>
      <c r="R686" s="218">
        <v>2025000</v>
      </c>
      <c r="S686" s="218">
        <f>Product_Name[[#This Row],[Đơn giá
Unit Price]]*Product_Name[[#This Row],[Số lượng
Quantity]]</f>
        <v>14175000</v>
      </c>
      <c r="T686" s="219"/>
      <c r="U686" s="220"/>
      <c r="V686" s="221"/>
      <c r="W686" s="211" t="s">
        <v>2813</v>
      </c>
      <c r="X686" s="211" t="s">
        <v>16</v>
      </c>
      <c r="Y686" s="220" t="s">
        <v>2936</v>
      </c>
      <c r="Z686" s="222"/>
      <c r="AA686" s="216" t="s">
        <v>2935</v>
      </c>
      <c r="AB686" s="227"/>
      <c r="AC686" s="295"/>
    </row>
    <row r="687" spans="1:29" ht="15.5" x14ac:dyDescent="0.35">
      <c r="A687" s="211">
        <v>8225</v>
      </c>
      <c r="B687" s="214" t="s">
        <v>3010</v>
      </c>
      <c r="C687" s="211">
        <v>11126</v>
      </c>
      <c r="D687" s="211" t="s">
        <v>110</v>
      </c>
      <c r="E687" s="211" t="s">
        <v>110</v>
      </c>
      <c r="F687" s="211" t="s">
        <v>110</v>
      </c>
      <c r="G687" s="211" t="s">
        <v>110</v>
      </c>
      <c r="H687" s="216" t="s">
        <v>3009</v>
      </c>
      <c r="I687" s="217" t="s">
        <v>2306</v>
      </c>
      <c r="J687" s="211" t="s">
        <v>2940</v>
      </c>
      <c r="K687" s="211" t="s">
        <v>2265</v>
      </c>
      <c r="L687" s="211" t="s">
        <v>2265</v>
      </c>
      <c r="M687" s="211" t="s">
        <v>1282</v>
      </c>
      <c r="N687" s="211" t="s">
        <v>14</v>
      </c>
      <c r="O687" s="211">
        <v>100</v>
      </c>
      <c r="P687" s="211" t="s">
        <v>276</v>
      </c>
      <c r="Q687" s="226" t="s">
        <v>108</v>
      </c>
      <c r="R687" s="218">
        <v>990000</v>
      </c>
      <c r="S687" s="218">
        <f>Product_Name[[#This Row],[Đơn giá
Unit Price]]*Product_Name[[#This Row],[Số lượng
Quantity]]</f>
        <v>99000000</v>
      </c>
      <c r="T687" s="219">
        <v>44898</v>
      </c>
      <c r="U687" s="220">
        <v>44903</v>
      </c>
      <c r="V687" s="221">
        <v>44915</v>
      </c>
      <c r="W687" s="211" t="s">
        <v>2814</v>
      </c>
      <c r="X687" s="211" t="s">
        <v>55</v>
      </c>
      <c r="Y687" s="220" t="s">
        <v>2944</v>
      </c>
      <c r="Z687" s="222" t="s">
        <v>2087</v>
      </c>
      <c r="AA687" s="216" t="s">
        <v>2155</v>
      </c>
      <c r="AB687" s="227"/>
      <c r="AC687" s="295"/>
    </row>
    <row r="688" spans="1:29" ht="15.5" x14ac:dyDescent="0.35">
      <c r="A688" s="211">
        <v>8225</v>
      </c>
      <c r="B688" s="214" t="s">
        <v>3010</v>
      </c>
      <c r="C688" s="211">
        <v>11126</v>
      </c>
      <c r="D688" s="211" t="s">
        <v>110</v>
      </c>
      <c r="E688" s="211" t="s">
        <v>110</v>
      </c>
      <c r="F688" s="211" t="s">
        <v>110</v>
      </c>
      <c r="G688" s="211" t="s">
        <v>110</v>
      </c>
      <c r="H688" s="216" t="s">
        <v>2941</v>
      </c>
      <c r="I688" s="217" t="s">
        <v>2942</v>
      </c>
      <c r="J688" s="211" t="s">
        <v>2943</v>
      </c>
      <c r="K688" s="211" t="s">
        <v>2265</v>
      </c>
      <c r="L688" s="211" t="s">
        <v>2265</v>
      </c>
      <c r="M688" s="211" t="s">
        <v>1282</v>
      </c>
      <c r="N688" s="211" t="s">
        <v>14</v>
      </c>
      <c r="O688" s="211">
        <v>100</v>
      </c>
      <c r="P688" s="211" t="s">
        <v>276</v>
      </c>
      <c r="Q688" s="226" t="s">
        <v>108</v>
      </c>
      <c r="R688" s="218">
        <v>20000</v>
      </c>
      <c r="S688" s="218">
        <f>Product_Name[[#This Row],[Đơn giá
Unit Price]]*Product_Name[[#This Row],[Số lượng
Quantity]]</f>
        <v>2000000</v>
      </c>
      <c r="T688" s="219">
        <v>44898</v>
      </c>
      <c r="U688" s="220">
        <v>44903</v>
      </c>
      <c r="V688" s="221">
        <v>44915</v>
      </c>
      <c r="W688" s="211" t="s">
        <v>2814</v>
      </c>
      <c r="X688" s="211" t="s">
        <v>55</v>
      </c>
      <c r="Y688" s="220" t="s">
        <v>2944</v>
      </c>
      <c r="Z688" s="222" t="s">
        <v>2087</v>
      </c>
      <c r="AA688" s="216" t="s">
        <v>2155</v>
      </c>
      <c r="AB688" s="227"/>
      <c r="AC688" s="295"/>
    </row>
    <row r="689" spans="1:29" ht="15.5" x14ac:dyDescent="0.35">
      <c r="A689" s="211">
        <v>8424</v>
      </c>
      <c r="B689" s="214" t="s">
        <v>3018</v>
      </c>
      <c r="C689" s="211">
        <v>11434</v>
      </c>
      <c r="D689" s="211" t="s">
        <v>110</v>
      </c>
      <c r="E689" s="211" t="s">
        <v>110</v>
      </c>
      <c r="F689" s="211" t="s">
        <v>110</v>
      </c>
      <c r="G689" s="211" t="s">
        <v>110</v>
      </c>
      <c r="H689" s="216" t="s">
        <v>2952</v>
      </c>
      <c r="I689" s="217" t="s">
        <v>2953</v>
      </c>
      <c r="J689" s="211" t="s">
        <v>2951</v>
      </c>
      <c r="K689" s="211" t="s">
        <v>2954</v>
      </c>
      <c r="L689" s="211" t="s">
        <v>99</v>
      </c>
      <c r="M689" s="211" t="s">
        <v>123</v>
      </c>
      <c r="N689" s="211" t="s">
        <v>14</v>
      </c>
      <c r="O689" s="211">
        <v>2</v>
      </c>
      <c r="P689" s="211" t="s">
        <v>276</v>
      </c>
      <c r="Q689" s="226" t="s">
        <v>108</v>
      </c>
      <c r="R689" s="218">
        <v>620000</v>
      </c>
      <c r="S689" s="218">
        <f>Product_Name[[#This Row],[Đơn giá
Unit Price]]*Product_Name[[#This Row],[Số lượng
Quantity]]</f>
        <v>1240000</v>
      </c>
      <c r="T689" s="219">
        <v>44909</v>
      </c>
      <c r="U689" s="220">
        <v>44928</v>
      </c>
      <c r="V689" s="221">
        <v>44916</v>
      </c>
      <c r="W689" s="211" t="s">
        <v>2813</v>
      </c>
      <c r="X689" s="211" t="s">
        <v>16</v>
      </c>
      <c r="Y689" s="220" t="s">
        <v>2949</v>
      </c>
      <c r="Z689" s="222" t="s">
        <v>2087</v>
      </c>
      <c r="AA689" s="216" t="s">
        <v>2950</v>
      </c>
      <c r="AB689" s="227" t="s">
        <v>2956</v>
      </c>
      <c r="AC689" s="295"/>
    </row>
    <row r="690" spans="1:29" ht="15.5" x14ac:dyDescent="0.35">
      <c r="A690" s="211">
        <v>8226</v>
      </c>
      <c r="B690" s="214" t="s">
        <v>2968</v>
      </c>
      <c r="C690" s="211">
        <v>11127</v>
      </c>
      <c r="D690" s="215" t="s">
        <v>110</v>
      </c>
      <c r="E690" s="215" t="s">
        <v>110</v>
      </c>
      <c r="F690" s="211" t="s">
        <v>110</v>
      </c>
      <c r="G690" s="211" t="s">
        <v>110</v>
      </c>
      <c r="H690" s="216" t="s">
        <v>2466</v>
      </c>
      <c r="I690" s="217" t="s">
        <v>2467</v>
      </c>
      <c r="J690" s="211" t="s">
        <v>2465</v>
      </c>
      <c r="K690" s="211" t="s">
        <v>2451</v>
      </c>
      <c r="L690" s="211" t="s">
        <v>2515</v>
      </c>
      <c r="M690" s="211" t="s">
        <v>2516</v>
      </c>
      <c r="N690" s="211" t="s">
        <v>14</v>
      </c>
      <c r="O690" s="211">
        <v>5</v>
      </c>
      <c r="P690" s="211" t="s">
        <v>37</v>
      </c>
      <c r="Q690" s="226" t="s">
        <v>108</v>
      </c>
      <c r="R690" s="218">
        <v>276000</v>
      </c>
      <c r="S690" s="218">
        <f>Product_Name[[#This Row],[Đơn giá
Unit Price]]*Product_Name[[#This Row],[Số lượng
Quantity]]</f>
        <v>1380000</v>
      </c>
      <c r="T690" s="219">
        <v>44898</v>
      </c>
      <c r="U690" s="220">
        <v>44905</v>
      </c>
      <c r="V690" s="221">
        <v>44904</v>
      </c>
      <c r="W690" s="211" t="s">
        <v>2814</v>
      </c>
      <c r="X690" s="211" t="s">
        <v>16</v>
      </c>
      <c r="Y690" s="220" t="s">
        <v>2471</v>
      </c>
      <c r="Z690" s="222" t="s">
        <v>2087</v>
      </c>
      <c r="AA690" s="216" t="s">
        <v>2181</v>
      </c>
      <c r="AB690" s="227" t="s">
        <v>110</v>
      </c>
      <c r="AC690" s="295"/>
    </row>
    <row r="691" spans="1:29" s="71" customFormat="1" ht="15.5" x14ac:dyDescent="0.35">
      <c r="A691" s="211">
        <v>8359</v>
      </c>
      <c r="B691" s="214" t="s">
        <v>2984</v>
      </c>
      <c r="C691" s="211">
        <v>11334</v>
      </c>
      <c r="D691" s="215" t="s">
        <v>110</v>
      </c>
      <c r="E691" s="215" t="s">
        <v>110</v>
      </c>
      <c r="F691" s="211" t="s">
        <v>110</v>
      </c>
      <c r="G691" s="211" t="s">
        <v>110</v>
      </c>
      <c r="H691" s="216" t="s">
        <v>2974</v>
      </c>
      <c r="I691" s="217" t="s">
        <v>2962</v>
      </c>
      <c r="J691" s="211" t="s">
        <v>2960</v>
      </c>
      <c r="K691" s="211" t="s">
        <v>1237</v>
      </c>
      <c r="L691" s="211" t="s">
        <v>1238</v>
      </c>
      <c r="M691" s="211" t="s">
        <v>795</v>
      </c>
      <c r="N691" s="212" t="s">
        <v>14</v>
      </c>
      <c r="O691" s="211">
        <v>3</v>
      </c>
      <c r="P691" s="212" t="s">
        <v>2961</v>
      </c>
      <c r="Q691" s="213" t="s">
        <v>108</v>
      </c>
      <c r="R691" s="218">
        <v>553000</v>
      </c>
      <c r="S691" s="218">
        <f>Product_Name[[#This Row],[Đơn giá
Unit Price]]*Product_Name[[#This Row],[Số lượng
Quantity]]</f>
        <v>1659000</v>
      </c>
      <c r="T691" s="219">
        <v>44907</v>
      </c>
      <c r="U691" s="220">
        <v>44915</v>
      </c>
      <c r="V691" s="221">
        <v>44909</v>
      </c>
      <c r="W691" s="214" t="s">
        <v>2577</v>
      </c>
      <c r="X691" s="211" t="s">
        <v>16</v>
      </c>
      <c r="Y691" s="220" t="s">
        <v>2963</v>
      </c>
      <c r="Z691" s="216" t="s">
        <v>2087</v>
      </c>
      <c r="AA691" s="216"/>
      <c r="AB691" s="227"/>
      <c r="AC691" s="295"/>
    </row>
    <row r="692" spans="1:29" s="71" customFormat="1" ht="15.5" x14ac:dyDescent="0.35">
      <c r="A692" s="211" t="s">
        <v>110</v>
      </c>
      <c r="B692" s="214" t="s">
        <v>3008</v>
      </c>
      <c r="C692" s="211" t="s">
        <v>110</v>
      </c>
      <c r="D692" s="215">
        <v>3922</v>
      </c>
      <c r="E692" s="215">
        <v>8357</v>
      </c>
      <c r="F692" s="211" t="s">
        <v>110</v>
      </c>
      <c r="G692" s="211" t="s">
        <v>110</v>
      </c>
      <c r="H692" s="216" t="s">
        <v>785</v>
      </c>
      <c r="I692" s="217" t="s">
        <v>1006</v>
      </c>
      <c r="J692" s="211" t="s">
        <v>794</v>
      </c>
      <c r="K692" s="211" t="s">
        <v>1281</v>
      </c>
      <c r="L692" s="211" t="s">
        <v>1281</v>
      </c>
      <c r="M692" s="211" t="s">
        <v>797</v>
      </c>
      <c r="N692" s="212" t="s">
        <v>642</v>
      </c>
      <c r="O692" s="211">
        <v>1</v>
      </c>
      <c r="P692" s="212" t="s">
        <v>276</v>
      </c>
      <c r="Q692" s="213" t="s">
        <v>108</v>
      </c>
      <c r="R692" s="218">
        <v>1920000</v>
      </c>
      <c r="S692" s="218">
        <f>Product_Name[[#This Row],[Đơn giá
Unit Price]]*Product_Name[[#This Row],[Số lượng
Quantity]]</f>
        <v>1920000</v>
      </c>
      <c r="T692" s="219">
        <v>44907</v>
      </c>
      <c r="U692" s="220">
        <v>44917</v>
      </c>
      <c r="V692" s="221">
        <v>44915</v>
      </c>
      <c r="W692" s="214" t="s">
        <v>1537</v>
      </c>
      <c r="X692" s="211" t="s">
        <v>16</v>
      </c>
      <c r="Y692" s="220">
        <v>44902</v>
      </c>
      <c r="Z692" s="216"/>
      <c r="AA692" s="216" t="s">
        <v>2290</v>
      </c>
      <c r="AB692" s="227"/>
      <c r="AC692" s="295"/>
    </row>
    <row r="693" spans="1:29" ht="15.5" x14ac:dyDescent="0.35">
      <c r="A693" s="211">
        <v>8358</v>
      </c>
      <c r="B693" s="214" t="s">
        <v>3016</v>
      </c>
      <c r="C693" s="211">
        <v>11279</v>
      </c>
      <c r="D693" s="215" t="s">
        <v>110</v>
      </c>
      <c r="E693" s="215" t="s">
        <v>110</v>
      </c>
      <c r="F693" s="211" t="s">
        <v>110</v>
      </c>
      <c r="G693" s="211" t="s">
        <v>110</v>
      </c>
      <c r="H693" s="216" t="s">
        <v>717</v>
      </c>
      <c r="I693" s="217" t="s">
        <v>1489</v>
      </c>
      <c r="J693" s="211" t="s">
        <v>2966</v>
      </c>
      <c r="K693" s="211" t="s">
        <v>1241</v>
      </c>
      <c r="L693" s="211" t="s">
        <v>718</v>
      </c>
      <c r="M693" s="211" t="s">
        <v>327</v>
      </c>
      <c r="N693" s="211" t="s">
        <v>14</v>
      </c>
      <c r="O693" s="211">
        <v>160</v>
      </c>
      <c r="P693" s="211" t="s">
        <v>719</v>
      </c>
      <c r="Q693" s="226" t="s">
        <v>108</v>
      </c>
      <c r="R693" s="218">
        <v>695000</v>
      </c>
      <c r="S693" s="218">
        <f>R693*O693</f>
        <v>111200000</v>
      </c>
      <c r="T693" s="219">
        <v>44904</v>
      </c>
      <c r="U693" s="220">
        <v>44915</v>
      </c>
      <c r="V693" s="221">
        <v>44916</v>
      </c>
      <c r="W693" s="214" t="s">
        <v>1537</v>
      </c>
      <c r="X693" s="211" t="s">
        <v>16</v>
      </c>
      <c r="Y693" s="220">
        <v>44902</v>
      </c>
      <c r="Z693" s="222" t="s">
        <v>2087</v>
      </c>
      <c r="AA693" s="216" t="s">
        <v>2076</v>
      </c>
      <c r="AB693" s="227" t="s">
        <v>110</v>
      </c>
      <c r="AC693" s="295"/>
    </row>
    <row r="694" spans="1:29" ht="15.5" x14ac:dyDescent="0.35">
      <c r="A694" s="211">
        <v>8349</v>
      </c>
      <c r="B694" s="214" t="s">
        <v>3206</v>
      </c>
      <c r="C694" s="211">
        <v>11275</v>
      </c>
      <c r="D694" s="215" t="s">
        <v>110</v>
      </c>
      <c r="E694" s="215" t="s">
        <v>110</v>
      </c>
      <c r="F694" s="211" t="s">
        <v>110</v>
      </c>
      <c r="G694" s="211" t="s">
        <v>110</v>
      </c>
      <c r="H694" s="216" t="s">
        <v>995</v>
      </c>
      <c r="I694" s="217" t="s">
        <v>997</v>
      </c>
      <c r="J694" s="211" t="s">
        <v>996</v>
      </c>
      <c r="K694" s="211" t="s">
        <v>176</v>
      </c>
      <c r="L694" s="211" t="s">
        <v>176</v>
      </c>
      <c r="M694" s="211" t="s">
        <v>123</v>
      </c>
      <c r="N694" s="211" t="s">
        <v>14</v>
      </c>
      <c r="O694" s="211">
        <v>70</v>
      </c>
      <c r="P694" s="211" t="s">
        <v>276</v>
      </c>
      <c r="Q694" s="226" t="s">
        <v>108</v>
      </c>
      <c r="R694" s="218">
        <v>149000</v>
      </c>
      <c r="S694" s="218">
        <f>R694*O694</f>
        <v>10430000</v>
      </c>
      <c r="T694" s="219">
        <v>44903</v>
      </c>
      <c r="U694" s="220">
        <v>44928</v>
      </c>
      <c r="V694" s="221">
        <v>44966</v>
      </c>
      <c r="W694" s="211" t="s">
        <v>2814</v>
      </c>
      <c r="X694" s="211" t="s">
        <v>16</v>
      </c>
      <c r="Y694" s="220">
        <v>44903</v>
      </c>
      <c r="Z694" s="222" t="s">
        <v>2087</v>
      </c>
      <c r="AA694" s="216" t="s">
        <v>2967</v>
      </c>
      <c r="AB694" s="227" t="s">
        <v>110</v>
      </c>
      <c r="AC694" s="295"/>
    </row>
    <row r="695" spans="1:29" ht="15.5" x14ac:dyDescent="0.35">
      <c r="A695" s="211" t="s">
        <v>110</v>
      </c>
      <c r="B695" s="214" t="s">
        <v>3188</v>
      </c>
      <c r="C695" s="211" t="s">
        <v>110</v>
      </c>
      <c r="D695" s="215">
        <v>4218</v>
      </c>
      <c r="E695" s="215">
        <v>8899</v>
      </c>
      <c r="F695" s="211" t="s">
        <v>110</v>
      </c>
      <c r="G695" s="211" t="s">
        <v>110</v>
      </c>
      <c r="H695" s="216" t="s">
        <v>2977</v>
      </c>
      <c r="I695" s="217" t="s">
        <v>2978</v>
      </c>
      <c r="J695" s="211" t="s">
        <v>2979</v>
      </c>
      <c r="K695" s="211" t="s">
        <v>1877</v>
      </c>
      <c r="L695" s="211" t="s">
        <v>1100</v>
      </c>
      <c r="M695" s="211" t="s">
        <v>796</v>
      </c>
      <c r="N695" s="211" t="s">
        <v>642</v>
      </c>
      <c r="O695" s="211">
        <v>2</v>
      </c>
      <c r="P695" s="211" t="s">
        <v>276</v>
      </c>
      <c r="Q695" s="226" t="s">
        <v>108</v>
      </c>
      <c r="R695" s="218">
        <v>300000</v>
      </c>
      <c r="S695" s="218">
        <f>Product_Name[[#This Row],[Đơn giá
Unit Price]]*Product_Name[[#This Row],[Số lượng
Quantity]]</f>
        <v>600000</v>
      </c>
      <c r="T695" s="219">
        <v>44932</v>
      </c>
      <c r="U695" s="220">
        <v>44958</v>
      </c>
      <c r="V695" s="221">
        <v>44959</v>
      </c>
      <c r="W695" s="211" t="s">
        <v>2160</v>
      </c>
      <c r="X695" s="211" t="s">
        <v>16</v>
      </c>
      <c r="Y695" s="220" t="s">
        <v>2980</v>
      </c>
      <c r="Z695" s="222"/>
      <c r="AA695" s="216" t="s">
        <v>2981</v>
      </c>
      <c r="AB695" s="227"/>
      <c r="AC695" s="295"/>
    </row>
    <row r="696" spans="1:29" ht="15.5" x14ac:dyDescent="0.35">
      <c r="A696" s="211" t="s">
        <v>110</v>
      </c>
      <c r="B696" s="214" t="s">
        <v>3063</v>
      </c>
      <c r="C696" s="211" t="s">
        <v>110</v>
      </c>
      <c r="D696" s="215">
        <v>4069</v>
      </c>
      <c r="E696" s="215">
        <v>8631</v>
      </c>
      <c r="F696" s="211" t="s">
        <v>110</v>
      </c>
      <c r="G696" s="211" t="s">
        <v>110</v>
      </c>
      <c r="H696" s="216" t="s">
        <v>2988</v>
      </c>
      <c r="I696" s="217" t="s">
        <v>2989</v>
      </c>
      <c r="J696" s="211" t="s">
        <v>2990</v>
      </c>
      <c r="K696" s="211" t="s">
        <v>3020</v>
      </c>
      <c r="L696" s="211" t="s">
        <v>218</v>
      </c>
      <c r="M696" s="211" t="s">
        <v>796</v>
      </c>
      <c r="N696" s="211" t="s">
        <v>642</v>
      </c>
      <c r="O696" s="211">
        <v>1</v>
      </c>
      <c r="P696" s="211" t="s">
        <v>276</v>
      </c>
      <c r="Q696" s="226" t="s">
        <v>108</v>
      </c>
      <c r="R696" s="218">
        <v>1020000</v>
      </c>
      <c r="S696" s="218">
        <f>Product_Name[[#This Row],[Đơn giá
Unit Price]]*Product_Name[[#This Row],[Số lượng
Quantity]]</f>
        <v>1020000</v>
      </c>
      <c r="T696" s="219">
        <v>44917</v>
      </c>
      <c r="U696" s="220">
        <v>44929</v>
      </c>
      <c r="V696" s="221">
        <v>44932</v>
      </c>
      <c r="W696" s="211" t="s">
        <v>2814</v>
      </c>
      <c r="X696" s="211" t="s">
        <v>16</v>
      </c>
      <c r="Y696" s="220" t="s">
        <v>2991</v>
      </c>
      <c r="Z696" s="222"/>
      <c r="AA696" s="216" t="s">
        <v>2643</v>
      </c>
      <c r="AB696" s="227"/>
      <c r="AC696" s="295"/>
    </row>
    <row r="697" spans="1:29" ht="15.5" x14ac:dyDescent="0.35">
      <c r="A697" s="211" t="s">
        <v>110</v>
      </c>
      <c r="B697" s="263" t="s">
        <v>3208</v>
      </c>
      <c r="C697" s="211" t="s">
        <v>110</v>
      </c>
      <c r="D697" s="215">
        <v>4073</v>
      </c>
      <c r="E697" s="215">
        <v>8630</v>
      </c>
      <c r="F697" s="211" t="s">
        <v>110</v>
      </c>
      <c r="G697" s="211" t="s">
        <v>110</v>
      </c>
      <c r="H697" s="216" t="s">
        <v>2992</v>
      </c>
      <c r="I697" s="217" t="s">
        <v>2996</v>
      </c>
      <c r="J697" s="211" t="s">
        <v>2993</v>
      </c>
      <c r="K697" s="211" t="s">
        <v>3006</v>
      </c>
      <c r="L697" s="211" t="s">
        <v>99</v>
      </c>
      <c r="M697" s="211" t="s">
        <v>796</v>
      </c>
      <c r="N697" s="211" t="s">
        <v>642</v>
      </c>
      <c r="O697" s="211">
        <v>1</v>
      </c>
      <c r="P697" s="211" t="s">
        <v>276</v>
      </c>
      <c r="Q697" s="226" t="s">
        <v>108</v>
      </c>
      <c r="R697" s="218">
        <v>1037000</v>
      </c>
      <c r="S697" s="218">
        <f>Product_Name[[#This Row],[Đơn giá
Unit Price]]*Product_Name[[#This Row],[Số lượng
Quantity]]</f>
        <v>1037000</v>
      </c>
      <c r="T697" s="219">
        <v>44918</v>
      </c>
      <c r="U697" s="220">
        <v>44932</v>
      </c>
      <c r="V697" s="221">
        <v>44966</v>
      </c>
      <c r="W697" s="211" t="s">
        <v>2814</v>
      </c>
      <c r="X697" s="211" t="s">
        <v>54</v>
      </c>
      <c r="Y697" s="220" t="s">
        <v>3007</v>
      </c>
      <c r="Z697" s="222"/>
      <c r="AA697" s="216" t="s">
        <v>2290</v>
      </c>
      <c r="AB697" s="227"/>
      <c r="AC697" s="295"/>
    </row>
    <row r="698" spans="1:29" ht="15.5" x14ac:dyDescent="0.35">
      <c r="A698" s="211"/>
      <c r="B698" s="214"/>
      <c r="C698" s="211"/>
      <c r="D698" s="215"/>
      <c r="E698" s="215"/>
      <c r="F698" s="211"/>
      <c r="G698" s="211"/>
      <c r="H698" s="216" t="s">
        <v>3005</v>
      </c>
      <c r="I698" s="217" t="s">
        <v>2997</v>
      </c>
      <c r="J698" s="211" t="s">
        <v>3051</v>
      </c>
      <c r="K698" s="211"/>
      <c r="L698" s="211"/>
      <c r="M698" s="211" t="s">
        <v>796</v>
      </c>
      <c r="N698" s="211" t="s">
        <v>642</v>
      </c>
      <c r="O698" s="211">
        <v>1</v>
      </c>
      <c r="P698" s="211" t="s">
        <v>276</v>
      </c>
      <c r="Q698" s="226" t="s">
        <v>108</v>
      </c>
      <c r="R698" s="218"/>
      <c r="S698" s="218">
        <f>Product_Name[[#This Row],[Đơn giá
Unit Price]]*Product_Name[[#This Row],[Số lượng
Quantity]]</f>
        <v>0</v>
      </c>
      <c r="T698" s="219"/>
      <c r="U698" s="220"/>
      <c r="V698" s="221"/>
      <c r="W698" s="214" t="s">
        <v>1537</v>
      </c>
      <c r="X698" s="211" t="s">
        <v>54</v>
      </c>
      <c r="Y698" s="220" t="s">
        <v>3055</v>
      </c>
      <c r="Z698" s="222"/>
      <c r="AA698" s="216" t="s">
        <v>2290</v>
      </c>
      <c r="AB698" s="227" t="s">
        <v>2713</v>
      </c>
      <c r="AC698" s="295"/>
    </row>
    <row r="699" spans="1:29" ht="15.5" x14ac:dyDescent="0.35">
      <c r="A699" s="211"/>
      <c r="B699" s="214"/>
      <c r="C699" s="211"/>
      <c r="D699" s="215"/>
      <c r="E699" s="215"/>
      <c r="F699" s="211"/>
      <c r="G699" s="211"/>
      <c r="H699" s="216" t="s">
        <v>3052</v>
      </c>
      <c r="I699" s="217" t="s">
        <v>3050</v>
      </c>
      <c r="J699" s="211" t="s">
        <v>3054</v>
      </c>
      <c r="K699" s="211"/>
      <c r="L699" s="211"/>
      <c r="M699" s="211" t="s">
        <v>796</v>
      </c>
      <c r="N699" s="211" t="s">
        <v>642</v>
      </c>
      <c r="O699" s="211">
        <v>1</v>
      </c>
      <c r="P699" s="211" t="s">
        <v>276</v>
      </c>
      <c r="Q699" s="226" t="s">
        <v>108</v>
      </c>
      <c r="R699" s="218"/>
      <c r="S699" s="218">
        <f>Product_Name[[#This Row],[Đơn giá
Unit Price]]*Product_Name[[#This Row],[Số lượng
Quantity]]</f>
        <v>0</v>
      </c>
      <c r="T699" s="219"/>
      <c r="U699" s="220"/>
      <c r="V699" s="221"/>
      <c r="W699" s="214" t="s">
        <v>1537</v>
      </c>
      <c r="X699" s="211" t="s">
        <v>54</v>
      </c>
      <c r="Y699" s="220" t="s">
        <v>3055</v>
      </c>
      <c r="Z699" s="222"/>
      <c r="AA699" s="216" t="s">
        <v>2290</v>
      </c>
      <c r="AB699" s="227" t="s">
        <v>3222</v>
      </c>
      <c r="AC699" s="295"/>
    </row>
    <row r="700" spans="1:29" ht="15.5" x14ac:dyDescent="0.35">
      <c r="A700" s="211">
        <v>9362</v>
      </c>
      <c r="B700" s="214" t="s">
        <v>3546</v>
      </c>
      <c r="C700" s="211">
        <v>12994</v>
      </c>
      <c r="D700" s="215" t="s">
        <v>110</v>
      </c>
      <c r="E700" s="215" t="s">
        <v>110</v>
      </c>
      <c r="F700" s="215" t="s">
        <v>110</v>
      </c>
      <c r="G700" s="215" t="s">
        <v>110</v>
      </c>
      <c r="H700" s="216" t="s">
        <v>3053</v>
      </c>
      <c r="I700" s="217" t="s">
        <v>2998</v>
      </c>
      <c r="J700" s="211" t="s">
        <v>3049</v>
      </c>
      <c r="K700" s="211" t="s">
        <v>1100</v>
      </c>
      <c r="L700" s="211" t="s">
        <v>1100</v>
      </c>
      <c r="M700" s="211" t="s">
        <v>123</v>
      </c>
      <c r="N700" s="211" t="s">
        <v>14</v>
      </c>
      <c r="O700" s="211">
        <v>1</v>
      </c>
      <c r="P700" s="211" t="s">
        <v>44</v>
      </c>
      <c r="Q700" s="226" t="s">
        <v>108</v>
      </c>
      <c r="R700" s="218">
        <v>602000</v>
      </c>
      <c r="S700" s="218">
        <f>Product_Name[[#This Row],[Đơn giá
Unit Price]]*Product_Name[[#This Row],[Số lượng
Quantity]]</f>
        <v>602000</v>
      </c>
      <c r="T700" s="219">
        <v>44970</v>
      </c>
      <c r="U700" s="220">
        <v>44998</v>
      </c>
      <c r="V700" s="221">
        <v>45022</v>
      </c>
      <c r="W700" s="214" t="s">
        <v>1537</v>
      </c>
      <c r="X700" s="211" t="s">
        <v>54</v>
      </c>
      <c r="Y700" s="220" t="s">
        <v>3055</v>
      </c>
      <c r="Z700" s="222" t="s">
        <v>2087</v>
      </c>
      <c r="AA700" s="216" t="s">
        <v>2290</v>
      </c>
      <c r="AB700" s="227"/>
      <c r="AC700" s="295"/>
    </row>
    <row r="701" spans="1:29" ht="15.5" x14ac:dyDescent="0.35">
      <c r="A701" s="211">
        <v>8501</v>
      </c>
      <c r="B701" s="214" t="s">
        <v>3044</v>
      </c>
      <c r="C701" s="211">
        <v>11545</v>
      </c>
      <c r="D701" s="215" t="s">
        <v>110</v>
      </c>
      <c r="E701" s="215" t="s">
        <v>110</v>
      </c>
      <c r="F701" s="211" t="s">
        <v>110</v>
      </c>
      <c r="G701" s="211" t="s">
        <v>110</v>
      </c>
      <c r="H701" s="216" t="s">
        <v>2206</v>
      </c>
      <c r="I701" s="217" t="s">
        <v>2207</v>
      </c>
      <c r="J701" s="211" t="s">
        <v>2200</v>
      </c>
      <c r="K701" s="211" t="s">
        <v>2265</v>
      </c>
      <c r="L701" s="211" t="s">
        <v>2265</v>
      </c>
      <c r="M701" s="211" t="s">
        <v>1282</v>
      </c>
      <c r="N701" s="211" t="s">
        <v>14</v>
      </c>
      <c r="O701" s="211">
        <v>100</v>
      </c>
      <c r="P701" s="211" t="s">
        <v>276</v>
      </c>
      <c r="Q701" s="226" t="s">
        <v>108</v>
      </c>
      <c r="R701" s="218">
        <v>795000</v>
      </c>
      <c r="S701" s="218">
        <f>Product_Name[[#This Row],[Số lượng
Quantity]]*Product_Name[[#This Row],[Đơn giá
Unit Price]]</f>
        <v>79500000</v>
      </c>
      <c r="T701" s="219">
        <v>44914</v>
      </c>
      <c r="U701" s="220">
        <v>44921</v>
      </c>
      <c r="V701" s="221">
        <v>44930</v>
      </c>
      <c r="W701" s="211" t="s">
        <v>2814</v>
      </c>
      <c r="X701" s="211" t="s">
        <v>55</v>
      </c>
      <c r="Y701" s="220">
        <v>44914</v>
      </c>
      <c r="Z701" s="222" t="s">
        <v>2087</v>
      </c>
      <c r="AA701" s="216" t="s">
        <v>2155</v>
      </c>
      <c r="AB701" s="227" t="s">
        <v>110</v>
      </c>
      <c r="AC701" s="295"/>
    </row>
    <row r="702" spans="1:29" ht="15.5" x14ac:dyDescent="0.35">
      <c r="A702" s="211">
        <v>8501</v>
      </c>
      <c r="B702" s="214" t="s">
        <v>3044</v>
      </c>
      <c r="C702" s="211">
        <v>11545</v>
      </c>
      <c r="D702" s="215" t="s">
        <v>110</v>
      </c>
      <c r="E702" s="215" t="s">
        <v>110</v>
      </c>
      <c r="F702" s="211" t="s">
        <v>110</v>
      </c>
      <c r="G702" s="211" t="s">
        <v>110</v>
      </c>
      <c r="H702" s="216" t="s">
        <v>2208</v>
      </c>
      <c r="I702" s="217" t="s">
        <v>2209</v>
      </c>
      <c r="J702" s="211" t="s">
        <v>2201</v>
      </c>
      <c r="K702" s="211" t="s">
        <v>2265</v>
      </c>
      <c r="L702" s="211" t="s">
        <v>2265</v>
      </c>
      <c r="M702" s="211" t="s">
        <v>1282</v>
      </c>
      <c r="N702" s="211" t="s">
        <v>14</v>
      </c>
      <c r="O702" s="211">
        <v>100</v>
      </c>
      <c r="P702" s="211" t="s">
        <v>276</v>
      </c>
      <c r="Q702" s="226" t="s">
        <v>108</v>
      </c>
      <c r="R702" s="218">
        <v>245000</v>
      </c>
      <c r="S702" s="218">
        <f>Product_Name[[#This Row],[Số lượng
Quantity]]*Product_Name[[#This Row],[Đơn giá
Unit Price]]</f>
        <v>24500000</v>
      </c>
      <c r="T702" s="219">
        <v>44914</v>
      </c>
      <c r="U702" s="220">
        <v>44921</v>
      </c>
      <c r="V702" s="221">
        <v>44930</v>
      </c>
      <c r="W702" s="211" t="s">
        <v>2814</v>
      </c>
      <c r="X702" s="211" t="s">
        <v>55</v>
      </c>
      <c r="Y702" s="220">
        <v>44914</v>
      </c>
      <c r="Z702" s="222" t="s">
        <v>2087</v>
      </c>
      <c r="AA702" s="216" t="s">
        <v>2155</v>
      </c>
      <c r="AB702" s="227" t="s">
        <v>110</v>
      </c>
      <c r="AC702" s="295"/>
    </row>
    <row r="703" spans="1:29" ht="15.5" x14ac:dyDescent="0.35">
      <c r="A703" s="211">
        <v>8501</v>
      </c>
      <c r="B703" s="214" t="s">
        <v>3044</v>
      </c>
      <c r="C703" s="211">
        <v>11545</v>
      </c>
      <c r="D703" s="215" t="s">
        <v>110</v>
      </c>
      <c r="E703" s="215" t="s">
        <v>110</v>
      </c>
      <c r="F703" s="211" t="s">
        <v>110</v>
      </c>
      <c r="G703" s="211" t="s">
        <v>110</v>
      </c>
      <c r="H703" s="216" t="s">
        <v>2214</v>
      </c>
      <c r="I703" s="217" t="s">
        <v>2215</v>
      </c>
      <c r="J703" s="211" t="s">
        <v>2204</v>
      </c>
      <c r="K703" s="211" t="s">
        <v>2265</v>
      </c>
      <c r="L703" s="211" t="s">
        <v>2265</v>
      </c>
      <c r="M703" s="211" t="s">
        <v>1282</v>
      </c>
      <c r="N703" s="211" t="s">
        <v>14</v>
      </c>
      <c r="O703" s="211">
        <v>350</v>
      </c>
      <c r="P703" s="211" t="s">
        <v>276</v>
      </c>
      <c r="Q703" s="226" t="s">
        <v>108</v>
      </c>
      <c r="R703" s="218">
        <v>55000</v>
      </c>
      <c r="S703" s="218">
        <f>Product_Name[[#This Row],[Số lượng
Quantity]]*Product_Name[[#This Row],[Đơn giá
Unit Price]]</f>
        <v>19250000</v>
      </c>
      <c r="T703" s="219">
        <v>44914</v>
      </c>
      <c r="U703" s="220">
        <v>44921</v>
      </c>
      <c r="V703" s="221">
        <v>44930</v>
      </c>
      <c r="W703" s="211" t="s">
        <v>2814</v>
      </c>
      <c r="X703" s="211" t="s">
        <v>55</v>
      </c>
      <c r="Y703" s="220">
        <v>44914</v>
      </c>
      <c r="Z703" s="222" t="s">
        <v>2087</v>
      </c>
      <c r="AA703" s="216" t="s">
        <v>2155</v>
      </c>
      <c r="AB703" s="227" t="s">
        <v>110</v>
      </c>
      <c r="AC703" s="295"/>
    </row>
    <row r="704" spans="1:29" ht="15.5" x14ac:dyDescent="0.35">
      <c r="A704" s="211">
        <v>8501</v>
      </c>
      <c r="B704" s="214" t="s">
        <v>3044</v>
      </c>
      <c r="C704" s="211">
        <v>11545</v>
      </c>
      <c r="D704" s="215" t="s">
        <v>110</v>
      </c>
      <c r="E704" s="215" t="s">
        <v>110</v>
      </c>
      <c r="F704" s="211" t="s">
        <v>110</v>
      </c>
      <c r="G704" s="211" t="s">
        <v>110</v>
      </c>
      <c r="H704" s="216" t="s">
        <v>2216</v>
      </c>
      <c r="I704" s="217" t="s">
        <v>2217</v>
      </c>
      <c r="J704" s="211" t="s">
        <v>2205</v>
      </c>
      <c r="K704" s="211" t="s">
        <v>2265</v>
      </c>
      <c r="L704" s="211" t="s">
        <v>2265</v>
      </c>
      <c r="M704" s="211" t="s">
        <v>1282</v>
      </c>
      <c r="N704" s="211" t="s">
        <v>14</v>
      </c>
      <c r="O704" s="211">
        <v>620</v>
      </c>
      <c r="P704" s="211" t="s">
        <v>276</v>
      </c>
      <c r="Q704" s="226" t="s">
        <v>108</v>
      </c>
      <c r="R704" s="218">
        <v>22000</v>
      </c>
      <c r="S704" s="218">
        <f>Product_Name[[#This Row],[Số lượng
Quantity]]*Product_Name[[#This Row],[Đơn giá
Unit Price]]</f>
        <v>13640000</v>
      </c>
      <c r="T704" s="219">
        <v>44914</v>
      </c>
      <c r="U704" s="220">
        <v>44921</v>
      </c>
      <c r="V704" s="221">
        <v>44930</v>
      </c>
      <c r="W704" s="211" t="s">
        <v>2814</v>
      </c>
      <c r="X704" s="211" t="s">
        <v>55</v>
      </c>
      <c r="Y704" s="220">
        <v>44914</v>
      </c>
      <c r="Z704" s="222" t="s">
        <v>2087</v>
      </c>
      <c r="AA704" s="216" t="s">
        <v>2155</v>
      </c>
      <c r="AB704" s="227" t="s">
        <v>110</v>
      </c>
      <c r="AC704" s="295"/>
    </row>
    <row r="705" spans="1:29" ht="15.5" x14ac:dyDescent="0.35">
      <c r="A705" s="211">
        <v>8504</v>
      </c>
      <c r="B705" s="214" t="s">
        <v>3164</v>
      </c>
      <c r="C705" s="211">
        <v>11544</v>
      </c>
      <c r="D705" s="215" t="s">
        <v>110</v>
      </c>
      <c r="E705" s="215" t="s">
        <v>110</v>
      </c>
      <c r="F705" s="211" t="s">
        <v>110</v>
      </c>
      <c r="G705" s="211" t="s">
        <v>110</v>
      </c>
      <c r="H705" s="216" t="s">
        <v>2362</v>
      </c>
      <c r="I705" s="217" t="s">
        <v>2361</v>
      </c>
      <c r="J705" s="211" t="s">
        <v>2363</v>
      </c>
      <c r="K705" s="211" t="s">
        <v>1150</v>
      </c>
      <c r="L705" s="211" t="s">
        <v>218</v>
      </c>
      <c r="M705" s="211" t="s">
        <v>123</v>
      </c>
      <c r="N705" s="211" t="s">
        <v>14</v>
      </c>
      <c r="O705" s="211">
        <v>250</v>
      </c>
      <c r="P705" s="211" t="s">
        <v>47</v>
      </c>
      <c r="Q705" s="226" t="s">
        <v>108</v>
      </c>
      <c r="R705" s="218">
        <v>42000</v>
      </c>
      <c r="S705" s="218">
        <f>R705*O705</f>
        <v>10500000</v>
      </c>
      <c r="T705" s="219">
        <v>44914</v>
      </c>
      <c r="U705" s="220">
        <v>44921</v>
      </c>
      <c r="V705" s="221">
        <v>44942</v>
      </c>
      <c r="W705" s="211" t="s">
        <v>2813</v>
      </c>
      <c r="X705" s="211" t="s">
        <v>16</v>
      </c>
      <c r="Y705" s="220">
        <v>44914</v>
      </c>
      <c r="Z705" s="222" t="s">
        <v>2087</v>
      </c>
      <c r="AA705" s="216" t="s">
        <v>2155</v>
      </c>
      <c r="AB705" s="227" t="s">
        <v>110</v>
      </c>
      <c r="AC705" s="295"/>
    </row>
    <row r="706" spans="1:29" ht="15.5" x14ac:dyDescent="0.35">
      <c r="A706" s="211" t="s">
        <v>110</v>
      </c>
      <c r="B706" s="214" t="s">
        <v>3296</v>
      </c>
      <c r="C706" s="211" t="s">
        <v>110</v>
      </c>
      <c r="D706" s="215">
        <v>4012</v>
      </c>
      <c r="E706" s="215">
        <v>8502</v>
      </c>
      <c r="F706" s="211" t="s">
        <v>3002</v>
      </c>
      <c r="G706" s="211" t="s">
        <v>3003</v>
      </c>
      <c r="H706" s="216" t="s">
        <v>2999</v>
      </c>
      <c r="I706" s="217" t="s">
        <v>3000</v>
      </c>
      <c r="J706" s="211" t="s">
        <v>3004</v>
      </c>
      <c r="K706" s="211" t="s">
        <v>1179</v>
      </c>
      <c r="L706" s="211" t="s">
        <v>1179</v>
      </c>
      <c r="M706" s="211" t="s">
        <v>797</v>
      </c>
      <c r="N706" s="211" t="s">
        <v>642</v>
      </c>
      <c r="O706" s="211">
        <v>17</v>
      </c>
      <c r="P706" s="211" t="s">
        <v>44</v>
      </c>
      <c r="Q706" s="226" t="s">
        <v>108</v>
      </c>
      <c r="R706" s="218">
        <v>8177000</v>
      </c>
      <c r="S706" s="218">
        <f>Product_Name[[#This Row],[Đơn giá
Unit Price]]*Product_Name[[#This Row],[Số lượng
Quantity]]</f>
        <v>139009000</v>
      </c>
      <c r="T706" s="219">
        <v>44914</v>
      </c>
      <c r="U706" s="220">
        <v>44958</v>
      </c>
      <c r="V706" s="221">
        <v>44984</v>
      </c>
      <c r="W706" s="211" t="s">
        <v>2813</v>
      </c>
      <c r="X706" s="211" t="s">
        <v>16</v>
      </c>
      <c r="Y706" s="220" t="s">
        <v>3001</v>
      </c>
      <c r="Z706" s="222" t="s">
        <v>2087</v>
      </c>
      <c r="AA706" s="216" t="s">
        <v>2643</v>
      </c>
      <c r="AB706" s="227" t="s">
        <v>110</v>
      </c>
      <c r="AC706" s="295"/>
    </row>
    <row r="707" spans="1:29" ht="15.5" x14ac:dyDescent="0.35">
      <c r="A707" s="211" t="s">
        <v>110</v>
      </c>
      <c r="B707" s="214" t="s">
        <v>3071</v>
      </c>
      <c r="C707" s="211" t="s">
        <v>110</v>
      </c>
      <c r="D707" s="215">
        <v>4192</v>
      </c>
      <c r="E707" s="215">
        <v>8828</v>
      </c>
      <c r="F707" s="211" t="s">
        <v>110</v>
      </c>
      <c r="G707" s="211" t="s">
        <v>110</v>
      </c>
      <c r="H707" s="216" t="s">
        <v>3011</v>
      </c>
      <c r="I707" s="217" t="s">
        <v>3012</v>
      </c>
      <c r="J707" s="211" t="s">
        <v>3061</v>
      </c>
      <c r="K707" s="211" t="s">
        <v>1150</v>
      </c>
      <c r="L707" s="211" t="s">
        <v>218</v>
      </c>
      <c r="M707" s="211" t="s">
        <v>1061</v>
      </c>
      <c r="N707" s="211" t="s">
        <v>642</v>
      </c>
      <c r="O707" s="211">
        <v>5</v>
      </c>
      <c r="P707" s="211" t="s">
        <v>799</v>
      </c>
      <c r="Q707" s="226" t="s">
        <v>108</v>
      </c>
      <c r="R707" s="218">
        <v>83200</v>
      </c>
      <c r="S707" s="218">
        <f>Product_Name[[#This Row],[Đơn giá
Unit Price]]*Product_Name[[#This Row],[Số lượng
Quantity]]</f>
        <v>416000</v>
      </c>
      <c r="T707" s="219">
        <v>44931</v>
      </c>
      <c r="U707" s="220">
        <v>44938</v>
      </c>
      <c r="V707" s="221">
        <v>44937</v>
      </c>
      <c r="W707" s="211" t="s">
        <v>2813</v>
      </c>
      <c r="X707" s="211" t="s">
        <v>16</v>
      </c>
      <c r="Y707" s="220">
        <v>44915</v>
      </c>
      <c r="Z707" s="222"/>
      <c r="AA707" s="216" t="s">
        <v>3013</v>
      </c>
      <c r="AB707" s="227"/>
      <c r="AC707" s="295"/>
    </row>
    <row r="708" spans="1:29" ht="15.5" x14ac:dyDescent="0.35">
      <c r="A708" s="211">
        <v>8717</v>
      </c>
      <c r="B708" s="214" t="s">
        <v>3231</v>
      </c>
      <c r="C708" s="211">
        <v>11931</v>
      </c>
      <c r="D708" s="215" t="s">
        <v>110</v>
      </c>
      <c r="E708" s="215" t="s">
        <v>110</v>
      </c>
      <c r="F708" s="211" t="s">
        <v>110</v>
      </c>
      <c r="G708" s="211" t="s">
        <v>110</v>
      </c>
      <c r="H708" s="216" t="s">
        <v>3039</v>
      </c>
      <c r="I708" s="217" t="s">
        <v>3040</v>
      </c>
      <c r="J708" s="211" t="s">
        <v>3041</v>
      </c>
      <c r="K708" s="211" t="s">
        <v>3033</v>
      </c>
      <c r="L708" s="211" t="s">
        <v>3033</v>
      </c>
      <c r="M708" s="211" t="s">
        <v>123</v>
      </c>
      <c r="N708" s="211" t="s">
        <v>14</v>
      </c>
      <c r="O708" s="211">
        <v>400</v>
      </c>
      <c r="P708" s="211" t="s">
        <v>47</v>
      </c>
      <c r="Q708" s="226" t="s">
        <v>108</v>
      </c>
      <c r="R708" s="218">
        <v>110000</v>
      </c>
      <c r="S708" s="218">
        <f>R708*O708</f>
        <v>44000000</v>
      </c>
      <c r="T708" s="219">
        <v>44924</v>
      </c>
      <c r="U708" s="220">
        <v>44981</v>
      </c>
      <c r="V708" s="221">
        <v>44971</v>
      </c>
      <c r="W708" s="214" t="s">
        <v>1537</v>
      </c>
      <c r="X708" s="211" t="s">
        <v>16</v>
      </c>
      <c r="Y708" s="220" t="s">
        <v>2073</v>
      </c>
      <c r="Z708" s="222" t="s">
        <v>328</v>
      </c>
      <c r="AA708" s="216" t="s">
        <v>2076</v>
      </c>
      <c r="AB708" s="227"/>
      <c r="AC708" s="295"/>
    </row>
    <row r="709" spans="1:29" ht="31" x14ac:dyDescent="0.35">
      <c r="A709" s="211" t="s">
        <v>110</v>
      </c>
      <c r="B709" s="214" t="s">
        <v>3681</v>
      </c>
      <c r="C709" s="211" t="s">
        <v>110</v>
      </c>
      <c r="D709" s="215">
        <v>4716</v>
      </c>
      <c r="E709" s="215">
        <v>9910</v>
      </c>
      <c r="F709" s="213" t="s">
        <v>3413</v>
      </c>
      <c r="G709" s="211" t="s">
        <v>3423</v>
      </c>
      <c r="H709" s="216" t="s">
        <v>3021</v>
      </c>
      <c r="I709" s="217" t="s">
        <v>3022</v>
      </c>
      <c r="J709" s="211" t="s">
        <v>3023</v>
      </c>
      <c r="K709" s="211" t="s">
        <v>733</v>
      </c>
      <c r="L709" s="211" t="s">
        <v>733</v>
      </c>
      <c r="M709" s="211" t="s">
        <v>796</v>
      </c>
      <c r="N709" s="211" t="s">
        <v>642</v>
      </c>
      <c r="O709" s="211">
        <v>5</v>
      </c>
      <c r="P709" s="211" t="s">
        <v>37</v>
      </c>
      <c r="Q709" s="226" t="s">
        <v>108</v>
      </c>
      <c r="R709" s="218">
        <v>19580000</v>
      </c>
      <c r="S709" s="218">
        <f>Product_Name[[#This Row],[Đơn giá
Unit Price]]*Product_Name[[#This Row],[Số lượng
Quantity]]</f>
        <v>97900000</v>
      </c>
      <c r="T709" s="219">
        <v>44999</v>
      </c>
      <c r="U709" s="220">
        <v>45040</v>
      </c>
      <c r="V709" s="221">
        <v>45049</v>
      </c>
      <c r="W709" s="211" t="s">
        <v>2160</v>
      </c>
      <c r="X709" s="211" t="s">
        <v>54</v>
      </c>
      <c r="Y709" s="220" t="s">
        <v>3042</v>
      </c>
      <c r="Z709" s="222"/>
      <c r="AA709" s="216" t="s">
        <v>2290</v>
      </c>
      <c r="AB709" s="227">
        <v>44994</v>
      </c>
      <c r="AC709" s="295"/>
    </row>
    <row r="710" spans="1:29" ht="31" x14ac:dyDescent="0.35">
      <c r="A710" s="211"/>
      <c r="B710" s="214" t="s">
        <v>3547</v>
      </c>
      <c r="C710" s="211"/>
      <c r="D710" s="215"/>
      <c r="E710" s="215"/>
      <c r="F710" s="211"/>
      <c r="G710" s="211"/>
      <c r="H710" s="216" t="s">
        <v>3024</v>
      </c>
      <c r="I710" s="217" t="s">
        <v>3025</v>
      </c>
      <c r="J710" s="211" t="s">
        <v>3026</v>
      </c>
      <c r="K710" s="211" t="s">
        <v>3548</v>
      </c>
      <c r="L710" s="211" t="s">
        <v>3549</v>
      </c>
      <c r="M710" s="211" t="s">
        <v>796</v>
      </c>
      <c r="N710" s="211" t="s">
        <v>642</v>
      </c>
      <c r="O710" s="211">
        <v>1</v>
      </c>
      <c r="P710" s="211" t="s">
        <v>276</v>
      </c>
      <c r="Q710" s="226" t="s">
        <v>108</v>
      </c>
      <c r="R710" s="218">
        <v>21823000</v>
      </c>
      <c r="S710" s="218">
        <f>Product_Name[[#This Row],[Đơn giá
Unit Price]]*Product_Name[[#This Row],[Số lượng
Quantity]]</f>
        <v>21823000</v>
      </c>
      <c r="T710" s="219"/>
      <c r="U710" s="220"/>
      <c r="V710" s="221"/>
      <c r="W710" s="211" t="s">
        <v>2813</v>
      </c>
      <c r="X710" s="211" t="s">
        <v>16</v>
      </c>
      <c r="Y710" s="264" t="s">
        <v>3550</v>
      </c>
      <c r="Z710" s="222"/>
      <c r="AA710" s="216" t="s">
        <v>3027</v>
      </c>
      <c r="AB710" s="227"/>
      <c r="AC710" s="295"/>
    </row>
    <row r="711" spans="1:29" ht="15.5" x14ac:dyDescent="0.35">
      <c r="A711" s="211" t="s">
        <v>110</v>
      </c>
      <c r="B711" s="214" t="s">
        <v>3193</v>
      </c>
      <c r="C711" s="211" t="s">
        <v>110</v>
      </c>
      <c r="D711" s="215">
        <v>4307</v>
      </c>
      <c r="E711" s="215">
        <v>9075</v>
      </c>
      <c r="F711" s="211" t="s">
        <v>110</v>
      </c>
      <c r="G711" s="211" t="s">
        <v>110</v>
      </c>
      <c r="H711" s="216" t="s">
        <v>3030</v>
      </c>
      <c r="I711" s="217" t="s">
        <v>3028</v>
      </c>
      <c r="J711" s="211" t="s">
        <v>3029</v>
      </c>
      <c r="K711" s="211" t="s">
        <v>1150</v>
      </c>
      <c r="L711" s="211" t="s">
        <v>218</v>
      </c>
      <c r="M711" s="211" t="s">
        <v>796</v>
      </c>
      <c r="N711" s="211" t="s">
        <v>642</v>
      </c>
      <c r="O711" s="211">
        <v>15</v>
      </c>
      <c r="P711" s="211" t="s">
        <v>276</v>
      </c>
      <c r="Q711" s="226" t="s">
        <v>108</v>
      </c>
      <c r="R711" s="218">
        <v>103200</v>
      </c>
      <c r="S711" s="218">
        <f>Product_Name[[#This Row],[Đơn giá
Unit Price]]*Product_Name[[#This Row],[Số lượng
Quantity]]</f>
        <v>1548000</v>
      </c>
      <c r="T711" s="219">
        <v>44943</v>
      </c>
      <c r="U711" s="220">
        <v>44963</v>
      </c>
      <c r="V711" s="221">
        <v>44960</v>
      </c>
      <c r="W711" s="211" t="s">
        <v>2651</v>
      </c>
      <c r="X711" s="211" t="s">
        <v>1932</v>
      </c>
      <c r="Y711" s="220" t="s">
        <v>3037</v>
      </c>
      <c r="Z711" s="222"/>
      <c r="AA711" s="216" t="s">
        <v>2155</v>
      </c>
      <c r="AB711" s="227"/>
      <c r="AC711" s="295"/>
    </row>
    <row r="712" spans="1:29" ht="15.5" x14ac:dyDescent="0.35">
      <c r="A712" s="211">
        <v>8961</v>
      </c>
      <c r="B712" s="214" t="s">
        <v>3174</v>
      </c>
      <c r="C712" s="211">
        <v>12199</v>
      </c>
      <c r="D712" s="215" t="s">
        <v>110</v>
      </c>
      <c r="E712" s="215" t="s">
        <v>110</v>
      </c>
      <c r="F712" s="211" t="s">
        <v>110</v>
      </c>
      <c r="G712" s="211" t="s">
        <v>110</v>
      </c>
      <c r="H712" s="216" t="s">
        <v>3034</v>
      </c>
      <c r="I712" s="217" t="s">
        <v>3035</v>
      </c>
      <c r="J712" s="211" t="s">
        <v>3036</v>
      </c>
      <c r="K712" s="211" t="s">
        <v>326</v>
      </c>
      <c r="L712" s="211" t="s">
        <v>326</v>
      </c>
      <c r="M712" s="211" t="s">
        <v>123</v>
      </c>
      <c r="N712" s="211" t="s">
        <v>14</v>
      </c>
      <c r="O712" s="211">
        <v>1</v>
      </c>
      <c r="P712" s="211" t="s">
        <v>964</v>
      </c>
      <c r="Q712" s="226" t="s">
        <v>108</v>
      </c>
      <c r="R712" s="218">
        <v>680000</v>
      </c>
      <c r="S712" s="218">
        <f>Product_Name[[#This Row],[Đơn giá
Unit Price]]*Product_Name[[#This Row],[Số lượng
Quantity]]</f>
        <v>680000</v>
      </c>
      <c r="T712" s="219">
        <v>44936</v>
      </c>
      <c r="U712" s="220">
        <v>44942</v>
      </c>
      <c r="V712" s="221">
        <v>44942</v>
      </c>
      <c r="W712" s="211" t="s">
        <v>2651</v>
      </c>
      <c r="X712" s="211" t="s">
        <v>1932</v>
      </c>
      <c r="Y712" s="220" t="s">
        <v>3037</v>
      </c>
      <c r="Z712" s="222"/>
      <c r="AA712" s="216" t="s">
        <v>2155</v>
      </c>
      <c r="AB712" s="227"/>
      <c r="AC712" s="295"/>
    </row>
    <row r="713" spans="1:29" ht="15.5" x14ac:dyDescent="0.35">
      <c r="A713" s="211">
        <v>8955</v>
      </c>
      <c r="B713" s="214" t="s">
        <v>3163</v>
      </c>
      <c r="C713" s="211">
        <v>12198</v>
      </c>
      <c r="D713" s="215" t="s">
        <v>110</v>
      </c>
      <c r="E713" s="215" t="s">
        <v>110</v>
      </c>
      <c r="F713" s="211" t="s">
        <v>110</v>
      </c>
      <c r="G713" s="211" t="s">
        <v>110</v>
      </c>
      <c r="H713" s="216" t="s">
        <v>1679</v>
      </c>
      <c r="I713" s="217" t="s">
        <v>1578</v>
      </c>
      <c r="J713" s="211" t="s">
        <v>1579</v>
      </c>
      <c r="K713" s="211" t="s">
        <v>1622</v>
      </c>
      <c r="L713" s="211" t="s">
        <v>1623</v>
      </c>
      <c r="M713" s="211" t="s">
        <v>123</v>
      </c>
      <c r="N713" s="211" t="s">
        <v>14</v>
      </c>
      <c r="O713" s="211">
        <v>2</v>
      </c>
      <c r="P713" s="211" t="s">
        <v>799</v>
      </c>
      <c r="Q713" s="226" t="s">
        <v>108</v>
      </c>
      <c r="R713" s="218">
        <v>331000</v>
      </c>
      <c r="S713" s="218">
        <f>Product_Name[[#This Row],[Đơn giá
Unit Price]]*Product_Name[[#This Row],[Số lượng
Quantity]]</f>
        <v>662000</v>
      </c>
      <c r="T713" s="219">
        <v>44936</v>
      </c>
      <c r="U713" s="220">
        <v>44942</v>
      </c>
      <c r="V713" s="221">
        <v>44942</v>
      </c>
      <c r="W713" s="211" t="s">
        <v>2814</v>
      </c>
      <c r="X713" s="211" t="s">
        <v>16</v>
      </c>
      <c r="Y713" s="220">
        <v>44929</v>
      </c>
      <c r="Z713" s="222" t="s">
        <v>2087</v>
      </c>
      <c r="AA713" s="216" t="s">
        <v>2181</v>
      </c>
      <c r="AB713" s="227"/>
      <c r="AC713" s="295"/>
    </row>
    <row r="714" spans="1:29" ht="15.5" x14ac:dyDescent="0.35">
      <c r="A714" s="211"/>
      <c r="B714" s="214" t="s">
        <v>3194</v>
      </c>
      <c r="C714" s="211"/>
      <c r="D714" s="215"/>
      <c r="E714" s="215"/>
      <c r="F714" s="211"/>
      <c r="G714" s="211"/>
      <c r="H714" s="216" t="s">
        <v>3047</v>
      </c>
      <c r="I714" s="217" t="s">
        <v>3046</v>
      </c>
      <c r="J714" s="211" t="s">
        <v>3057</v>
      </c>
      <c r="K714" s="211" t="s">
        <v>1150</v>
      </c>
      <c r="L714" s="211" t="s">
        <v>218</v>
      </c>
      <c r="M714" s="211" t="s">
        <v>826</v>
      </c>
      <c r="N714" s="211" t="s">
        <v>14</v>
      </c>
      <c r="O714" s="211">
        <v>50</v>
      </c>
      <c r="P714" s="211" t="s">
        <v>47</v>
      </c>
      <c r="Q714" s="226" t="s">
        <v>108</v>
      </c>
      <c r="R714" s="218">
        <v>37500</v>
      </c>
      <c r="S714" s="218">
        <f>Product_Name[[#This Row],[Đơn giá
Unit Price]]*Product_Name[[#This Row],[Số lượng
Quantity]]</f>
        <v>1875000</v>
      </c>
      <c r="T714" s="219"/>
      <c r="U714" s="220"/>
      <c r="V714" s="221"/>
      <c r="W714" s="211" t="s">
        <v>2830</v>
      </c>
      <c r="X714" s="211" t="s">
        <v>16</v>
      </c>
      <c r="Y714" s="220" t="s">
        <v>3059</v>
      </c>
      <c r="Z714" s="222" t="s">
        <v>2087</v>
      </c>
      <c r="AA714" s="216" t="s">
        <v>2181</v>
      </c>
      <c r="AB714" s="227"/>
      <c r="AC714" s="295"/>
    </row>
    <row r="715" spans="1:29" ht="15.5" x14ac:dyDescent="0.35">
      <c r="A715" s="211">
        <v>9210</v>
      </c>
      <c r="B715" s="214" t="s">
        <v>3203</v>
      </c>
      <c r="C715" s="211">
        <v>12862</v>
      </c>
      <c r="D715" s="215"/>
      <c r="E715" s="215"/>
      <c r="F715" s="211"/>
      <c r="G715" s="211"/>
      <c r="H715" s="216" t="s">
        <v>3056</v>
      </c>
      <c r="I715" s="217" t="s">
        <v>3048</v>
      </c>
      <c r="J715" s="211" t="s">
        <v>3058</v>
      </c>
      <c r="K715" s="211" t="s">
        <v>1150</v>
      </c>
      <c r="L715" s="211" t="s">
        <v>218</v>
      </c>
      <c r="M715" s="211" t="s">
        <v>826</v>
      </c>
      <c r="N715" s="211" t="s">
        <v>14</v>
      </c>
      <c r="O715" s="211">
        <v>5</v>
      </c>
      <c r="P715" s="211" t="s">
        <v>1167</v>
      </c>
      <c r="Q715" s="226" t="s">
        <v>108</v>
      </c>
      <c r="R715" s="218">
        <v>50000</v>
      </c>
      <c r="S715" s="218">
        <f>Product_Name[[#This Row],[Đơn giá
Unit Price]]*Product_Name[[#This Row],[Số lượng
Quantity]]</f>
        <v>250000</v>
      </c>
      <c r="T715" s="219">
        <v>44961</v>
      </c>
      <c r="U715" s="220">
        <v>44967</v>
      </c>
      <c r="V715" s="221">
        <v>44965</v>
      </c>
      <c r="W715" s="211" t="s">
        <v>2830</v>
      </c>
      <c r="X715" s="211" t="s">
        <v>16</v>
      </c>
      <c r="Y715" s="220" t="s">
        <v>3059</v>
      </c>
      <c r="Z715" s="222" t="s">
        <v>2087</v>
      </c>
      <c r="AA715" s="216" t="s">
        <v>2181</v>
      </c>
      <c r="AB715" s="227"/>
      <c r="AC715" s="295"/>
    </row>
    <row r="716" spans="1:29" ht="15.5" x14ac:dyDescent="0.35">
      <c r="A716" s="211">
        <v>8975</v>
      </c>
      <c r="B716" s="214" t="s">
        <v>3207</v>
      </c>
      <c r="C716" s="211">
        <v>12242</v>
      </c>
      <c r="D716" s="215" t="s">
        <v>110</v>
      </c>
      <c r="E716" s="215" t="s">
        <v>110</v>
      </c>
      <c r="F716" s="211" t="s">
        <v>110</v>
      </c>
      <c r="G716" s="211" t="s">
        <v>110</v>
      </c>
      <c r="H716" s="216" t="s">
        <v>1097</v>
      </c>
      <c r="I716" s="217" t="s">
        <v>1098</v>
      </c>
      <c r="J716" s="211" t="s">
        <v>1099</v>
      </c>
      <c r="K716" s="211" t="s">
        <v>99</v>
      </c>
      <c r="L716" s="211" t="s">
        <v>99</v>
      </c>
      <c r="M716" s="211" t="s">
        <v>123</v>
      </c>
      <c r="N716" s="211" t="s">
        <v>14</v>
      </c>
      <c r="O716" s="211">
        <v>10</v>
      </c>
      <c r="P716" s="211" t="s">
        <v>719</v>
      </c>
      <c r="Q716" s="226" t="s">
        <v>108</v>
      </c>
      <c r="R716" s="218">
        <v>119000</v>
      </c>
      <c r="S716" s="218">
        <f>Product_Name[[#This Row],[Đơn giá
Unit Price]]*Product_Name[[#This Row],[Số lượng
Quantity]]</f>
        <v>1190000</v>
      </c>
      <c r="T716" s="219">
        <v>44937</v>
      </c>
      <c r="U716" s="220">
        <v>44958</v>
      </c>
      <c r="V716" s="221">
        <v>44966</v>
      </c>
      <c r="W716" s="211" t="s">
        <v>2160</v>
      </c>
      <c r="X716" s="211" t="s">
        <v>55</v>
      </c>
      <c r="Y716" s="220">
        <v>44931</v>
      </c>
      <c r="Z716" s="222" t="s">
        <v>2087</v>
      </c>
      <c r="AA716" s="216" t="s">
        <v>2155</v>
      </c>
      <c r="AB716" s="227" t="s">
        <v>110</v>
      </c>
      <c r="AC716" s="295"/>
    </row>
    <row r="717" spans="1:29" ht="15.5" x14ac:dyDescent="0.35">
      <c r="A717" s="211"/>
      <c r="B717" s="214" t="s">
        <v>3197</v>
      </c>
      <c r="C717" s="211"/>
      <c r="D717" s="215" t="s">
        <v>110</v>
      </c>
      <c r="E717" s="215" t="s">
        <v>110</v>
      </c>
      <c r="F717" s="211"/>
      <c r="G717" s="211"/>
      <c r="H717" s="216" t="s">
        <v>1387</v>
      </c>
      <c r="I717" s="217" t="s">
        <v>1404</v>
      </c>
      <c r="J717" s="211" t="s">
        <v>1388</v>
      </c>
      <c r="K717" s="211" t="s">
        <v>1460</v>
      </c>
      <c r="L717" s="211" t="s">
        <v>99</v>
      </c>
      <c r="M717" s="211" t="s">
        <v>124</v>
      </c>
      <c r="N717" s="211" t="s">
        <v>14</v>
      </c>
      <c r="O717" s="211">
        <v>3</v>
      </c>
      <c r="P717" s="211" t="s">
        <v>276</v>
      </c>
      <c r="Q717" s="226" t="s">
        <v>108</v>
      </c>
      <c r="R717" s="218">
        <v>3188000</v>
      </c>
      <c r="S717" s="218">
        <f>Product_Name[[#This Row],[Đơn giá
Unit Price]]*Product_Name[[#This Row],[Số lượng
Quantity]]</f>
        <v>9564000</v>
      </c>
      <c r="T717" s="219"/>
      <c r="U717" s="220"/>
      <c r="V717" s="221"/>
      <c r="W717" s="211" t="s">
        <v>2814</v>
      </c>
      <c r="X717" s="211" t="s">
        <v>16</v>
      </c>
      <c r="Y717" s="220">
        <v>44931</v>
      </c>
      <c r="Z717" s="222"/>
      <c r="AA717" s="216" t="s">
        <v>2056</v>
      </c>
      <c r="AB717" s="227"/>
      <c r="AC717" s="295"/>
    </row>
    <row r="718" spans="1:29" ht="15.5" x14ac:dyDescent="0.35">
      <c r="A718" s="211" t="s">
        <v>110</v>
      </c>
      <c r="B718" s="214" t="s">
        <v>3234</v>
      </c>
      <c r="C718" s="211" t="s">
        <v>110</v>
      </c>
      <c r="D718" s="215">
        <v>4335</v>
      </c>
      <c r="E718" s="215">
        <v>9172</v>
      </c>
      <c r="F718" s="211" t="s">
        <v>3186</v>
      </c>
      <c r="G718" s="211" t="s">
        <v>3187</v>
      </c>
      <c r="H718" s="216" t="s">
        <v>2294</v>
      </c>
      <c r="I718" s="217" t="s">
        <v>2295</v>
      </c>
      <c r="J718" s="211" t="s">
        <v>2293</v>
      </c>
      <c r="K718" s="211" t="s">
        <v>1564</v>
      </c>
      <c r="L718" s="211" t="s">
        <v>1564</v>
      </c>
      <c r="M718" s="211" t="s">
        <v>3073</v>
      </c>
      <c r="N718" s="211" t="s">
        <v>642</v>
      </c>
      <c r="O718" s="211">
        <v>2</v>
      </c>
      <c r="P718" s="211" t="s">
        <v>37</v>
      </c>
      <c r="Q718" s="226" t="s">
        <v>108</v>
      </c>
      <c r="R718" s="218">
        <v>2910000</v>
      </c>
      <c r="S718" s="218">
        <f>R718*O718</f>
        <v>5820000</v>
      </c>
      <c r="T718" s="219">
        <v>44958</v>
      </c>
      <c r="U718" s="220">
        <v>44970</v>
      </c>
      <c r="V718" s="221">
        <v>44973</v>
      </c>
      <c r="W718" s="211" t="s">
        <v>2813</v>
      </c>
      <c r="X718" s="211" t="s">
        <v>16</v>
      </c>
      <c r="Y718" s="220">
        <v>44739</v>
      </c>
      <c r="Z718" s="222"/>
      <c r="AA718" s="216" t="s">
        <v>2181</v>
      </c>
      <c r="AB718" s="227">
        <v>44939</v>
      </c>
      <c r="AC718" s="295"/>
    </row>
    <row r="719" spans="1:29" ht="15.5" x14ac:dyDescent="0.35">
      <c r="A719" s="211">
        <v>9074</v>
      </c>
      <c r="B719" s="214" t="s">
        <v>3201</v>
      </c>
      <c r="C719" s="211">
        <v>12644</v>
      </c>
      <c r="D719" s="215" t="s">
        <v>110</v>
      </c>
      <c r="E719" s="215" t="s">
        <v>110</v>
      </c>
      <c r="F719" s="211" t="s">
        <v>110</v>
      </c>
      <c r="G719" s="211" t="s">
        <v>110</v>
      </c>
      <c r="H719" s="216" t="s">
        <v>3075</v>
      </c>
      <c r="I719" s="217" t="s">
        <v>3074</v>
      </c>
      <c r="J719" s="211" t="s">
        <v>3173</v>
      </c>
      <c r="K719" s="211" t="s">
        <v>2265</v>
      </c>
      <c r="L719" s="211" t="s">
        <v>2265</v>
      </c>
      <c r="M719" s="211" t="s">
        <v>1282</v>
      </c>
      <c r="N719" s="211" t="s">
        <v>14</v>
      </c>
      <c r="O719" s="211">
        <v>85</v>
      </c>
      <c r="P719" s="211" t="s">
        <v>276</v>
      </c>
      <c r="Q719" s="226" t="s">
        <v>108</v>
      </c>
      <c r="R719" s="218">
        <v>875000</v>
      </c>
      <c r="S719" s="218">
        <f>Product_Name[[#This Row],[Đơn giá
Unit Price]]*Product_Name[[#This Row],[Số lượng
Quantity]]</f>
        <v>74375000</v>
      </c>
      <c r="T719" s="219">
        <v>44943</v>
      </c>
      <c r="U719" s="220">
        <v>44958</v>
      </c>
      <c r="V719" s="221">
        <v>44961</v>
      </c>
      <c r="W719" s="211" t="s">
        <v>2814</v>
      </c>
      <c r="X719" s="211" t="s">
        <v>55</v>
      </c>
      <c r="Y719" s="220" t="s">
        <v>3076</v>
      </c>
      <c r="Z719" s="222" t="s">
        <v>2087</v>
      </c>
      <c r="AA719" s="216" t="s">
        <v>2155</v>
      </c>
      <c r="AB719" s="227" t="s">
        <v>110</v>
      </c>
      <c r="AC719" s="295"/>
    </row>
    <row r="720" spans="1:29" ht="15.5" x14ac:dyDescent="0.35">
      <c r="A720" s="211">
        <v>9281</v>
      </c>
      <c r="B720" s="214" t="s">
        <v>3233</v>
      </c>
      <c r="C720" s="211">
        <v>12866</v>
      </c>
      <c r="D720" s="215" t="s">
        <v>110</v>
      </c>
      <c r="E720" s="215" t="s">
        <v>110</v>
      </c>
      <c r="F720" s="211" t="s">
        <v>110</v>
      </c>
      <c r="G720" s="211" t="s">
        <v>110</v>
      </c>
      <c r="H720" s="216" t="s">
        <v>1671</v>
      </c>
      <c r="I720" s="217" t="s">
        <v>1667</v>
      </c>
      <c r="J720" s="211" t="s">
        <v>3069</v>
      </c>
      <c r="K720" s="211" t="s">
        <v>3031</v>
      </c>
      <c r="L720" s="211" t="s">
        <v>3031</v>
      </c>
      <c r="M720" s="211" t="s">
        <v>1282</v>
      </c>
      <c r="N720" s="211" t="s">
        <v>14</v>
      </c>
      <c r="O720" s="211">
        <v>10000</v>
      </c>
      <c r="P720" s="211" t="s">
        <v>276</v>
      </c>
      <c r="Q720" s="226" t="s">
        <v>108</v>
      </c>
      <c r="R720" s="218">
        <v>1233</v>
      </c>
      <c r="S720" s="218">
        <f>Product_Name[[#This Row],[Đơn giá
Unit Price]]*Product_Name[[#This Row],[Số lượng
Quantity]]</f>
        <v>12330000</v>
      </c>
      <c r="T720" s="219">
        <v>44961</v>
      </c>
      <c r="U720" s="220">
        <v>44971</v>
      </c>
      <c r="V720" s="221">
        <v>44973</v>
      </c>
      <c r="W720" s="211" t="s">
        <v>2813</v>
      </c>
      <c r="X720" s="211" t="s">
        <v>55</v>
      </c>
      <c r="Y720" s="220">
        <v>44938</v>
      </c>
      <c r="Z720" s="222" t="s">
        <v>2087</v>
      </c>
      <c r="AA720" s="216" t="s">
        <v>2155</v>
      </c>
      <c r="AB720" s="227" t="s">
        <v>110</v>
      </c>
      <c r="AC720" s="295"/>
    </row>
    <row r="721" spans="1:29" ht="15.5" x14ac:dyDescent="0.35">
      <c r="A721" s="211">
        <v>9281</v>
      </c>
      <c r="B721" s="214" t="s">
        <v>3233</v>
      </c>
      <c r="C721" s="211">
        <v>12866</v>
      </c>
      <c r="D721" s="215" t="s">
        <v>110</v>
      </c>
      <c r="E721" s="215" t="s">
        <v>110</v>
      </c>
      <c r="F721" s="211" t="s">
        <v>110</v>
      </c>
      <c r="G721" s="211" t="s">
        <v>110</v>
      </c>
      <c r="H721" s="216" t="s">
        <v>1672</v>
      </c>
      <c r="I721" s="217" t="s">
        <v>1668</v>
      </c>
      <c r="J721" s="211" t="s">
        <v>3070</v>
      </c>
      <c r="K721" s="211" t="s">
        <v>3031</v>
      </c>
      <c r="L721" s="211" t="s">
        <v>3031</v>
      </c>
      <c r="M721" s="211" t="s">
        <v>1282</v>
      </c>
      <c r="N721" s="211" t="s">
        <v>14</v>
      </c>
      <c r="O721" s="211">
        <v>15000</v>
      </c>
      <c r="P721" s="211" t="s">
        <v>276</v>
      </c>
      <c r="Q721" s="226" t="s">
        <v>108</v>
      </c>
      <c r="R721" s="218">
        <v>1746</v>
      </c>
      <c r="S721" s="218">
        <f>Product_Name[[#This Row],[Đơn giá
Unit Price]]*Product_Name[[#This Row],[Số lượng
Quantity]]</f>
        <v>26190000</v>
      </c>
      <c r="T721" s="219">
        <v>44961</v>
      </c>
      <c r="U721" s="220">
        <v>44971</v>
      </c>
      <c r="V721" s="221">
        <v>44973</v>
      </c>
      <c r="W721" s="211" t="s">
        <v>2813</v>
      </c>
      <c r="X721" s="211" t="s">
        <v>55</v>
      </c>
      <c r="Y721" s="220">
        <v>44938</v>
      </c>
      <c r="Z721" s="222" t="s">
        <v>2087</v>
      </c>
      <c r="AA721" s="216" t="s">
        <v>2155</v>
      </c>
      <c r="AB721" s="227" t="s">
        <v>110</v>
      </c>
      <c r="AC721" s="295"/>
    </row>
    <row r="722" spans="1:29" ht="15.5" x14ac:dyDescent="0.35">
      <c r="A722" s="211">
        <v>9074</v>
      </c>
      <c r="B722" s="214" t="s">
        <v>3196</v>
      </c>
      <c r="C722" s="211">
        <v>12645</v>
      </c>
      <c r="D722" s="215" t="s">
        <v>110</v>
      </c>
      <c r="E722" s="215" t="s">
        <v>110</v>
      </c>
      <c r="F722" s="211" t="s">
        <v>110</v>
      </c>
      <c r="G722" s="211" t="s">
        <v>110</v>
      </c>
      <c r="H722" s="216" t="s">
        <v>2206</v>
      </c>
      <c r="I722" s="217" t="s">
        <v>2207</v>
      </c>
      <c r="J722" s="211" t="s">
        <v>2200</v>
      </c>
      <c r="K722" s="211" t="s">
        <v>2265</v>
      </c>
      <c r="L722" s="211" t="s">
        <v>2265</v>
      </c>
      <c r="M722" s="211" t="s">
        <v>1282</v>
      </c>
      <c r="N722" s="211" t="s">
        <v>14</v>
      </c>
      <c r="O722" s="211">
        <v>220</v>
      </c>
      <c r="P722" s="211" t="s">
        <v>276</v>
      </c>
      <c r="Q722" s="226" t="s">
        <v>108</v>
      </c>
      <c r="R722" s="218">
        <v>795000</v>
      </c>
      <c r="S722" s="218">
        <f>Product_Name[[#This Row],[Số lượng
Quantity]]*Product_Name[[#This Row],[Đơn giá
Unit Price]]</f>
        <v>174900000</v>
      </c>
      <c r="T722" s="219">
        <v>44943</v>
      </c>
      <c r="U722" s="220">
        <v>44963</v>
      </c>
      <c r="V722" s="221">
        <v>44961</v>
      </c>
      <c r="W722" s="211" t="s">
        <v>2814</v>
      </c>
      <c r="X722" s="211" t="s">
        <v>55</v>
      </c>
      <c r="Y722" s="220">
        <v>44914</v>
      </c>
      <c r="Z722" s="222" t="s">
        <v>2087</v>
      </c>
      <c r="AA722" s="216" t="s">
        <v>2155</v>
      </c>
      <c r="AB722" s="227" t="s">
        <v>110</v>
      </c>
      <c r="AC722" s="295"/>
    </row>
    <row r="723" spans="1:29" ht="15.5" x14ac:dyDescent="0.35">
      <c r="A723" s="211">
        <v>9074</v>
      </c>
      <c r="B723" s="214" t="s">
        <v>3201</v>
      </c>
      <c r="C723" s="211">
        <v>12645</v>
      </c>
      <c r="D723" s="215" t="s">
        <v>110</v>
      </c>
      <c r="E723" s="215" t="s">
        <v>110</v>
      </c>
      <c r="F723" s="211" t="s">
        <v>110</v>
      </c>
      <c r="G723" s="211" t="s">
        <v>110</v>
      </c>
      <c r="H723" s="216" t="s">
        <v>2208</v>
      </c>
      <c r="I723" s="217" t="s">
        <v>2209</v>
      </c>
      <c r="J723" s="211" t="s">
        <v>2201</v>
      </c>
      <c r="K723" s="211" t="s">
        <v>2265</v>
      </c>
      <c r="L723" s="211" t="s">
        <v>2265</v>
      </c>
      <c r="M723" s="211" t="s">
        <v>1282</v>
      </c>
      <c r="N723" s="211" t="s">
        <v>14</v>
      </c>
      <c r="O723" s="211">
        <v>220</v>
      </c>
      <c r="P723" s="211" t="s">
        <v>276</v>
      </c>
      <c r="Q723" s="226" t="s">
        <v>108</v>
      </c>
      <c r="R723" s="218">
        <v>245000</v>
      </c>
      <c r="S723" s="218">
        <f>Product_Name[[#This Row],[Số lượng
Quantity]]*Product_Name[[#This Row],[Đơn giá
Unit Price]]</f>
        <v>53900000</v>
      </c>
      <c r="T723" s="219">
        <v>44943</v>
      </c>
      <c r="U723" s="220">
        <v>44963</v>
      </c>
      <c r="V723" s="221">
        <v>44961</v>
      </c>
      <c r="W723" s="211" t="s">
        <v>2814</v>
      </c>
      <c r="X723" s="211" t="s">
        <v>55</v>
      </c>
      <c r="Y723" s="220">
        <v>44914</v>
      </c>
      <c r="Z723" s="222" t="s">
        <v>2087</v>
      </c>
      <c r="AA723" s="216" t="s">
        <v>2155</v>
      </c>
      <c r="AB723" s="227" t="s">
        <v>110</v>
      </c>
      <c r="AC723" s="295"/>
    </row>
    <row r="724" spans="1:29" ht="15.5" x14ac:dyDescent="0.35">
      <c r="A724" s="211">
        <v>9074</v>
      </c>
      <c r="B724" s="214" t="s">
        <v>3201</v>
      </c>
      <c r="C724" s="211">
        <v>12645</v>
      </c>
      <c r="D724" s="215" t="s">
        <v>110</v>
      </c>
      <c r="E724" s="215" t="s">
        <v>110</v>
      </c>
      <c r="F724" s="211" t="s">
        <v>110</v>
      </c>
      <c r="G724" s="211" t="s">
        <v>110</v>
      </c>
      <c r="H724" s="216" t="s">
        <v>2214</v>
      </c>
      <c r="I724" s="217" t="s">
        <v>2215</v>
      </c>
      <c r="J724" s="211" t="s">
        <v>2204</v>
      </c>
      <c r="K724" s="211" t="s">
        <v>2265</v>
      </c>
      <c r="L724" s="211" t="s">
        <v>2265</v>
      </c>
      <c r="M724" s="211" t="s">
        <v>1282</v>
      </c>
      <c r="N724" s="211" t="s">
        <v>14</v>
      </c>
      <c r="O724" s="211">
        <v>700</v>
      </c>
      <c r="P724" s="211" t="s">
        <v>276</v>
      </c>
      <c r="Q724" s="226" t="s">
        <v>108</v>
      </c>
      <c r="R724" s="218">
        <v>55000</v>
      </c>
      <c r="S724" s="218">
        <f>Product_Name[[#This Row],[Số lượng
Quantity]]*Product_Name[[#This Row],[Đơn giá
Unit Price]]</f>
        <v>38500000</v>
      </c>
      <c r="T724" s="219">
        <v>44943</v>
      </c>
      <c r="U724" s="220">
        <v>44963</v>
      </c>
      <c r="V724" s="221">
        <v>44961</v>
      </c>
      <c r="W724" s="211" t="s">
        <v>2814</v>
      </c>
      <c r="X724" s="211" t="s">
        <v>55</v>
      </c>
      <c r="Y724" s="220">
        <v>44914</v>
      </c>
      <c r="Z724" s="222" t="s">
        <v>2087</v>
      </c>
      <c r="AA724" s="216" t="s">
        <v>2155</v>
      </c>
      <c r="AB724" s="227" t="s">
        <v>110</v>
      </c>
      <c r="AC724" s="295"/>
    </row>
    <row r="725" spans="1:29" ht="15.5" x14ac:dyDescent="0.35">
      <c r="A725" s="211">
        <v>9074</v>
      </c>
      <c r="B725" s="214" t="s">
        <v>3201</v>
      </c>
      <c r="C725" s="211">
        <v>12645</v>
      </c>
      <c r="D725" s="215" t="s">
        <v>110</v>
      </c>
      <c r="E725" s="215" t="s">
        <v>110</v>
      </c>
      <c r="F725" s="211" t="s">
        <v>110</v>
      </c>
      <c r="G725" s="211" t="s">
        <v>110</v>
      </c>
      <c r="H725" s="216" t="s">
        <v>2216</v>
      </c>
      <c r="I725" s="217" t="s">
        <v>2217</v>
      </c>
      <c r="J725" s="211" t="s">
        <v>2205</v>
      </c>
      <c r="K725" s="211" t="s">
        <v>2265</v>
      </c>
      <c r="L725" s="211" t="s">
        <v>2265</v>
      </c>
      <c r="M725" s="211" t="s">
        <v>1282</v>
      </c>
      <c r="N725" s="211" t="s">
        <v>14</v>
      </c>
      <c r="O725" s="211">
        <v>1400</v>
      </c>
      <c r="P725" s="211" t="s">
        <v>276</v>
      </c>
      <c r="Q725" s="226" t="s">
        <v>108</v>
      </c>
      <c r="R725" s="218">
        <v>22000</v>
      </c>
      <c r="S725" s="218">
        <f>Product_Name[[#This Row],[Số lượng
Quantity]]*Product_Name[[#This Row],[Đơn giá
Unit Price]]</f>
        <v>30800000</v>
      </c>
      <c r="T725" s="219">
        <v>44943</v>
      </c>
      <c r="U725" s="220">
        <v>44963</v>
      </c>
      <c r="V725" s="221">
        <v>44961</v>
      </c>
      <c r="W725" s="211" t="s">
        <v>2814</v>
      </c>
      <c r="X725" s="211" t="s">
        <v>55</v>
      </c>
      <c r="Y725" s="220">
        <v>44914</v>
      </c>
      <c r="Z725" s="222" t="s">
        <v>2087</v>
      </c>
      <c r="AA725" s="216" t="s">
        <v>2155</v>
      </c>
      <c r="AB725" s="227" t="s">
        <v>110</v>
      </c>
      <c r="AC725" s="295"/>
    </row>
    <row r="726" spans="1:29" ht="15.5" x14ac:dyDescent="0.35">
      <c r="A726" s="211">
        <v>9074</v>
      </c>
      <c r="B726" s="214" t="s">
        <v>3201</v>
      </c>
      <c r="C726" s="211">
        <v>12645</v>
      </c>
      <c r="D726" s="215" t="s">
        <v>110</v>
      </c>
      <c r="E726" s="215" t="s">
        <v>110</v>
      </c>
      <c r="F726" s="211" t="s">
        <v>110</v>
      </c>
      <c r="G726" s="211" t="s">
        <v>110</v>
      </c>
      <c r="H726" s="216" t="s">
        <v>3009</v>
      </c>
      <c r="I726" s="217" t="s">
        <v>2306</v>
      </c>
      <c r="J726" s="211" t="s">
        <v>2940</v>
      </c>
      <c r="K726" s="211" t="s">
        <v>2265</v>
      </c>
      <c r="L726" s="211" t="s">
        <v>2265</v>
      </c>
      <c r="M726" s="211" t="s">
        <v>1282</v>
      </c>
      <c r="N726" s="211" t="s">
        <v>14</v>
      </c>
      <c r="O726" s="211">
        <v>75</v>
      </c>
      <c r="P726" s="211" t="s">
        <v>276</v>
      </c>
      <c r="Q726" s="226" t="s">
        <v>108</v>
      </c>
      <c r="R726" s="218">
        <v>990000</v>
      </c>
      <c r="S726" s="218">
        <f>Product_Name[[#This Row],[Đơn giá
Unit Price]]*Product_Name[[#This Row],[Số lượng
Quantity]]</f>
        <v>74250000</v>
      </c>
      <c r="T726" s="219">
        <v>44943</v>
      </c>
      <c r="U726" s="220">
        <v>44963</v>
      </c>
      <c r="V726" s="221">
        <v>44961</v>
      </c>
      <c r="W726" s="211" t="s">
        <v>2814</v>
      </c>
      <c r="X726" s="211" t="s">
        <v>55</v>
      </c>
      <c r="Y726" s="220" t="s">
        <v>2944</v>
      </c>
      <c r="Z726" s="222" t="s">
        <v>2087</v>
      </c>
      <c r="AA726" s="216" t="s">
        <v>2155</v>
      </c>
      <c r="AB726" s="227"/>
      <c r="AC726" s="295"/>
    </row>
    <row r="727" spans="1:29" ht="15.5" x14ac:dyDescent="0.35">
      <c r="A727" s="211">
        <v>9057</v>
      </c>
      <c r="B727" s="214" t="s">
        <v>3192</v>
      </c>
      <c r="C727" s="211">
        <v>12333</v>
      </c>
      <c r="D727" s="215" t="s">
        <v>110</v>
      </c>
      <c r="E727" s="215" t="s">
        <v>110</v>
      </c>
      <c r="F727" s="211" t="s">
        <v>110</v>
      </c>
      <c r="G727" s="211" t="s">
        <v>110</v>
      </c>
      <c r="H727" s="216" t="s">
        <v>2362</v>
      </c>
      <c r="I727" s="217" t="s">
        <v>2361</v>
      </c>
      <c r="J727" s="211" t="s">
        <v>2363</v>
      </c>
      <c r="K727" s="211" t="s">
        <v>1150</v>
      </c>
      <c r="L727" s="211" t="s">
        <v>218</v>
      </c>
      <c r="M727" s="211" t="s">
        <v>123</v>
      </c>
      <c r="N727" s="211" t="s">
        <v>14</v>
      </c>
      <c r="O727" s="211">
        <v>500</v>
      </c>
      <c r="P727" s="211" t="s">
        <v>47</v>
      </c>
      <c r="Q727" s="226" t="s">
        <v>108</v>
      </c>
      <c r="R727" s="218">
        <v>42000</v>
      </c>
      <c r="S727" s="218">
        <f>R727*O727</f>
        <v>21000000</v>
      </c>
      <c r="T727" s="219">
        <v>44939</v>
      </c>
      <c r="U727" s="220">
        <v>44958</v>
      </c>
      <c r="V727" s="221">
        <v>44960</v>
      </c>
      <c r="W727" s="211" t="s">
        <v>2813</v>
      </c>
      <c r="X727" s="211" t="s">
        <v>16</v>
      </c>
      <c r="Y727" s="220">
        <v>44914</v>
      </c>
      <c r="Z727" s="222" t="s">
        <v>2087</v>
      </c>
      <c r="AA727" s="216" t="s">
        <v>2155</v>
      </c>
      <c r="AB727" s="227" t="s">
        <v>110</v>
      </c>
      <c r="AC727" s="295"/>
    </row>
    <row r="728" spans="1:29" s="71" customFormat="1" ht="15.5" x14ac:dyDescent="0.35">
      <c r="A728" s="211" t="s">
        <v>110</v>
      </c>
      <c r="B728" s="214" t="s">
        <v>3274</v>
      </c>
      <c r="C728" s="211" t="s">
        <v>110</v>
      </c>
      <c r="D728" s="215">
        <v>4353</v>
      </c>
      <c r="E728" s="215">
        <v>9192</v>
      </c>
      <c r="F728" s="211" t="s">
        <v>110</v>
      </c>
      <c r="G728" s="211" t="s">
        <v>110</v>
      </c>
      <c r="H728" s="216" t="s">
        <v>3083</v>
      </c>
      <c r="I728" s="217" t="s">
        <v>3081</v>
      </c>
      <c r="J728" s="211" t="s">
        <v>2957</v>
      </c>
      <c r="K728" s="211" t="s">
        <v>3084</v>
      </c>
      <c r="L728" s="211" t="s">
        <v>99</v>
      </c>
      <c r="M728" s="211" t="s">
        <v>2914</v>
      </c>
      <c r="N728" s="212" t="s">
        <v>642</v>
      </c>
      <c r="O728" s="211">
        <v>2</v>
      </c>
      <c r="P728" s="212" t="s">
        <v>37</v>
      </c>
      <c r="Q728" s="213" t="s">
        <v>108</v>
      </c>
      <c r="R728" s="218">
        <v>1444000</v>
      </c>
      <c r="S728" s="218">
        <f>Product_Name[[#This Row],[Đơn giá
Unit Price]]*Product_Name[[#This Row],[Số lượng
Quantity]]</f>
        <v>2888000</v>
      </c>
      <c r="T728" s="219">
        <v>44960</v>
      </c>
      <c r="U728" s="220">
        <v>44981</v>
      </c>
      <c r="V728" s="221">
        <v>44979</v>
      </c>
      <c r="W728" s="211" t="s">
        <v>2814</v>
      </c>
      <c r="X728" s="211" t="s">
        <v>55</v>
      </c>
      <c r="Y728" s="220" t="s">
        <v>3085</v>
      </c>
      <c r="Z728" s="222" t="s">
        <v>2087</v>
      </c>
      <c r="AA728" s="216" t="s">
        <v>2958</v>
      </c>
      <c r="AB728" s="227" t="s">
        <v>110</v>
      </c>
      <c r="AC728" s="295"/>
    </row>
    <row r="729" spans="1:29" s="71" customFormat="1" ht="15.5" x14ac:dyDescent="0.35">
      <c r="A729" s="211" t="s">
        <v>110</v>
      </c>
      <c r="B729" s="214" t="s">
        <v>3274</v>
      </c>
      <c r="C729" s="211" t="s">
        <v>110</v>
      </c>
      <c r="D729" s="215">
        <v>4353</v>
      </c>
      <c r="E729" s="215">
        <v>9192</v>
      </c>
      <c r="F729" s="211" t="s">
        <v>110</v>
      </c>
      <c r="G729" s="211" t="s">
        <v>110</v>
      </c>
      <c r="H729" s="216" t="s">
        <v>3079</v>
      </c>
      <c r="I729" s="217" t="s">
        <v>3080</v>
      </c>
      <c r="J729" s="211" t="s">
        <v>3082</v>
      </c>
      <c r="K729" s="211" t="s">
        <v>3084</v>
      </c>
      <c r="L729" s="211" t="s">
        <v>99</v>
      </c>
      <c r="M729" s="211" t="s">
        <v>2914</v>
      </c>
      <c r="N729" s="212" t="s">
        <v>642</v>
      </c>
      <c r="O729" s="211">
        <v>2</v>
      </c>
      <c r="P729" s="212" t="s">
        <v>37</v>
      </c>
      <c r="Q729" s="213" t="s">
        <v>108</v>
      </c>
      <c r="R729" s="218">
        <v>2425000</v>
      </c>
      <c r="S729" s="218">
        <f>Product_Name[[#This Row],[Đơn giá
Unit Price]]*Product_Name[[#This Row],[Số lượng
Quantity]]</f>
        <v>4850000</v>
      </c>
      <c r="T729" s="219">
        <v>44960</v>
      </c>
      <c r="U729" s="220">
        <v>44981</v>
      </c>
      <c r="V729" s="221">
        <v>44979</v>
      </c>
      <c r="W729" s="211" t="s">
        <v>2814</v>
      </c>
      <c r="X729" s="211" t="s">
        <v>55</v>
      </c>
      <c r="Y729" s="220" t="s">
        <v>3085</v>
      </c>
      <c r="Z729" s="222" t="s">
        <v>2087</v>
      </c>
      <c r="AA729" s="216" t="s">
        <v>2958</v>
      </c>
      <c r="AB729" s="227" t="s">
        <v>110</v>
      </c>
      <c r="AC729" s="295"/>
    </row>
    <row r="730" spans="1:29" s="71" customFormat="1" ht="31" x14ac:dyDescent="0.35">
      <c r="A730" s="211">
        <v>9602</v>
      </c>
      <c r="B730" s="214" t="s">
        <v>3495</v>
      </c>
      <c r="C730" s="211">
        <v>13277</v>
      </c>
      <c r="D730" s="215" t="s">
        <v>110</v>
      </c>
      <c r="E730" s="215" t="s">
        <v>110</v>
      </c>
      <c r="F730" s="211" t="s">
        <v>110</v>
      </c>
      <c r="G730" s="211" t="s">
        <v>110</v>
      </c>
      <c r="H730" s="216" t="s">
        <v>3121</v>
      </c>
      <c r="I730" s="217" t="s">
        <v>3122</v>
      </c>
      <c r="J730" s="211" t="s">
        <v>3086</v>
      </c>
      <c r="K730" s="211" t="s">
        <v>3161</v>
      </c>
      <c r="L730" s="211" t="s">
        <v>1751</v>
      </c>
      <c r="M730" s="211" t="s">
        <v>123</v>
      </c>
      <c r="N730" s="212" t="s">
        <v>14</v>
      </c>
      <c r="O730" s="211">
        <v>8</v>
      </c>
      <c r="P730" s="212" t="s">
        <v>276</v>
      </c>
      <c r="Q730" s="213" t="s">
        <v>108</v>
      </c>
      <c r="R730" s="218">
        <v>15390</v>
      </c>
      <c r="S730" s="218">
        <f>Product_Name[[#This Row],[Đơn giá
Unit Price]]*Product_Name[[#This Row],[Số lượng
Quantity]]</f>
        <v>123120</v>
      </c>
      <c r="T730" s="219">
        <v>44979</v>
      </c>
      <c r="U730" s="220">
        <v>44991</v>
      </c>
      <c r="V730" s="221">
        <v>45009</v>
      </c>
      <c r="W730" s="211" t="s">
        <v>3198</v>
      </c>
      <c r="X730" s="211" t="s">
        <v>53</v>
      </c>
      <c r="Y730" s="264" t="s">
        <v>3276</v>
      </c>
      <c r="Z730" s="222" t="s">
        <v>2087</v>
      </c>
      <c r="AA730" s="216" t="s">
        <v>2647</v>
      </c>
      <c r="AB730" s="227"/>
      <c r="AC730" s="295"/>
    </row>
    <row r="731" spans="1:29" s="71" customFormat="1" ht="31" x14ac:dyDescent="0.35">
      <c r="A731" s="211">
        <v>9602</v>
      </c>
      <c r="B731" s="214" t="s">
        <v>3495</v>
      </c>
      <c r="C731" s="211">
        <v>13277</v>
      </c>
      <c r="D731" s="215" t="s">
        <v>110</v>
      </c>
      <c r="E731" s="215" t="s">
        <v>110</v>
      </c>
      <c r="F731" s="211" t="s">
        <v>110</v>
      </c>
      <c r="G731" s="211" t="s">
        <v>110</v>
      </c>
      <c r="H731" s="216" t="s">
        <v>3121</v>
      </c>
      <c r="I731" s="217" t="s">
        <v>3123</v>
      </c>
      <c r="J731" s="211" t="s">
        <v>3087</v>
      </c>
      <c r="K731" s="211" t="s">
        <v>3161</v>
      </c>
      <c r="L731" s="211" t="s">
        <v>1751</v>
      </c>
      <c r="M731" s="211" t="s">
        <v>123</v>
      </c>
      <c r="N731" s="212" t="s">
        <v>14</v>
      </c>
      <c r="O731" s="211">
        <v>20</v>
      </c>
      <c r="P731" s="212" t="s">
        <v>276</v>
      </c>
      <c r="Q731" s="213" t="s">
        <v>108</v>
      </c>
      <c r="R731" s="218">
        <v>18055</v>
      </c>
      <c r="S731" s="218">
        <f>Product_Name[[#This Row],[Đơn giá
Unit Price]]*Product_Name[[#This Row],[Số lượng
Quantity]]</f>
        <v>361100</v>
      </c>
      <c r="T731" s="219">
        <v>44979</v>
      </c>
      <c r="U731" s="220">
        <v>44991</v>
      </c>
      <c r="V731" s="221">
        <v>45009</v>
      </c>
      <c r="W731" s="211" t="s">
        <v>3198</v>
      </c>
      <c r="X731" s="211" t="s">
        <v>53</v>
      </c>
      <c r="Y731" s="264" t="s">
        <v>3276</v>
      </c>
      <c r="Z731" s="222" t="s">
        <v>2087</v>
      </c>
      <c r="AA731" s="216" t="s">
        <v>2647</v>
      </c>
      <c r="AB731" s="227"/>
      <c r="AC731" s="295"/>
    </row>
    <row r="732" spans="1:29" s="71" customFormat="1" ht="31" x14ac:dyDescent="0.35">
      <c r="A732" s="211">
        <v>9602</v>
      </c>
      <c r="B732" s="214" t="s">
        <v>3495</v>
      </c>
      <c r="C732" s="211">
        <v>13277</v>
      </c>
      <c r="D732" s="215" t="s">
        <v>110</v>
      </c>
      <c r="E732" s="215" t="s">
        <v>110</v>
      </c>
      <c r="F732" s="211" t="s">
        <v>110</v>
      </c>
      <c r="G732" s="211" t="s">
        <v>110</v>
      </c>
      <c r="H732" s="216" t="s">
        <v>3121</v>
      </c>
      <c r="I732" s="217" t="s">
        <v>3124</v>
      </c>
      <c r="J732" s="211" t="s">
        <v>3088</v>
      </c>
      <c r="K732" s="211" t="s">
        <v>3161</v>
      </c>
      <c r="L732" s="211" t="s">
        <v>1751</v>
      </c>
      <c r="M732" s="211" t="s">
        <v>123</v>
      </c>
      <c r="N732" s="212" t="s">
        <v>14</v>
      </c>
      <c r="O732" s="211">
        <v>44</v>
      </c>
      <c r="P732" s="212" t="s">
        <v>276</v>
      </c>
      <c r="Q732" s="213" t="s">
        <v>108</v>
      </c>
      <c r="R732" s="218">
        <v>26220</v>
      </c>
      <c r="S732" s="218">
        <f>Product_Name[[#This Row],[Đơn giá
Unit Price]]*Product_Name[[#This Row],[Số lượng
Quantity]]</f>
        <v>1153680</v>
      </c>
      <c r="T732" s="219">
        <v>44979</v>
      </c>
      <c r="U732" s="220">
        <v>44991</v>
      </c>
      <c r="V732" s="221">
        <v>45009</v>
      </c>
      <c r="W732" s="211" t="s">
        <v>3198</v>
      </c>
      <c r="X732" s="211" t="s">
        <v>53</v>
      </c>
      <c r="Y732" s="264" t="s">
        <v>3276</v>
      </c>
      <c r="Z732" s="222" t="s">
        <v>2087</v>
      </c>
      <c r="AA732" s="216" t="s">
        <v>2647</v>
      </c>
      <c r="AB732" s="227"/>
      <c r="AC732" s="295"/>
    </row>
    <row r="733" spans="1:29" s="71" customFormat="1" ht="31" x14ac:dyDescent="0.35">
      <c r="A733" s="211">
        <v>9602</v>
      </c>
      <c r="B733" s="214" t="s">
        <v>3495</v>
      </c>
      <c r="C733" s="211">
        <v>13277</v>
      </c>
      <c r="D733" s="215" t="s">
        <v>110</v>
      </c>
      <c r="E733" s="215" t="s">
        <v>110</v>
      </c>
      <c r="F733" s="211" t="s">
        <v>110</v>
      </c>
      <c r="G733" s="211" t="s">
        <v>110</v>
      </c>
      <c r="H733" s="216" t="s">
        <v>3121</v>
      </c>
      <c r="I733" s="217" t="s">
        <v>3125</v>
      </c>
      <c r="J733" s="211" t="s">
        <v>3089</v>
      </c>
      <c r="K733" s="211" t="s">
        <v>3161</v>
      </c>
      <c r="L733" s="211" t="s">
        <v>1751</v>
      </c>
      <c r="M733" s="211" t="s">
        <v>123</v>
      </c>
      <c r="N733" s="212" t="s">
        <v>14</v>
      </c>
      <c r="O733" s="211">
        <v>26</v>
      </c>
      <c r="P733" s="212" t="s">
        <v>276</v>
      </c>
      <c r="Q733" s="213" t="s">
        <v>108</v>
      </c>
      <c r="R733" s="218">
        <v>41745</v>
      </c>
      <c r="S733" s="218">
        <f>Product_Name[[#This Row],[Đơn giá
Unit Price]]*Product_Name[[#This Row],[Số lượng
Quantity]]</f>
        <v>1085370</v>
      </c>
      <c r="T733" s="219">
        <v>44979</v>
      </c>
      <c r="U733" s="220">
        <v>44991</v>
      </c>
      <c r="V733" s="221">
        <v>45009</v>
      </c>
      <c r="W733" s="211" t="s">
        <v>3198</v>
      </c>
      <c r="X733" s="211" t="s">
        <v>53</v>
      </c>
      <c r="Y733" s="264" t="s">
        <v>3276</v>
      </c>
      <c r="Z733" s="222" t="s">
        <v>2087</v>
      </c>
      <c r="AA733" s="216" t="s">
        <v>2647</v>
      </c>
      <c r="AB733" s="227"/>
      <c r="AC733" s="295"/>
    </row>
    <row r="734" spans="1:29" s="71" customFormat="1" ht="31" x14ac:dyDescent="0.35">
      <c r="A734" s="211">
        <v>9602</v>
      </c>
      <c r="B734" s="214" t="s">
        <v>3495</v>
      </c>
      <c r="C734" s="211">
        <v>13277</v>
      </c>
      <c r="D734" s="215" t="s">
        <v>110</v>
      </c>
      <c r="E734" s="215" t="s">
        <v>110</v>
      </c>
      <c r="F734" s="211" t="s">
        <v>110</v>
      </c>
      <c r="G734" s="211" t="s">
        <v>110</v>
      </c>
      <c r="H734" s="216" t="s">
        <v>3121</v>
      </c>
      <c r="I734" s="217" t="s">
        <v>3126</v>
      </c>
      <c r="J734" s="211" t="s">
        <v>3090</v>
      </c>
      <c r="K734" s="211" t="s">
        <v>3161</v>
      </c>
      <c r="L734" s="211" t="s">
        <v>1751</v>
      </c>
      <c r="M734" s="211" t="s">
        <v>123</v>
      </c>
      <c r="N734" s="212" t="s">
        <v>14</v>
      </c>
      <c r="O734" s="211">
        <v>10</v>
      </c>
      <c r="P734" s="212" t="s">
        <v>276</v>
      </c>
      <c r="Q734" s="213" t="s">
        <v>108</v>
      </c>
      <c r="R734" s="218">
        <v>57385</v>
      </c>
      <c r="S734" s="218">
        <f>Product_Name[[#This Row],[Đơn giá
Unit Price]]*Product_Name[[#This Row],[Số lượng
Quantity]]</f>
        <v>573850</v>
      </c>
      <c r="T734" s="219">
        <v>44979</v>
      </c>
      <c r="U734" s="220">
        <v>44991</v>
      </c>
      <c r="V734" s="221">
        <v>45009</v>
      </c>
      <c r="W734" s="211" t="s">
        <v>3198</v>
      </c>
      <c r="X734" s="211" t="s">
        <v>53</v>
      </c>
      <c r="Y734" s="264" t="s">
        <v>3276</v>
      </c>
      <c r="Z734" s="222" t="s">
        <v>2087</v>
      </c>
      <c r="AA734" s="216" t="s">
        <v>2647</v>
      </c>
      <c r="AB734" s="227"/>
      <c r="AC734" s="295"/>
    </row>
    <row r="735" spans="1:29" s="71" customFormat="1" ht="31" x14ac:dyDescent="0.35">
      <c r="A735" s="211">
        <v>9602</v>
      </c>
      <c r="B735" s="214" t="s">
        <v>3495</v>
      </c>
      <c r="C735" s="211">
        <v>13277</v>
      </c>
      <c r="D735" s="215" t="s">
        <v>110</v>
      </c>
      <c r="E735" s="215" t="s">
        <v>110</v>
      </c>
      <c r="F735" s="211" t="s">
        <v>110</v>
      </c>
      <c r="G735" s="211" t="s">
        <v>110</v>
      </c>
      <c r="H735" s="216" t="s">
        <v>3121</v>
      </c>
      <c r="I735" s="217" t="s">
        <v>3127</v>
      </c>
      <c r="J735" s="211" t="s">
        <v>3091</v>
      </c>
      <c r="K735" s="211" t="s">
        <v>3161</v>
      </c>
      <c r="L735" s="211" t="s">
        <v>1751</v>
      </c>
      <c r="M735" s="211" t="s">
        <v>123</v>
      </c>
      <c r="N735" s="212" t="s">
        <v>14</v>
      </c>
      <c r="O735" s="211">
        <v>18</v>
      </c>
      <c r="P735" s="212" t="s">
        <v>276</v>
      </c>
      <c r="Q735" s="213" t="s">
        <v>108</v>
      </c>
      <c r="R735" s="218">
        <v>106490</v>
      </c>
      <c r="S735" s="218">
        <f>Product_Name[[#This Row],[Đơn giá
Unit Price]]*Product_Name[[#This Row],[Số lượng
Quantity]]</f>
        <v>1916820</v>
      </c>
      <c r="T735" s="219">
        <v>44979</v>
      </c>
      <c r="U735" s="220">
        <v>44991</v>
      </c>
      <c r="V735" s="221">
        <v>45009</v>
      </c>
      <c r="W735" s="211" t="s">
        <v>3198</v>
      </c>
      <c r="X735" s="211" t="s">
        <v>53</v>
      </c>
      <c r="Y735" s="264" t="s">
        <v>3276</v>
      </c>
      <c r="Z735" s="222" t="s">
        <v>2087</v>
      </c>
      <c r="AA735" s="216" t="s">
        <v>2647</v>
      </c>
      <c r="AB735" s="227"/>
      <c r="AC735" s="295"/>
    </row>
    <row r="736" spans="1:29" s="71" customFormat="1" ht="31" x14ac:dyDescent="0.35">
      <c r="A736" s="211">
        <v>9602</v>
      </c>
      <c r="B736" s="214" t="s">
        <v>3495</v>
      </c>
      <c r="C736" s="211">
        <v>13277</v>
      </c>
      <c r="D736" s="215" t="s">
        <v>110</v>
      </c>
      <c r="E736" s="215" t="s">
        <v>110</v>
      </c>
      <c r="F736" s="211" t="s">
        <v>110</v>
      </c>
      <c r="G736" s="211" t="s">
        <v>110</v>
      </c>
      <c r="H736" s="216" t="s">
        <v>3128</v>
      </c>
      <c r="I736" s="217" t="s">
        <v>3129</v>
      </c>
      <c r="J736" s="211" t="s">
        <v>3092</v>
      </c>
      <c r="K736" s="211" t="s">
        <v>3161</v>
      </c>
      <c r="L736" s="211" t="s">
        <v>1751</v>
      </c>
      <c r="M736" s="211" t="s">
        <v>123</v>
      </c>
      <c r="N736" s="212" t="s">
        <v>14</v>
      </c>
      <c r="O736" s="211">
        <v>30</v>
      </c>
      <c r="P736" s="212" t="s">
        <v>276</v>
      </c>
      <c r="Q736" s="213" t="s">
        <v>108</v>
      </c>
      <c r="R736" s="218">
        <v>296534</v>
      </c>
      <c r="S736" s="218">
        <f>Product_Name[[#This Row],[Đơn giá
Unit Price]]*Product_Name[[#This Row],[Số lượng
Quantity]]</f>
        <v>8896020</v>
      </c>
      <c r="T736" s="219">
        <v>44979</v>
      </c>
      <c r="U736" s="220">
        <v>44991</v>
      </c>
      <c r="V736" s="221">
        <v>45009</v>
      </c>
      <c r="W736" s="211" t="s">
        <v>3198</v>
      </c>
      <c r="X736" s="211" t="s">
        <v>53</v>
      </c>
      <c r="Y736" s="264" t="s">
        <v>3276</v>
      </c>
      <c r="Z736" s="222" t="s">
        <v>2087</v>
      </c>
      <c r="AA736" s="216" t="s">
        <v>2647</v>
      </c>
      <c r="AB736" s="227"/>
      <c r="AC736" s="295"/>
    </row>
    <row r="737" spans="1:29" s="71" customFormat="1" ht="31" x14ac:dyDescent="0.35">
      <c r="A737" s="211">
        <v>9602</v>
      </c>
      <c r="B737" s="214" t="s">
        <v>3495</v>
      </c>
      <c r="C737" s="211">
        <v>13277</v>
      </c>
      <c r="D737" s="215" t="s">
        <v>110</v>
      </c>
      <c r="E737" s="215" t="s">
        <v>110</v>
      </c>
      <c r="F737" s="211" t="s">
        <v>110</v>
      </c>
      <c r="G737" s="211" t="s">
        <v>110</v>
      </c>
      <c r="H737" s="216" t="s">
        <v>3130</v>
      </c>
      <c r="I737" s="217" t="s">
        <v>3131</v>
      </c>
      <c r="J737" s="211" t="s">
        <v>3093</v>
      </c>
      <c r="K737" s="211" t="s">
        <v>3161</v>
      </c>
      <c r="L737" s="211" t="s">
        <v>1751</v>
      </c>
      <c r="M737" s="211" t="s">
        <v>123</v>
      </c>
      <c r="N737" s="212" t="s">
        <v>14</v>
      </c>
      <c r="O737" s="211">
        <v>20</v>
      </c>
      <c r="P737" s="212" t="s">
        <v>276</v>
      </c>
      <c r="Q737" s="213" t="s">
        <v>108</v>
      </c>
      <c r="R737" s="218">
        <v>23010</v>
      </c>
      <c r="S737" s="218">
        <f>Product_Name[[#This Row],[Đơn giá
Unit Price]]*Product_Name[[#This Row],[Số lượng
Quantity]]</f>
        <v>460200</v>
      </c>
      <c r="T737" s="219">
        <v>44979</v>
      </c>
      <c r="U737" s="220">
        <v>44991</v>
      </c>
      <c r="V737" s="221">
        <v>45009</v>
      </c>
      <c r="W737" s="211" t="s">
        <v>3198</v>
      </c>
      <c r="X737" s="211" t="s">
        <v>53</v>
      </c>
      <c r="Y737" s="264" t="s">
        <v>3276</v>
      </c>
      <c r="Z737" s="222" t="s">
        <v>2087</v>
      </c>
      <c r="AA737" s="216" t="s">
        <v>2647</v>
      </c>
      <c r="AB737" s="227"/>
      <c r="AC737" s="295"/>
    </row>
    <row r="738" spans="1:29" s="71" customFormat="1" ht="31" x14ac:dyDescent="0.35">
      <c r="A738" s="211">
        <v>9602</v>
      </c>
      <c r="B738" s="214" t="s">
        <v>3495</v>
      </c>
      <c r="C738" s="211">
        <v>13277</v>
      </c>
      <c r="D738" s="215" t="s">
        <v>110</v>
      </c>
      <c r="E738" s="215" t="s">
        <v>110</v>
      </c>
      <c r="F738" s="211" t="s">
        <v>110</v>
      </c>
      <c r="G738" s="211" t="s">
        <v>110</v>
      </c>
      <c r="H738" s="216" t="s">
        <v>3130</v>
      </c>
      <c r="I738" s="217" t="s">
        <v>3131</v>
      </c>
      <c r="J738" s="211" t="s">
        <v>3094</v>
      </c>
      <c r="K738" s="211" t="s">
        <v>3161</v>
      </c>
      <c r="L738" s="211" t="s">
        <v>1751</v>
      </c>
      <c r="M738" s="211" t="s">
        <v>123</v>
      </c>
      <c r="N738" s="212" t="s">
        <v>14</v>
      </c>
      <c r="O738" s="211">
        <v>20</v>
      </c>
      <c r="P738" s="212" t="s">
        <v>276</v>
      </c>
      <c r="Q738" s="213" t="s">
        <v>108</v>
      </c>
      <c r="R738" s="218">
        <v>33394</v>
      </c>
      <c r="S738" s="218">
        <f>Product_Name[[#This Row],[Đơn giá
Unit Price]]*Product_Name[[#This Row],[Số lượng
Quantity]]</f>
        <v>667880</v>
      </c>
      <c r="T738" s="219">
        <v>44979</v>
      </c>
      <c r="U738" s="220">
        <v>44991</v>
      </c>
      <c r="V738" s="221">
        <v>45009</v>
      </c>
      <c r="W738" s="211" t="s">
        <v>3198</v>
      </c>
      <c r="X738" s="211" t="s">
        <v>53</v>
      </c>
      <c r="Y738" s="264" t="s">
        <v>3276</v>
      </c>
      <c r="Z738" s="222" t="s">
        <v>2087</v>
      </c>
      <c r="AA738" s="216" t="s">
        <v>2647</v>
      </c>
      <c r="AB738" s="227"/>
      <c r="AC738" s="295"/>
    </row>
    <row r="739" spans="1:29" s="71" customFormat="1" ht="31" x14ac:dyDescent="0.35">
      <c r="A739" s="266">
        <v>9602</v>
      </c>
      <c r="B739" s="214" t="s">
        <v>3495</v>
      </c>
      <c r="C739" s="266">
        <v>13277</v>
      </c>
      <c r="D739" s="267" t="s">
        <v>110</v>
      </c>
      <c r="E739" s="267" t="s">
        <v>110</v>
      </c>
      <c r="F739" s="266" t="s">
        <v>110</v>
      </c>
      <c r="G739" s="266" t="s">
        <v>110</v>
      </c>
      <c r="H739" s="268" t="s">
        <v>3130</v>
      </c>
      <c r="I739" s="269" t="s">
        <v>3131</v>
      </c>
      <c r="J739" s="266" t="s">
        <v>3095</v>
      </c>
      <c r="K739" s="266" t="s">
        <v>3161</v>
      </c>
      <c r="L739" s="211" t="s">
        <v>1751</v>
      </c>
      <c r="M739" s="266" t="s">
        <v>123</v>
      </c>
      <c r="N739" s="270" t="s">
        <v>14</v>
      </c>
      <c r="O739" s="266">
        <v>15</v>
      </c>
      <c r="P739" s="270" t="s">
        <v>276</v>
      </c>
      <c r="Q739" s="271" t="s">
        <v>108</v>
      </c>
      <c r="R739" s="272">
        <v>45902</v>
      </c>
      <c r="S739" s="272">
        <f>Product_Name[[#This Row],[Đơn giá
Unit Price]]*Product_Name[[#This Row],[Số lượng
Quantity]]</f>
        <v>688530</v>
      </c>
      <c r="T739" s="273">
        <v>44979</v>
      </c>
      <c r="U739" s="274">
        <v>44991</v>
      </c>
      <c r="V739" s="221">
        <v>45009</v>
      </c>
      <c r="W739" s="266" t="s">
        <v>3198</v>
      </c>
      <c r="X739" s="266" t="s">
        <v>53</v>
      </c>
      <c r="Y739" s="275" t="s">
        <v>3276</v>
      </c>
      <c r="Z739" s="276" t="s">
        <v>2087</v>
      </c>
      <c r="AA739" s="268" t="s">
        <v>2647</v>
      </c>
      <c r="AB739" s="277"/>
      <c r="AC739" s="295"/>
    </row>
    <row r="740" spans="1:29" s="71" customFormat="1" ht="31" x14ac:dyDescent="0.35">
      <c r="A740" s="211">
        <v>9602</v>
      </c>
      <c r="B740" s="214" t="s">
        <v>3495</v>
      </c>
      <c r="C740" s="211">
        <v>13277</v>
      </c>
      <c r="D740" s="215" t="s">
        <v>110</v>
      </c>
      <c r="E740" s="215" t="s">
        <v>110</v>
      </c>
      <c r="F740" s="211" t="s">
        <v>110</v>
      </c>
      <c r="G740" s="211" t="s">
        <v>110</v>
      </c>
      <c r="H740" s="216" t="s">
        <v>3130</v>
      </c>
      <c r="I740" s="217" t="s">
        <v>3131</v>
      </c>
      <c r="J740" s="211" t="s">
        <v>3096</v>
      </c>
      <c r="K740" s="211" t="s">
        <v>3161</v>
      </c>
      <c r="L740" s="211" t="s">
        <v>1751</v>
      </c>
      <c r="M740" s="211" t="s">
        <v>123</v>
      </c>
      <c r="N740" s="212" t="s">
        <v>14</v>
      </c>
      <c r="O740" s="211">
        <v>15</v>
      </c>
      <c r="P740" s="212" t="s">
        <v>276</v>
      </c>
      <c r="Q740" s="213" t="s">
        <v>108</v>
      </c>
      <c r="R740" s="218">
        <v>71390</v>
      </c>
      <c r="S740" s="218">
        <f>Product_Name[[#This Row],[Đơn giá
Unit Price]]*Product_Name[[#This Row],[Số lượng
Quantity]]</f>
        <v>1070850</v>
      </c>
      <c r="T740" s="219">
        <v>44979</v>
      </c>
      <c r="U740" s="220">
        <v>44991</v>
      </c>
      <c r="V740" s="221">
        <v>45009</v>
      </c>
      <c r="W740" s="211" t="s">
        <v>3198</v>
      </c>
      <c r="X740" s="211" t="s">
        <v>53</v>
      </c>
      <c r="Y740" s="264" t="s">
        <v>3276</v>
      </c>
      <c r="Z740" s="222" t="s">
        <v>2087</v>
      </c>
      <c r="AA740" s="216" t="s">
        <v>2647</v>
      </c>
      <c r="AB740" s="227"/>
      <c r="AC740" s="295"/>
    </row>
    <row r="741" spans="1:29" s="71" customFormat="1" ht="31" x14ac:dyDescent="0.35">
      <c r="A741" s="211">
        <v>9602</v>
      </c>
      <c r="B741" s="214" t="s">
        <v>3495</v>
      </c>
      <c r="C741" s="211">
        <v>13277</v>
      </c>
      <c r="D741" s="215" t="s">
        <v>110</v>
      </c>
      <c r="E741" s="215" t="s">
        <v>110</v>
      </c>
      <c r="F741" s="211" t="s">
        <v>110</v>
      </c>
      <c r="G741" s="211" t="s">
        <v>110</v>
      </c>
      <c r="H741" s="216" t="s">
        <v>3130</v>
      </c>
      <c r="I741" s="217" t="s">
        <v>3131</v>
      </c>
      <c r="J741" s="211" t="s">
        <v>3097</v>
      </c>
      <c r="K741" s="211" t="s">
        <v>3161</v>
      </c>
      <c r="L741" s="211" t="s">
        <v>1751</v>
      </c>
      <c r="M741" s="211" t="s">
        <v>123</v>
      </c>
      <c r="N741" s="212" t="s">
        <v>14</v>
      </c>
      <c r="O741" s="211">
        <v>15</v>
      </c>
      <c r="P741" s="212" t="s">
        <v>276</v>
      </c>
      <c r="Q741" s="213" t="s">
        <v>108</v>
      </c>
      <c r="R741" s="218">
        <v>94518</v>
      </c>
      <c r="S741" s="218">
        <f>Product_Name[[#This Row],[Đơn giá
Unit Price]]*Product_Name[[#This Row],[Số lượng
Quantity]]</f>
        <v>1417770</v>
      </c>
      <c r="T741" s="219">
        <v>44979</v>
      </c>
      <c r="U741" s="220">
        <v>44991</v>
      </c>
      <c r="V741" s="221">
        <v>45009</v>
      </c>
      <c r="W741" s="211" t="s">
        <v>3198</v>
      </c>
      <c r="X741" s="211" t="s">
        <v>53</v>
      </c>
      <c r="Y741" s="264" t="s">
        <v>3276</v>
      </c>
      <c r="Z741" s="222" t="s">
        <v>2087</v>
      </c>
      <c r="AA741" s="216" t="s">
        <v>2647</v>
      </c>
      <c r="AB741" s="227"/>
      <c r="AC741" s="295"/>
    </row>
    <row r="742" spans="1:29" s="71" customFormat="1" ht="31" x14ac:dyDescent="0.35">
      <c r="A742" s="211">
        <v>9602</v>
      </c>
      <c r="B742" s="214" t="s">
        <v>3495</v>
      </c>
      <c r="C742" s="211">
        <v>13277</v>
      </c>
      <c r="D742" s="215" t="s">
        <v>110</v>
      </c>
      <c r="E742" s="215" t="s">
        <v>110</v>
      </c>
      <c r="F742" s="211" t="s">
        <v>110</v>
      </c>
      <c r="G742" s="211" t="s">
        <v>110</v>
      </c>
      <c r="H742" s="216" t="s">
        <v>3130</v>
      </c>
      <c r="I742" s="217" t="s">
        <v>3131</v>
      </c>
      <c r="J742" s="211" t="s">
        <v>3098</v>
      </c>
      <c r="K742" s="211" t="s">
        <v>3161</v>
      </c>
      <c r="L742" s="211" t="s">
        <v>1751</v>
      </c>
      <c r="M742" s="211" t="s">
        <v>123</v>
      </c>
      <c r="N742" s="212" t="s">
        <v>14</v>
      </c>
      <c r="O742" s="211">
        <v>15</v>
      </c>
      <c r="P742" s="212" t="s">
        <v>276</v>
      </c>
      <c r="Q742" s="213" t="s">
        <v>108</v>
      </c>
      <c r="R742" s="218">
        <v>175112</v>
      </c>
      <c r="S742" s="218">
        <f>Product_Name[[#This Row],[Đơn giá
Unit Price]]*Product_Name[[#This Row],[Số lượng
Quantity]]</f>
        <v>2626680</v>
      </c>
      <c r="T742" s="219">
        <v>44979</v>
      </c>
      <c r="U742" s="220">
        <v>44991</v>
      </c>
      <c r="V742" s="221">
        <v>45009</v>
      </c>
      <c r="W742" s="211" t="s">
        <v>3198</v>
      </c>
      <c r="X742" s="211" t="s">
        <v>53</v>
      </c>
      <c r="Y742" s="264" t="s">
        <v>3276</v>
      </c>
      <c r="Z742" s="222" t="s">
        <v>2087</v>
      </c>
      <c r="AA742" s="216" t="s">
        <v>2647</v>
      </c>
      <c r="AB742" s="227"/>
      <c r="AC742" s="295"/>
    </row>
    <row r="743" spans="1:29" s="71" customFormat="1" ht="31" x14ac:dyDescent="0.35">
      <c r="A743" s="211">
        <v>9602</v>
      </c>
      <c r="B743" s="214" t="s">
        <v>3495</v>
      </c>
      <c r="C743" s="211">
        <v>13277</v>
      </c>
      <c r="D743" s="215" t="s">
        <v>110</v>
      </c>
      <c r="E743" s="215" t="s">
        <v>110</v>
      </c>
      <c r="F743" s="211" t="s">
        <v>110</v>
      </c>
      <c r="G743" s="211" t="s">
        <v>110</v>
      </c>
      <c r="H743" s="216" t="s">
        <v>3132</v>
      </c>
      <c r="I743" s="217" t="s">
        <v>3133</v>
      </c>
      <c r="J743" s="211" t="s">
        <v>3099</v>
      </c>
      <c r="K743" s="211" t="s">
        <v>3161</v>
      </c>
      <c r="L743" s="211" t="s">
        <v>1751</v>
      </c>
      <c r="M743" s="211" t="s">
        <v>123</v>
      </c>
      <c r="N743" s="212" t="s">
        <v>14</v>
      </c>
      <c r="O743" s="211">
        <v>50</v>
      </c>
      <c r="P743" s="212" t="s">
        <v>1929</v>
      </c>
      <c r="Q743" s="213" t="s">
        <v>108</v>
      </c>
      <c r="R743" s="218">
        <v>15222</v>
      </c>
      <c r="S743" s="218">
        <f>Product_Name[[#This Row],[Đơn giá
Unit Price]]*Product_Name[[#This Row],[Số lượng
Quantity]]</f>
        <v>761100</v>
      </c>
      <c r="T743" s="219">
        <v>44979</v>
      </c>
      <c r="U743" s="220">
        <v>44991</v>
      </c>
      <c r="V743" s="221">
        <v>45009</v>
      </c>
      <c r="W743" s="211" t="s">
        <v>3198</v>
      </c>
      <c r="X743" s="211" t="s">
        <v>53</v>
      </c>
      <c r="Y743" s="264" t="s">
        <v>3276</v>
      </c>
      <c r="Z743" s="222" t="s">
        <v>2087</v>
      </c>
      <c r="AA743" s="216" t="s">
        <v>2647</v>
      </c>
      <c r="AB743" s="227"/>
      <c r="AC743" s="295"/>
    </row>
    <row r="744" spans="1:29" s="71" customFormat="1" ht="31" x14ac:dyDescent="0.35">
      <c r="A744" s="211">
        <v>9602</v>
      </c>
      <c r="B744" s="214" t="s">
        <v>3495</v>
      </c>
      <c r="C744" s="211">
        <v>13277</v>
      </c>
      <c r="D744" s="215" t="s">
        <v>110</v>
      </c>
      <c r="E744" s="215" t="s">
        <v>110</v>
      </c>
      <c r="F744" s="211" t="s">
        <v>110</v>
      </c>
      <c r="G744" s="211" t="s">
        <v>110</v>
      </c>
      <c r="H744" s="216" t="s">
        <v>3132</v>
      </c>
      <c r="I744" s="217" t="s">
        <v>3134</v>
      </c>
      <c r="J744" s="211" t="s">
        <v>3100</v>
      </c>
      <c r="K744" s="211" t="s">
        <v>3161</v>
      </c>
      <c r="L744" s="211" t="s">
        <v>1751</v>
      </c>
      <c r="M744" s="211" t="s">
        <v>123</v>
      </c>
      <c r="N744" s="212" t="s">
        <v>14</v>
      </c>
      <c r="O744" s="211">
        <v>40</v>
      </c>
      <c r="P744" s="212" t="s">
        <v>1929</v>
      </c>
      <c r="Q744" s="213" t="s">
        <v>108</v>
      </c>
      <c r="R744" s="218">
        <v>20650</v>
      </c>
      <c r="S744" s="218">
        <f>Product_Name[[#This Row],[Đơn giá
Unit Price]]*Product_Name[[#This Row],[Số lượng
Quantity]]</f>
        <v>826000</v>
      </c>
      <c r="T744" s="219">
        <v>44979</v>
      </c>
      <c r="U744" s="220">
        <v>44991</v>
      </c>
      <c r="V744" s="221">
        <v>45009</v>
      </c>
      <c r="W744" s="211" t="s">
        <v>3198</v>
      </c>
      <c r="X744" s="211" t="s">
        <v>53</v>
      </c>
      <c r="Y744" s="264" t="s">
        <v>3276</v>
      </c>
      <c r="Z744" s="222" t="s">
        <v>2087</v>
      </c>
      <c r="AA744" s="216" t="s">
        <v>2647</v>
      </c>
      <c r="AB744" s="227"/>
      <c r="AC744" s="295"/>
    </row>
    <row r="745" spans="1:29" s="71" customFormat="1" ht="31" x14ac:dyDescent="0.35">
      <c r="A745" s="211">
        <v>9602</v>
      </c>
      <c r="B745" s="214" t="s">
        <v>3495</v>
      </c>
      <c r="C745" s="211">
        <v>13277</v>
      </c>
      <c r="D745" s="215" t="s">
        <v>110</v>
      </c>
      <c r="E745" s="215" t="s">
        <v>110</v>
      </c>
      <c r="F745" s="211" t="s">
        <v>110</v>
      </c>
      <c r="G745" s="211" t="s">
        <v>110</v>
      </c>
      <c r="H745" s="216" t="s">
        <v>3132</v>
      </c>
      <c r="I745" s="217" t="s">
        <v>3135</v>
      </c>
      <c r="J745" s="211" t="s">
        <v>3101</v>
      </c>
      <c r="K745" s="211" t="s">
        <v>3161</v>
      </c>
      <c r="L745" s="211" t="s">
        <v>1751</v>
      </c>
      <c r="M745" s="211" t="s">
        <v>123</v>
      </c>
      <c r="N745" s="212" t="s">
        <v>14</v>
      </c>
      <c r="O745" s="211">
        <v>200</v>
      </c>
      <c r="P745" s="212" t="s">
        <v>1929</v>
      </c>
      <c r="Q745" s="213" t="s">
        <v>108</v>
      </c>
      <c r="R745" s="218">
        <v>26904</v>
      </c>
      <c r="S745" s="218">
        <f>Product_Name[[#This Row],[Đơn giá
Unit Price]]*Product_Name[[#This Row],[Số lượng
Quantity]]</f>
        <v>5380800</v>
      </c>
      <c r="T745" s="219">
        <v>44979</v>
      </c>
      <c r="U745" s="220">
        <v>44991</v>
      </c>
      <c r="V745" s="221">
        <v>45009</v>
      </c>
      <c r="W745" s="211" t="s">
        <v>3198</v>
      </c>
      <c r="X745" s="211" t="s">
        <v>53</v>
      </c>
      <c r="Y745" s="264" t="s">
        <v>3276</v>
      </c>
      <c r="Z745" s="222" t="s">
        <v>2087</v>
      </c>
      <c r="AA745" s="216" t="s">
        <v>2647</v>
      </c>
      <c r="AB745" s="227"/>
      <c r="AC745" s="295"/>
    </row>
    <row r="746" spans="1:29" s="71" customFormat="1" ht="31" x14ac:dyDescent="0.35">
      <c r="A746" s="211">
        <v>9602</v>
      </c>
      <c r="B746" s="214" t="s">
        <v>3495</v>
      </c>
      <c r="C746" s="211">
        <v>13277</v>
      </c>
      <c r="D746" s="215" t="s">
        <v>110</v>
      </c>
      <c r="E746" s="215" t="s">
        <v>110</v>
      </c>
      <c r="F746" s="211" t="s">
        <v>110</v>
      </c>
      <c r="G746" s="211" t="s">
        <v>110</v>
      </c>
      <c r="H746" s="216" t="s">
        <v>3132</v>
      </c>
      <c r="I746" s="217" t="s">
        <v>3136</v>
      </c>
      <c r="J746" s="211" t="s">
        <v>3102</v>
      </c>
      <c r="K746" s="211" t="s">
        <v>3161</v>
      </c>
      <c r="L746" s="211" t="s">
        <v>1751</v>
      </c>
      <c r="M746" s="211" t="s">
        <v>123</v>
      </c>
      <c r="N746" s="212" t="s">
        <v>14</v>
      </c>
      <c r="O746" s="211">
        <v>130</v>
      </c>
      <c r="P746" s="212" t="s">
        <v>1929</v>
      </c>
      <c r="Q746" s="213" t="s">
        <v>108</v>
      </c>
      <c r="R746" s="218">
        <v>47436</v>
      </c>
      <c r="S746" s="218">
        <f>Product_Name[[#This Row],[Đơn giá
Unit Price]]*Product_Name[[#This Row],[Số lượng
Quantity]]</f>
        <v>6166680</v>
      </c>
      <c r="T746" s="219">
        <v>44979</v>
      </c>
      <c r="U746" s="220">
        <v>44991</v>
      </c>
      <c r="V746" s="221">
        <v>45009</v>
      </c>
      <c r="W746" s="211" t="s">
        <v>3198</v>
      </c>
      <c r="X746" s="211" t="s">
        <v>53</v>
      </c>
      <c r="Y746" s="264" t="s">
        <v>3276</v>
      </c>
      <c r="Z746" s="222" t="s">
        <v>2087</v>
      </c>
      <c r="AA746" s="216" t="s">
        <v>2647</v>
      </c>
      <c r="AB746" s="227"/>
      <c r="AC746" s="295"/>
    </row>
    <row r="747" spans="1:29" s="71" customFormat="1" ht="31" x14ac:dyDescent="0.35">
      <c r="A747" s="211">
        <v>9602</v>
      </c>
      <c r="B747" s="214" t="s">
        <v>3495</v>
      </c>
      <c r="C747" s="211">
        <v>13277</v>
      </c>
      <c r="D747" s="215" t="s">
        <v>110</v>
      </c>
      <c r="E747" s="215" t="s">
        <v>110</v>
      </c>
      <c r="F747" s="211" t="s">
        <v>110</v>
      </c>
      <c r="G747" s="211" t="s">
        <v>110</v>
      </c>
      <c r="H747" s="216" t="s">
        <v>3132</v>
      </c>
      <c r="I747" s="217" t="s">
        <v>3137</v>
      </c>
      <c r="J747" s="211" t="s">
        <v>3103</v>
      </c>
      <c r="K747" s="211" t="s">
        <v>3161</v>
      </c>
      <c r="L747" s="211" t="s">
        <v>1751</v>
      </c>
      <c r="M747" s="211" t="s">
        <v>123</v>
      </c>
      <c r="N747" s="212" t="s">
        <v>14</v>
      </c>
      <c r="O747" s="211">
        <v>30</v>
      </c>
      <c r="P747" s="212" t="s">
        <v>1929</v>
      </c>
      <c r="Q747" s="213" t="s">
        <v>108</v>
      </c>
      <c r="R747" s="218">
        <v>63602</v>
      </c>
      <c r="S747" s="218">
        <f>Product_Name[[#This Row],[Đơn giá
Unit Price]]*Product_Name[[#This Row],[Số lượng
Quantity]]</f>
        <v>1908060</v>
      </c>
      <c r="T747" s="219">
        <v>44979</v>
      </c>
      <c r="U747" s="220">
        <v>44991</v>
      </c>
      <c r="V747" s="221">
        <v>45009</v>
      </c>
      <c r="W747" s="211" t="s">
        <v>3198</v>
      </c>
      <c r="X747" s="211" t="s">
        <v>53</v>
      </c>
      <c r="Y747" s="264" t="s">
        <v>3276</v>
      </c>
      <c r="Z747" s="222" t="s">
        <v>2087</v>
      </c>
      <c r="AA747" s="216" t="s">
        <v>2647</v>
      </c>
      <c r="AB747" s="227"/>
      <c r="AC747" s="295"/>
    </row>
    <row r="748" spans="1:29" s="71" customFormat="1" ht="31" x14ac:dyDescent="0.35">
      <c r="A748" s="211">
        <v>9602</v>
      </c>
      <c r="B748" s="214" t="s">
        <v>3495</v>
      </c>
      <c r="C748" s="211">
        <v>13277</v>
      </c>
      <c r="D748" s="215" t="s">
        <v>110</v>
      </c>
      <c r="E748" s="215" t="s">
        <v>110</v>
      </c>
      <c r="F748" s="211" t="s">
        <v>110</v>
      </c>
      <c r="G748" s="211" t="s">
        <v>110</v>
      </c>
      <c r="H748" s="216" t="s">
        <v>3132</v>
      </c>
      <c r="I748" s="217" t="s">
        <v>3138</v>
      </c>
      <c r="J748" s="211" t="s">
        <v>3104</v>
      </c>
      <c r="K748" s="211" t="s">
        <v>3161</v>
      </c>
      <c r="L748" s="211" t="s">
        <v>1751</v>
      </c>
      <c r="M748" s="211" t="s">
        <v>123</v>
      </c>
      <c r="N748" s="212" t="s">
        <v>14</v>
      </c>
      <c r="O748" s="211">
        <v>100</v>
      </c>
      <c r="P748" s="212" t="s">
        <v>1929</v>
      </c>
      <c r="Q748" s="213" t="s">
        <v>108</v>
      </c>
      <c r="R748" s="218">
        <v>96642</v>
      </c>
      <c r="S748" s="218">
        <f>Product_Name[[#This Row],[Đơn giá
Unit Price]]*Product_Name[[#This Row],[Số lượng
Quantity]]</f>
        <v>9664200</v>
      </c>
      <c r="T748" s="219">
        <v>44979</v>
      </c>
      <c r="U748" s="220">
        <v>44991</v>
      </c>
      <c r="V748" s="221">
        <v>45009</v>
      </c>
      <c r="W748" s="211" t="s">
        <v>3198</v>
      </c>
      <c r="X748" s="211" t="s">
        <v>53</v>
      </c>
      <c r="Y748" s="264" t="s">
        <v>3276</v>
      </c>
      <c r="Z748" s="222" t="s">
        <v>2087</v>
      </c>
      <c r="AA748" s="216" t="s">
        <v>2647</v>
      </c>
      <c r="AB748" s="227"/>
      <c r="AC748" s="295"/>
    </row>
    <row r="749" spans="1:29" s="71" customFormat="1" ht="31" x14ac:dyDescent="0.35">
      <c r="A749" s="211">
        <v>9602</v>
      </c>
      <c r="B749" s="214" t="s">
        <v>3495</v>
      </c>
      <c r="C749" s="211">
        <v>13277</v>
      </c>
      <c r="D749" s="215" t="s">
        <v>110</v>
      </c>
      <c r="E749" s="215" t="s">
        <v>110</v>
      </c>
      <c r="F749" s="211" t="s">
        <v>110</v>
      </c>
      <c r="G749" s="211" t="s">
        <v>110</v>
      </c>
      <c r="H749" s="216" t="s">
        <v>3139</v>
      </c>
      <c r="I749" s="217" t="s">
        <v>3140</v>
      </c>
      <c r="J749" s="211" t="s">
        <v>3105</v>
      </c>
      <c r="K749" s="211" t="s">
        <v>3161</v>
      </c>
      <c r="L749" s="211" t="s">
        <v>1751</v>
      </c>
      <c r="M749" s="211" t="s">
        <v>123</v>
      </c>
      <c r="N749" s="212" t="s">
        <v>14</v>
      </c>
      <c r="O749" s="211">
        <v>50</v>
      </c>
      <c r="P749" s="212" t="s">
        <v>1929</v>
      </c>
      <c r="Q749" s="213" t="s">
        <v>108</v>
      </c>
      <c r="R749" s="218">
        <v>254172</v>
      </c>
      <c r="S749" s="218">
        <f>Product_Name[[#This Row],[Đơn giá
Unit Price]]*Product_Name[[#This Row],[Số lượng
Quantity]]</f>
        <v>12708600</v>
      </c>
      <c r="T749" s="219">
        <v>44979</v>
      </c>
      <c r="U749" s="220">
        <v>44991</v>
      </c>
      <c r="V749" s="221">
        <v>45009</v>
      </c>
      <c r="W749" s="211" t="s">
        <v>3198</v>
      </c>
      <c r="X749" s="211" t="s">
        <v>53</v>
      </c>
      <c r="Y749" s="264" t="s">
        <v>3276</v>
      </c>
      <c r="Z749" s="222" t="s">
        <v>2087</v>
      </c>
      <c r="AA749" s="216" t="s">
        <v>2647</v>
      </c>
      <c r="AB749" s="227"/>
      <c r="AC749" s="295"/>
    </row>
    <row r="750" spans="1:29" s="71" customFormat="1" ht="31" x14ac:dyDescent="0.35">
      <c r="A750" s="211">
        <v>9602</v>
      </c>
      <c r="B750" s="214" t="s">
        <v>3495</v>
      </c>
      <c r="C750" s="211">
        <v>13277</v>
      </c>
      <c r="D750" s="215" t="s">
        <v>110</v>
      </c>
      <c r="E750" s="215" t="s">
        <v>110</v>
      </c>
      <c r="F750" s="211" t="s">
        <v>110</v>
      </c>
      <c r="G750" s="211" t="s">
        <v>110</v>
      </c>
      <c r="H750" s="216" t="s">
        <v>3141</v>
      </c>
      <c r="I750" s="217" t="s">
        <v>3142</v>
      </c>
      <c r="J750" s="211" t="s">
        <v>3106</v>
      </c>
      <c r="K750" s="211" t="s">
        <v>3161</v>
      </c>
      <c r="L750" s="211" t="s">
        <v>1751</v>
      </c>
      <c r="M750" s="211" t="s">
        <v>123</v>
      </c>
      <c r="N750" s="212" t="s">
        <v>14</v>
      </c>
      <c r="O750" s="211">
        <v>20</v>
      </c>
      <c r="P750" s="212" t="s">
        <v>276</v>
      </c>
      <c r="Q750" s="213" t="s">
        <v>108</v>
      </c>
      <c r="R750" s="218">
        <v>5310</v>
      </c>
      <c r="S750" s="218">
        <f>Product_Name[[#This Row],[Đơn giá
Unit Price]]*Product_Name[[#This Row],[Số lượng
Quantity]]</f>
        <v>106200</v>
      </c>
      <c r="T750" s="219">
        <v>44979</v>
      </c>
      <c r="U750" s="220">
        <v>44991</v>
      </c>
      <c r="V750" s="221">
        <v>45009</v>
      </c>
      <c r="W750" s="211" t="s">
        <v>3198</v>
      </c>
      <c r="X750" s="211" t="s">
        <v>53</v>
      </c>
      <c r="Y750" s="264" t="s">
        <v>3276</v>
      </c>
      <c r="Z750" s="222" t="s">
        <v>2087</v>
      </c>
      <c r="AA750" s="216" t="s">
        <v>2647</v>
      </c>
      <c r="AB750" s="227"/>
      <c r="AC750" s="295"/>
    </row>
    <row r="751" spans="1:29" s="71" customFormat="1" ht="31" x14ac:dyDescent="0.35">
      <c r="A751" s="211">
        <v>9602</v>
      </c>
      <c r="B751" s="214" t="s">
        <v>3495</v>
      </c>
      <c r="C751" s="211">
        <v>13277</v>
      </c>
      <c r="D751" s="215" t="s">
        <v>110</v>
      </c>
      <c r="E751" s="215" t="s">
        <v>110</v>
      </c>
      <c r="F751" s="211" t="s">
        <v>110</v>
      </c>
      <c r="G751" s="211" t="s">
        <v>110</v>
      </c>
      <c r="H751" s="216" t="s">
        <v>3143</v>
      </c>
      <c r="I751" s="217" t="s">
        <v>3142</v>
      </c>
      <c r="J751" s="211" t="s">
        <v>3107</v>
      </c>
      <c r="K751" s="211" t="s">
        <v>3161</v>
      </c>
      <c r="L751" s="211" t="s">
        <v>1751</v>
      </c>
      <c r="M751" s="211" t="s">
        <v>123</v>
      </c>
      <c r="N751" s="212" t="s">
        <v>14</v>
      </c>
      <c r="O751" s="211">
        <v>20</v>
      </c>
      <c r="P751" s="212" t="s">
        <v>276</v>
      </c>
      <c r="Q751" s="213" t="s">
        <v>108</v>
      </c>
      <c r="R751" s="218">
        <v>7080</v>
      </c>
      <c r="S751" s="218">
        <f>Product_Name[[#This Row],[Đơn giá
Unit Price]]*Product_Name[[#This Row],[Số lượng
Quantity]]</f>
        <v>141600</v>
      </c>
      <c r="T751" s="219">
        <v>44979</v>
      </c>
      <c r="U751" s="220">
        <v>44991</v>
      </c>
      <c r="V751" s="221">
        <v>45009</v>
      </c>
      <c r="W751" s="211" t="s">
        <v>3198</v>
      </c>
      <c r="X751" s="211" t="s">
        <v>53</v>
      </c>
      <c r="Y751" s="264" t="s">
        <v>3276</v>
      </c>
      <c r="Z751" s="222" t="s">
        <v>2087</v>
      </c>
      <c r="AA751" s="216" t="s">
        <v>2647</v>
      </c>
      <c r="AB751" s="227"/>
      <c r="AC751" s="295"/>
    </row>
    <row r="752" spans="1:29" s="71" customFormat="1" ht="31" x14ac:dyDescent="0.35">
      <c r="A752" s="211">
        <v>9602</v>
      </c>
      <c r="B752" s="214" t="s">
        <v>3495</v>
      </c>
      <c r="C752" s="211">
        <v>13277</v>
      </c>
      <c r="D752" s="215" t="s">
        <v>110</v>
      </c>
      <c r="E752" s="215" t="s">
        <v>110</v>
      </c>
      <c r="F752" s="211" t="s">
        <v>110</v>
      </c>
      <c r="G752" s="211" t="s">
        <v>110</v>
      </c>
      <c r="H752" s="216" t="s">
        <v>3144</v>
      </c>
      <c r="I752" s="217" t="s">
        <v>3142</v>
      </c>
      <c r="J752" s="211" t="s">
        <v>3108</v>
      </c>
      <c r="K752" s="211" t="s">
        <v>3161</v>
      </c>
      <c r="L752" s="211" t="s">
        <v>1751</v>
      </c>
      <c r="M752" s="211" t="s">
        <v>123</v>
      </c>
      <c r="N752" s="212" t="s">
        <v>14</v>
      </c>
      <c r="O752" s="211">
        <v>20</v>
      </c>
      <c r="P752" s="212" t="s">
        <v>276</v>
      </c>
      <c r="Q752" s="213" t="s">
        <v>108</v>
      </c>
      <c r="R752" s="218">
        <v>10384</v>
      </c>
      <c r="S752" s="218">
        <f>Product_Name[[#This Row],[Đơn giá
Unit Price]]*Product_Name[[#This Row],[Số lượng
Quantity]]</f>
        <v>207680</v>
      </c>
      <c r="T752" s="219">
        <v>44979</v>
      </c>
      <c r="U752" s="220">
        <v>44991</v>
      </c>
      <c r="V752" s="221">
        <v>45009</v>
      </c>
      <c r="W752" s="211" t="s">
        <v>3198</v>
      </c>
      <c r="X752" s="211" t="s">
        <v>53</v>
      </c>
      <c r="Y752" s="264" t="s">
        <v>3276</v>
      </c>
      <c r="Z752" s="222" t="s">
        <v>2087</v>
      </c>
      <c r="AA752" s="216" t="s">
        <v>2647</v>
      </c>
      <c r="AB752" s="227"/>
      <c r="AC752" s="295"/>
    </row>
    <row r="753" spans="1:29" s="71" customFormat="1" ht="31" x14ac:dyDescent="0.35">
      <c r="A753" s="211">
        <v>9602</v>
      </c>
      <c r="B753" s="214" t="s">
        <v>3495</v>
      </c>
      <c r="C753" s="211">
        <v>13277</v>
      </c>
      <c r="D753" s="215" t="s">
        <v>110</v>
      </c>
      <c r="E753" s="215" t="s">
        <v>110</v>
      </c>
      <c r="F753" s="211" t="s">
        <v>110</v>
      </c>
      <c r="G753" s="211" t="s">
        <v>110</v>
      </c>
      <c r="H753" s="216" t="s">
        <v>3145</v>
      </c>
      <c r="I753" s="217" t="s">
        <v>3142</v>
      </c>
      <c r="J753" s="211" t="s">
        <v>3109</v>
      </c>
      <c r="K753" s="211" t="s">
        <v>3161</v>
      </c>
      <c r="L753" s="211" t="s">
        <v>1751</v>
      </c>
      <c r="M753" s="211" t="s">
        <v>123</v>
      </c>
      <c r="N753" s="212" t="s">
        <v>14</v>
      </c>
      <c r="O753" s="211">
        <v>20</v>
      </c>
      <c r="P753" s="212" t="s">
        <v>276</v>
      </c>
      <c r="Q753" s="213" t="s">
        <v>108</v>
      </c>
      <c r="R753" s="218">
        <v>15340</v>
      </c>
      <c r="S753" s="218">
        <f>Product_Name[[#This Row],[Đơn giá
Unit Price]]*Product_Name[[#This Row],[Số lượng
Quantity]]</f>
        <v>306800</v>
      </c>
      <c r="T753" s="219">
        <v>44979</v>
      </c>
      <c r="U753" s="220">
        <v>44991</v>
      </c>
      <c r="V753" s="221">
        <v>45009</v>
      </c>
      <c r="W753" s="211" t="s">
        <v>3198</v>
      </c>
      <c r="X753" s="211" t="s">
        <v>53</v>
      </c>
      <c r="Y753" s="264" t="s">
        <v>3276</v>
      </c>
      <c r="Z753" s="222" t="s">
        <v>2087</v>
      </c>
      <c r="AA753" s="216" t="s">
        <v>2647</v>
      </c>
      <c r="AB753" s="227"/>
      <c r="AC753" s="295"/>
    </row>
    <row r="754" spans="1:29" s="71" customFormat="1" ht="31" x14ac:dyDescent="0.35">
      <c r="A754" s="211">
        <v>9602</v>
      </c>
      <c r="B754" s="214" t="s">
        <v>3495</v>
      </c>
      <c r="C754" s="211">
        <v>13277</v>
      </c>
      <c r="D754" s="215" t="s">
        <v>110</v>
      </c>
      <c r="E754" s="215" t="s">
        <v>110</v>
      </c>
      <c r="F754" s="211" t="s">
        <v>110</v>
      </c>
      <c r="G754" s="211" t="s">
        <v>110</v>
      </c>
      <c r="H754" s="216" t="s">
        <v>3146</v>
      </c>
      <c r="I754" s="217" t="s">
        <v>3142</v>
      </c>
      <c r="J754" s="211" t="s">
        <v>3110</v>
      </c>
      <c r="K754" s="211" t="s">
        <v>3161</v>
      </c>
      <c r="L754" s="211" t="s">
        <v>1751</v>
      </c>
      <c r="M754" s="211" t="s">
        <v>123</v>
      </c>
      <c r="N754" s="212" t="s">
        <v>14</v>
      </c>
      <c r="O754" s="211">
        <v>15</v>
      </c>
      <c r="P754" s="212" t="s">
        <v>276</v>
      </c>
      <c r="Q754" s="213" t="s">
        <v>108</v>
      </c>
      <c r="R754" s="218">
        <v>21122</v>
      </c>
      <c r="S754" s="218">
        <f>Product_Name[[#This Row],[Đơn giá
Unit Price]]*Product_Name[[#This Row],[Số lượng
Quantity]]</f>
        <v>316830</v>
      </c>
      <c r="T754" s="219">
        <v>44979</v>
      </c>
      <c r="U754" s="220">
        <v>44991</v>
      </c>
      <c r="V754" s="221">
        <v>45009</v>
      </c>
      <c r="W754" s="211" t="s">
        <v>3198</v>
      </c>
      <c r="X754" s="211" t="s">
        <v>53</v>
      </c>
      <c r="Y754" s="264" t="s">
        <v>3276</v>
      </c>
      <c r="Z754" s="222" t="s">
        <v>2087</v>
      </c>
      <c r="AA754" s="216" t="s">
        <v>2647</v>
      </c>
      <c r="AB754" s="227"/>
      <c r="AC754" s="295"/>
    </row>
    <row r="755" spans="1:29" s="71" customFormat="1" ht="31" x14ac:dyDescent="0.35">
      <c r="A755" s="211">
        <v>9602</v>
      </c>
      <c r="B755" s="214" t="s">
        <v>3495</v>
      </c>
      <c r="C755" s="211">
        <v>13277</v>
      </c>
      <c r="D755" s="215" t="s">
        <v>110</v>
      </c>
      <c r="E755" s="215" t="s">
        <v>110</v>
      </c>
      <c r="F755" s="211" t="s">
        <v>110</v>
      </c>
      <c r="G755" s="211" t="s">
        <v>110</v>
      </c>
      <c r="H755" s="216" t="s">
        <v>3147</v>
      </c>
      <c r="I755" s="217" t="s">
        <v>3142</v>
      </c>
      <c r="J755" s="211" t="s">
        <v>3111</v>
      </c>
      <c r="K755" s="211" t="s">
        <v>3161</v>
      </c>
      <c r="L755" s="211" t="s">
        <v>1751</v>
      </c>
      <c r="M755" s="211" t="s">
        <v>123</v>
      </c>
      <c r="N755" s="212" t="s">
        <v>14</v>
      </c>
      <c r="O755" s="211">
        <v>20</v>
      </c>
      <c r="P755" s="212" t="s">
        <v>276</v>
      </c>
      <c r="Q755" s="213" t="s">
        <v>108</v>
      </c>
      <c r="R755" s="218">
        <v>38822</v>
      </c>
      <c r="S755" s="218">
        <f>Product_Name[[#This Row],[Đơn giá
Unit Price]]*Product_Name[[#This Row],[Số lượng
Quantity]]</f>
        <v>776440</v>
      </c>
      <c r="T755" s="219">
        <v>44979</v>
      </c>
      <c r="U755" s="220">
        <v>44991</v>
      </c>
      <c r="V755" s="221">
        <v>45009</v>
      </c>
      <c r="W755" s="211" t="s">
        <v>3198</v>
      </c>
      <c r="X755" s="211" t="s">
        <v>53</v>
      </c>
      <c r="Y755" s="264" t="s">
        <v>3276</v>
      </c>
      <c r="Z755" s="222" t="s">
        <v>2087</v>
      </c>
      <c r="AA755" s="216" t="s">
        <v>2647</v>
      </c>
      <c r="AB755" s="227"/>
      <c r="AC755" s="295"/>
    </row>
    <row r="756" spans="1:29" s="71" customFormat="1" ht="31" x14ac:dyDescent="0.35">
      <c r="A756" s="211">
        <v>9602</v>
      </c>
      <c r="B756" s="214" t="s">
        <v>3495</v>
      </c>
      <c r="C756" s="211">
        <v>13277</v>
      </c>
      <c r="D756" s="215" t="s">
        <v>110</v>
      </c>
      <c r="E756" s="215" t="s">
        <v>110</v>
      </c>
      <c r="F756" s="211" t="s">
        <v>110</v>
      </c>
      <c r="G756" s="211" t="s">
        <v>110</v>
      </c>
      <c r="H756" s="216" t="s">
        <v>3148</v>
      </c>
      <c r="I756" s="217" t="s">
        <v>3142</v>
      </c>
      <c r="J756" s="211" t="s">
        <v>3112</v>
      </c>
      <c r="K756" s="211" t="s">
        <v>3161</v>
      </c>
      <c r="L756" s="211" t="s">
        <v>1751</v>
      </c>
      <c r="M756" s="211" t="s">
        <v>123</v>
      </c>
      <c r="N756" s="212" t="s">
        <v>14</v>
      </c>
      <c r="O756" s="211">
        <v>15</v>
      </c>
      <c r="P756" s="212" t="s">
        <v>276</v>
      </c>
      <c r="Q756" s="213" t="s">
        <v>108</v>
      </c>
      <c r="R756" s="218">
        <v>194700</v>
      </c>
      <c r="S756" s="218">
        <f>Product_Name[[#This Row],[Đơn giá
Unit Price]]*Product_Name[[#This Row],[Số lượng
Quantity]]</f>
        <v>2920500</v>
      </c>
      <c r="T756" s="219">
        <v>44979</v>
      </c>
      <c r="U756" s="220">
        <v>44991</v>
      </c>
      <c r="V756" s="221">
        <v>45009</v>
      </c>
      <c r="W756" s="211" t="s">
        <v>3198</v>
      </c>
      <c r="X756" s="211" t="s">
        <v>53</v>
      </c>
      <c r="Y756" s="264" t="s">
        <v>3276</v>
      </c>
      <c r="Z756" s="222" t="s">
        <v>2087</v>
      </c>
      <c r="AA756" s="216" t="s">
        <v>2647</v>
      </c>
      <c r="AB756" s="227"/>
      <c r="AC756" s="295"/>
    </row>
    <row r="757" spans="1:29" s="71" customFormat="1" ht="31" x14ac:dyDescent="0.35">
      <c r="A757" s="211">
        <v>9602</v>
      </c>
      <c r="B757" s="214" t="s">
        <v>3495</v>
      </c>
      <c r="C757" s="211">
        <v>13277</v>
      </c>
      <c r="D757" s="215" t="s">
        <v>110</v>
      </c>
      <c r="E757" s="215" t="s">
        <v>110</v>
      </c>
      <c r="F757" s="211" t="s">
        <v>110</v>
      </c>
      <c r="G757" s="211" t="s">
        <v>110</v>
      </c>
      <c r="H757" s="216" t="s">
        <v>3156</v>
      </c>
      <c r="I757" s="217" t="s">
        <v>3150</v>
      </c>
      <c r="J757" s="214" t="s">
        <v>3275</v>
      </c>
      <c r="K757" s="211" t="s">
        <v>3162</v>
      </c>
      <c r="L757" s="211" t="s">
        <v>1751</v>
      </c>
      <c r="M757" s="211" t="s">
        <v>123</v>
      </c>
      <c r="N757" s="212" t="s">
        <v>14</v>
      </c>
      <c r="O757" s="211">
        <v>1000</v>
      </c>
      <c r="P757" s="212" t="s">
        <v>276</v>
      </c>
      <c r="Q757" s="213" t="s">
        <v>108</v>
      </c>
      <c r="R757" s="218">
        <v>1224</v>
      </c>
      <c r="S757" s="218">
        <f>Product_Name[[#This Row],[Đơn giá
Unit Price]]*Product_Name[[#This Row],[Số lượng
Quantity]]</f>
        <v>1224000</v>
      </c>
      <c r="T757" s="219">
        <v>44979</v>
      </c>
      <c r="U757" s="220">
        <v>44991</v>
      </c>
      <c r="V757" s="221">
        <v>45009</v>
      </c>
      <c r="W757" s="211" t="s">
        <v>3198</v>
      </c>
      <c r="X757" s="211" t="s">
        <v>53</v>
      </c>
      <c r="Y757" s="264" t="s">
        <v>3276</v>
      </c>
      <c r="Z757" s="222" t="s">
        <v>2087</v>
      </c>
      <c r="AA757" s="216" t="s">
        <v>2647</v>
      </c>
      <c r="AB757" s="227"/>
      <c r="AC757" s="295"/>
    </row>
    <row r="758" spans="1:29" s="71" customFormat="1" ht="31" x14ac:dyDescent="0.35">
      <c r="A758" s="211">
        <v>9602</v>
      </c>
      <c r="B758" s="214" t="s">
        <v>3495</v>
      </c>
      <c r="C758" s="211">
        <v>13277</v>
      </c>
      <c r="D758" s="215" t="s">
        <v>110</v>
      </c>
      <c r="E758" s="215" t="s">
        <v>110</v>
      </c>
      <c r="F758" s="211" t="s">
        <v>110</v>
      </c>
      <c r="G758" s="211" t="s">
        <v>110</v>
      </c>
      <c r="H758" s="216" t="s">
        <v>3157</v>
      </c>
      <c r="I758" s="217" t="s">
        <v>3150</v>
      </c>
      <c r="J758" s="214" t="s">
        <v>3116</v>
      </c>
      <c r="K758" s="211" t="s">
        <v>3162</v>
      </c>
      <c r="L758" s="211" t="s">
        <v>1751</v>
      </c>
      <c r="M758" s="211" t="s">
        <v>123</v>
      </c>
      <c r="N758" s="212" t="s">
        <v>14</v>
      </c>
      <c r="O758" s="211">
        <v>100</v>
      </c>
      <c r="P758" s="212" t="s">
        <v>276</v>
      </c>
      <c r="Q758" s="213" t="s">
        <v>108</v>
      </c>
      <c r="R758" s="218">
        <v>1906</v>
      </c>
      <c r="S758" s="218">
        <f>Product_Name[[#This Row],[Đơn giá
Unit Price]]*Product_Name[[#This Row],[Số lượng
Quantity]]</f>
        <v>190600</v>
      </c>
      <c r="T758" s="219">
        <v>44979</v>
      </c>
      <c r="U758" s="220">
        <v>44991</v>
      </c>
      <c r="V758" s="221">
        <v>45009</v>
      </c>
      <c r="W758" s="211" t="s">
        <v>3198</v>
      </c>
      <c r="X758" s="211" t="s">
        <v>53</v>
      </c>
      <c r="Y758" s="264" t="s">
        <v>3276</v>
      </c>
      <c r="Z758" s="222" t="s">
        <v>2087</v>
      </c>
      <c r="AA758" s="216" t="s">
        <v>2647</v>
      </c>
      <c r="AB758" s="227" t="s">
        <v>3494</v>
      </c>
      <c r="AC758" s="295"/>
    </row>
    <row r="759" spans="1:29" s="71" customFormat="1" ht="31" x14ac:dyDescent="0.35">
      <c r="A759" s="211">
        <v>9598</v>
      </c>
      <c r="B759" s="214" t="s">
        <v>3427</v>
      </c>
      <c r="C759" s="211">
        <v>13331</v>
      </c>
      <c r="D759" s="215" t="s">
        <v>110</v>
      </c>
      <c r="E759" s="215" t="s">
        <v>110</v>
      </c>
      <c r="F759" s="211" t="s">
        <v>110</v>
      </c>
      <c r="G759" s="211" t="s">
        <v>110</v>
      </c>
      <c r="H759" s="216" t="s">
        <v>3151</v>
      </c>
      <c r="I759" s="217" t="s">
        <v>3150</v>
      </c>
      <c r="J759" s="214" t="s">
        <v>3114</v>
      </c>
      <c r="K759" s="211" t="s">
        <v>3162</v>
      </c>
      <c r="L759" s="211" t="s">
        <v>1751</v>
      </c>
      <c r="M759" s="211" t="s">
        <v>123</v>
      </c>
      <c r="N759" s="212" t="s">
        <v>14</v>
      </c>
      <c r="O759" s="211">
        <v>1000</v>
      </c>
      <c r="P759" s="212" t="s">
        <v>276</v>
      </c>
      <c r="Q759" s="213" t="s">
        <v>108</v>
      </c>
      <c r="R759" s="218">
        <v>1090</v>
      </c>
      <c r="S759" s="218">
        <f>Product_Name[[#This Row],[Đơn giá
Unit Price]]*Product_Name[[#This Row],[Số lượng
Quantity]]</f>
        <v>1090000</v>
      </c>
      <c r="T759" s="219">
        <v>44980</v>
      </c>
      <c r="U759" s="220">
        <v>44991</v>
      </c>
      <c r="V759" s="221">
        <v>45000</v>
      </c>
      <c r="W759" s="211" t="s">
        <v>3198</v>
      </c>
      <c r="X759" s="211" t="s">
        <v>53</v>
      </c>
      <c r="Y759" s="264" t="s">
        <v>3276</v>
      </c>
      <c r="Z759" s="222" t="s">
        <v>2087</v>
      </c>
      <c r="AA759" s="216" t="s">
        <v>2647</v>
      </c>
      <c r="AB759" s="227"/>
      <c r="AC759" s="295"/>
    </row>
    <row r="760" spans="1:29" s="71" customFormat="1" ht="31" x14ac:dyDescent="0.35">
      <c r="A760" s="211">
        <v>9598</v>
      </c>
      <c r="B760" s="214" t="s">
        <v>3427</v>
      </c>
      <c r="C760" s="211">
        <v>13331</v>
      </c>
      <c r="D760" s="215" t="s">
        <v>110</v>
      </c>
      <c r="E760" s="215" t="s">
        <v>110</v>
      </c>
      <c r="F760" s="211" t="s">
        <v>110</v>
      </c>
      <c r="G760" s="211" t="s">
        <v>110</v>
      </c>
      <c r="H760" s="216" t="s">
        <v>3154</v>
      </c>
      <c r="I760" s="217" t="s">
        <v>3155</v>
      </c>
      <c r="J760" s="214" t="s">
        <v>3115</v>
      </c>
      <c r="K760" s="211" t="s">
        <v>3162</v>
      </c>
      <c r="L760" s="211" t="s">
        <v>1751</v>
      </c>
      <c r="M760" s="211" t="s">
        <v>123</v>
      </c>
      <c r="N760" s="212" t="s">
        <v>14</v>
      </c>
      <c r="O760" s="211">
        <v>1000</v>
      </c>
      <c r="P760" s="212" t="s">
        <v>276</v>
      </c>
      <c r="Q760" s="213" t="s">
        <v>108</v>
      </c>
      <c r="R760" s="218">
        <v>1200</v>
      </c>
      <c r="S760" s="218">
        <f>Product_Name[[#This Row],[Đơn giá
Unit Price]]*Product_Name[[#This Row],[Số lượng
Quantity]]</f>
        <v>1200000</v>
      </c>
      <c r="T760" s="219">
        <v>44980</v>
      </c>
      <c r="U760" s="220">
        <v>44991</v>
      </c>
      <c r="V760" s="221">
        <v>45000</v>
      </c>
      <c r="W760" s="211" t="s">
        <v>3198</v>
      </c>
      <c r="X760" s="211" t="s">
        <v>53</v>
      </c>
      <c r="Y760" s="264" t="s">
        <v>3276</v>
      </c>
      <c r="Z760" s="222" t="s">
        <v>2087</v>
      </c>
      <c r="AA760" s="216" t="s">
        <v>2647</v>
      </c>
      <c r="AB760" s="227"/>
      <c r="AC760" s="295"/>
    </row>
    <row r="761" spans="1:29" s="71" customFormat="1" ht="31" x14ac:dyDescent="0.35">
      <c r="A761" s="211">
        <v>9598</v>
      </c>
      <c r="B761" s="214" t="s">
        <v>3427</v>
      </c>
      <c r="C761" s="211">
        <v>13331</v>
      </c>
      <c r="D761" s="215" t="s">
        <v>110</v>
      </c>
      <c r="E761" s="215" t="s">
        <v>110</v>
      </c>
      <c r="F761" s="211" t="s">
        <v>110</v>
      </c>
      <c r="G761" s="211" t="s">
        <v>110</v>
      </c>
      <c r="H761" s="216" t="s">
        <v>3159</v>
      </c>
      <c r="I761" s="217" t="s">
        <v>3150</v>
      </c>
      <c r="J761" s="214" t="s">
        <v>3119</v>
      </c>
      <c r="K761" s="211" t="s">
        <v>3162</v>
      </c>
      <c r="L761" s="211" t="s">
        <v>1751</v>
      </c>
      <c r="M761" s="211" t="s">
        <v>123</v>
      </c>
      <c r="N761" s="212" t="s">
        <v>14</v>
      </c>
      <c r="O761" s="211">
        <v>100</v>
      </c>
      <c r="P761" s="212" t="s">
        <v>276</v>
      </c>
      <c r="Q761" s="213" t="s">
        <v>108</v>
      </c>
      <c r="R761" s="218">
        <v>9309</v>
      </c>
      <c r="S761" s="218">
        <f>Product_Name[[#This Row],[Đơn giá
Unit Price]]*Product_Name[[#This Row],[Số lượng
Quantity]]</f>
        <v>930900</v>
      </c>
      <c r="T761" s="219">
        <v>44980</v>
      </c>
      <c r="U761" s="220">
        <v>44991</v>
      </c>
      <c r="V761" s="221">
        <v>45000</v>
      </c>
      <c r="W761" s="211" t="s">
        <v>3198</v>
      </c>
      <c r="X761" s="211" t="s">
        <v>53</v>
      </c>
      <c r="Y761" s="264" t="s">
        <v>3276</v>
      </c>
      <c r="Z761" s="222" t="s">
        <v>2087</v>
      </c>
      <c r="AA761" s="216" t="s">
        <v>2647</v>
      </c>
      <c r="AB761" s="227"/>
      <c r="AC761" s="295"/>
    </row>
    <row r="762" spans="1:29" s="71" customFormat="1" ht="31" x14ac:dyDescent="0.35">
      <c r="A762" s="211">
        <v>9600</v>
      </c>
      <c r="B762" s="214" t="s">
        <v>3387</v>
      </c>
      <c r="C762" s="211">
        <v>13280</v>
      </c>
      <c r="D762" s="215" t="s">
        <v>110</v>
      </c>
      <c r="E762" s="215" t="s">
        <v>110</v>
      </c>
      <c r="F762" s="211" t="s">
        <v>110</v>
      </c>
      <c r="G762" s="211" t="s">
        <v>110</v>
      </c>
      <c r="H762" s="216" t="s">
        <v>3149</v>
      </c>
      <c r="I762" s="217" t="s">
        <v>3150</v>
      </c>
      <c r="J762" s="214" t="s">
        <v>3113</v>
      </c>
      <c r="K762" s="211" t="s">
        <v>3162</v>
      </c>
      <c r="L762" s="211" t="s">
        <v>1663</v>
      </c>
      <c r="M762" s="211" t="s">
        <v>123</v>
      </c>
      <c r="N762" s="212" t="s">
        <v>14</v>
      </c>
      <c r="O762" s="211">
        <v>3000</v>
      </c>
      <c r="P762" s="212" t="s">
        <v>276</v>
      </c>
      <c r="Q762" s="213" t="s">
        <v>108</v>
      </c>
      <c r="R762" s="218">
        <v>854</v>
      </c>
      <c r="S762" s="218">
        <f>Product_Name[[#This Row],[Đơn giá
Unit Price]]*Product_Name[[#This Row],[Số lượng
Quantity]]</f>
        <v>2562000</v>
      </c>
      <c r="T762" s="219">
        <v>44980</v>
      </c>
      <c r="U762" s="220">
        <v>44995</v>
      </c>
      <c r="V762" s="221">
        <v>44993</v>
      </c>
      <c r="W762" s="211" t="s">
        <v>3198</v>
      </c>
      <c r="X762" s="211" t="s">
        <v>53</v>
      </c>
      <c r="Y762" s="264" t="s">
        <v>3276</v>
      </c>
      <c r="Z762" s="222" t="s">
        <v>2087</v>
      </c>
      <c r="AA762" s="216" t="s">
        <v>2647</v>
      </c>
      <c r="AB762" s="227"/>
      <c r="AC762" s="295"/>
    </row>
    <row r="763" spans="1:29" s="71" customFormat="1" ht="31" x14ac:dyDescent="0.35">
      <c r="A763" s="211">
        <v>9600</v>
      </c>
      <c r="B763" s="214" t="s">
        <v>3644</v>
      </c>
      <c r="C763" s="211">
        <v>13280</v>
      </c>
      <c r="D763" s="215" t="s">
        <v>110</v>
      </c>
      <c r="E763" s="215" t="s">
        <v>110</v>
      </c>
      <c r="F763" s="211" t="s">
        <v>110</v>
      </c>
      <c r="G763" s="211" t="s">
        <v>110</v>
      </c>
      <c r="H763" s="216" t="s">
        <v>3152</v>
      </c>
      <c r="I763" s="217" t="s">
        <v>3153</v>
      </c>
      <c r="J763" s="214" t="s">
        <v>3278</v>
      </c>
      <c r="K763" s="211" t="s">
        <v>3162</v>
      </c>
      <c r="L763" s="211" t="s">
        <v>1663</v>
      </c>
      <c r="M763" s="211" t="s">
        <v>123</v>
      </c>
      <c r="N763" s="212" t="s">
        <v>14</v>
      </c>
      <c r="O763" s="211">
        <v>1000</v>
      </c>
      <c r="P763" s="212" t="s">
        <v>276</v>
      </c>
      <c r="Q763" s="213" t="s">
        <v>108</v>
      </c>
      <c r="R763" s="218">
        <v>1004</v>
      </c>
      <c r="S763" s="218">
        <f>Product_Name[[#This Row],[Đơn giá
Unit Price]]*Product_Name[[#This Row],[Số lượng
Quantity]]</f>
        <v>1004000</v>
      </c>
      <c r="T763" s="219">
        <v>44980</v>
      </c>
      <c r="U763" s="220">
        <v>44995</v>
      </c>
      <c r="V763" s="221">
        <v>45034</v>
      </c>
      <c r="W763" s="211" t="s">
        <v>3198</v>
      </c>
      <c r="X763" s="211" t="s">
        <v>53</v>
      </c>
      <c r="Y763" s="264" t="s">
        <v>3276</v>
      </c>
      <c r="Z763" s="222" t="s">
        <v>2087</v>
      </c>
      <c r="AA763" s="216" t="s">
        <v>2647</v>
      </c>
      <c r="AB763" s="227"/>
      <c r="AC763" s="295"/>
    </row>
    <row r="764" spans="1:29" s="71" customFormat="1" ht="31" x14ac:dyDescent="0.35">
      <c r="A764" s="211">
        <v>9600</v>
      </c>
      <c r="B764" s="214" t="s">
        <v>3387</v>
      </c>
      <c r="C764" s="211">
        <v>13280</v>
      </c>
      <c r="D764" s="215" t="s">
        <v>110</v>
      </c>
      <c r="E764" s="215" t="s">
        <v>110</v>
      </c>
      <c r="F764" s="211" t="s">
        <v>110</v>
      </c>
      <c r="G764" s="211" t="s">
        <v>110</v>
      </c>
      <c r="H764" s="216" t="s">
        <v>3158</v>
      </c>
      <c r="I764" s="217" t="s">
        <v>3155</v>
      </c>
      <c r="J764" s="214" t="s">
        <v>3117</v>
      </c>
      <c r="K764" s="211" t="s">
        <v>3162</v>
      </c>
      <c r="L764" s="211" t="s">
        <v>1663</v>
      </c>
      <c r="M764" s="211" t="s">
        <v>123</v>
      </c>
      <c r="N764" s="212" t="s">
        <v>14</v>
      </c>
      <c r="O764" s="211">
        <v>100</v>
      </c>
      <c r="P764" s="212" t="s">
        <v>276</v>
      </c>
      <c r="Q764" s="213" t="s">
        <v>108</v>
      </c>
      <c r="R764" s="218">
        <v>1680</v>
      </c>
      <c r="S764" s="218">
        <f>Product_Name[[#This Row],[Đơn giá
Unit Price]]*Product_Name[[#This Row],[Số lượng
Quantity]]</f>
        <v>168000</v>
      </c>
      <c r="T764" s="219">
        <v>44980</v>
      </c>
      <c r="U764" s="220">
        <v>44995</v>
      </c>
      <c r="V764" s="221">
        <v>44993</v>
      </c>
      <c r="W764" s="211" t="s">
        <v>3198</v>
      </c>
      <c r="X764" s="211" t="s">
        <v>53</v>
      </c>
      <c r="Y764" s="264" t="s">
        <v>3276</v>
      </c>
      <c r="Z764" s="222" t="s">
        <v>2087</v>
      </c>
      <c r="AA764" s="216" t="s">
        <v>2647</v>
      </c>
      <c r="AB764" s="227"/>
      <c r="AC764" s="295"/>
    </row>
    <row r="765" spans="1:29" s="71" customFormat="1" ht="31" x14ac:dyDescent="0.35">
      <c r="A765" s="211">
        <v>9600</v>
      </c>
      <c r="B765" s="214" t="s">
        <v>3387</v>
      </c>
      <c r="C765" s="211">
        <v>13280</v>
      </c>
      <c r="D765" s="215" t="s">
        <v>110</v>
      </c>
      <c r="E765" s="215" t="s">
        <v>110</v>
      </c>
      <c r="F765" s="211" t="s">
        <v>110</v>
      </c>
      <c r="G765" s="211" t="s">
        <v>110</v>
      </c>
      <c r="H765" s="216" t="s">
        <v>3279</v>
      </c>
      <c r="I765" s="217" t="s">
        <v>3150</v>
      </c>
      <c r="J765" s="214" t="s">
        <v>3118</v>
      </c>
      <c r="K765" s="211" t="s">
        <v>3162</v>
      </c>
      <c r="L765" s="211" t="s">
        <v>1663</v>
      </c>
      <c r="M765" s="211" t="s">
        <v>123</v>
      </c>
      <c r="N765" s="212" t="s">
        <v>14</v>
      </c>
      <c r="O765" s="211">
        <v>100</v>
      </c>
      <c r="P765" s="212" t="s">
        <v>276</v>
      </c>
      <c r="Q765" s="213" t="s">
        <v>108</v>
      </c>
      <c r="R765" s="218">
        <v>3644</v>
      </c>
      <c r="S765" s="218">
        <f>Product_Name[[#This Row],[Đơn giá
Unit Price]]*Product_Name[[#This Row],[Số lượng
Quantity]]</f>
        <v>364400</v>
      </c>
      <c r="T765" s="219">
        <v>44980</v>
      </c>
      <c r="U765" s="220">
        <v>44995</v>
      </c>
      <c r="V765" s="221">
        <v>44993</v>
      </c>
      <c r="W765" s="211" t="s">
        <v>3198</v>
      </c>
      <c r="X765" s="211" t="s">
        <v>53</v>
      </c>
      <c r="Y765" s="264" t="s">
        <v>3276</v>
      </c>
      <c r="Z765" s="222" t="s">
        <v>2087</v>
      </c>
      <c r="AA765" s="216" t="s">
        <v>2647</v>
      </c>
      <c r="AB765" s="227"/>
      <c r="AC765" s="295"/>
    </row>
    <row r="766" spans="1:29" s="71" customFormat="1" ht="31" x14ac:dyDescent="0.35">
      <c r="A766" s="211">
        <v>9600</v>
      </c>
      <c r="B766" s="214" t="s">
        <v>3387</v>
      </c>
      <c r="C766" s="211">
        <v>13280</v>
      </c>
      <c r="D766" s="215" t="s">
        <v>110</v>
      </c>
      <c r="E766" s="215" t="s">
        <v>110</v>
      </c>
      <c r="F766" s="211" t="s">
        <v>110</v>
      </c>
      <c r="G766" s="211" t="s">
        <v>110</v>
      </c>
      <c r="H766" s="216" t="s">
        <v>3280</v>
      </c>
      <c r="I766" s="217" t="s">
        <v>3150</v>
      </c>
      <c r="J766" s="214" t="s">
        <v>3120</v>
      </c>
      <c r="K766" s="211" t="s">
        <v>3162</v>
      </c>
      <c r="L766" s="211" t="s">
        <v>1663</v>
      </c>
      <c r="M766" s="211" t="s">
        <v>123</v>
      </c>
      <c r="N766" s="212" t="s">
        <v>14</v>
      </c>
      <c r="O766" s="211">
        <v>100</v>
      </c>
      <c r="P766" s="212" t="s">
        <v>276</v>
      </c>
      <c r="Q766" s="213" t="s">
        <v>108</v>
      </c>
      <c r="R766" s="218">
        <v>10903</v>
      </c>
      <c r="S766" s="218">
        <f>Product_Name[[#This Row],[Đơn giá
Unit Price]]*Product_Name[[#This Row],[Số lượng
Quantity]]</f>
        <v>1090300</v>
      </c>
      <c r="T766" s="219">
        <v>44980</v>
      </c>
      <c r="U766" s="220">
        <v>44995</v>
      </c>
      <c r="V766" s="221">
        <v>44993</v>
      </c>
      <c r="W766" s="211" t="s">
        <v>3198</v>
      </c>
      <c r="X766" s="211" t="s">
        <v>53</v>
      </c>
      <c r="Y766" s="264" t="s">
        <v>3276</v>
      </c>
      <c r="Z766" s="222" t="s">
        <v>2087</v>
      </c>
      <c r="AA766" s="216" t="s">
        <v>2647</v>
      </c>
      <c r="AB766" s="227"/>
      <c r="AC766" s="295"/>
    </row>
    <row r="767" spans="1:29" s="71" customFormat="1" ht="31" x14ac:dyDescent="0.35">
      <c r="A767" s="211">
        <v>9600</v>
      </c>
      <c r="B767" s="214" t="s">
        <v>3644</v>
      </c>
      <c r="C767" s="211">
        <v>13280</v>
      </c>
      <c r="D767" s="215" t="s">
        <v>110</v>
      </c>
      <c r="E767" s="215" t="s">
        <v>110</v>
      </c>
      <c r="F767" s="211" t="s">
        <v>110</v>
      </c>
      <c r="G767" s="211" t="s">
        <v>110</v>
      </c>
      <c r="H767" s="216" t="s">
        <v>3154</v>
      </c>
      <c r="I767" s="217" t="s">
        <v>3160</v>
      </c>
      <c r="J767" s="214" t="s">
        <v>3277</v>
      </c>
      <c r="K767" s="211" t="s">
        <v>3162</v>
      </c>
      <c r="L767" s="211" t="s">
        <v>1663</v>
      </c>
      <c r="M767" s="211" t="s">
        <v>123</v>
      </c>
      <c r="N767" s="212" t="s">
        <v>14</v>
      </c>
      <c r="O767" s="211">
        <v>1</v>
      </c>
      <c r="P767" s="212" t="s">
        <v>1074</v>
      </c>
      <c r="Q767" s="213" t="s">
        <v>108</v>
      </c>
      <c r="R767" s="218">
        <v>1474300</v>
      </c>
      <c r="S767" s="218">
        <f>Product_Name[[#This Row],[Đơn giá
Unit Price]]*Product_Name[[#This Row],[Số lượng
Quantity]]</f>
        <v>1474300</v>
      </c>
      <c r="T767" s="219">
        <v>44980</v>
      </c>
      <c r="U767" s="220">
        <v>44995</v>
      </c>
      <c r="V767" s="221">
        <v>45034</v>
      </c>
      <c r="W767" s="211" t="s">
        <v>3198</v>
      </c>
      <c r="X767" s="211" t="s">
        <v>53</v>
      </c>
      <c r="Y767" s="264" t="s">
        <v>3276</v>
      </c>
      <c r="Z767" s="222" t="s">
        <v>2087</v>
      </c>
      <c r="AA767" s="216" t="s">
        <v>2647</v>
      </c>
      <c r="AB767" s="227"/>
      <c r="AC767" s="295"/>
    </row>
    <row r="768" spans="1:29" s="71" customFormat="1" ht="15.5" x14ac:dyDescent="0.35">
      <c r="A768" s="211">
        <v>9474</v>
      </c>
      <c r="B768" s="214" t="s">
        <v>3537</v>
      </c>
      <c r="C768" s="211">
        <v>13090</v>
      </c>
      <c r="D768" s="215" t="s">
        <v>110</v>
      </c>
      <c r="E768" s="215" t="s">
        <v>110</v>
      </c>
      <c r="F768" s="211" t="s">
        <v>110</v>
      </c>
      <c r="G768" s="211" t="s">
        <v>110</v>
      </c>
      <c r="H768" s="216" t="s">
        <v>3166</v>
      </c>
      <c r="I768" s="217" t="s">
        <v>3167</v>
      </c>
      <c r="J768" s="211" t="s">
        <v>3165</v>
      </c>
      <c r="K768" s="211" t="s">
        <v>1817</v>
      </c>
      <c r="L768" s="211" t="s">
        <v>1817</v>
      </c>
      <c r="M768" s="211" t="s">
        <v>795</v>
      </c>
      <c r="N768" s="212" t="s">
        <v>14</v>
      </c>
      <c r="O768" s="211">
        <v>388</v>
      </c>
      <c r="P768" s="212" t="s">
        <v>276</v>
      </c>
      <c r="Q768" s="213" t="s">
        <v>108</v>
      </c>
      <c r="R768" s="218">
        <v>94011</v>
      </c>
      <c r="S768" s="218">
        <f>Product_Name[[#This Row],[Đơn giá
Unit Price]]*Product_Name[[#This Row],[Số lượng
Quantity]]</f>
        <v>36476268</v>
      </c>
      <c r="T768" s="219">
        <v>44972</v>
      </c>
      <c r="U768" s="220">
        <v>45000</v>
      </c>
      <c r="V768" s="221">
        <v>45017</v>
      </c>
      <c r="W768" s="214" t="s">
        <v>1537</v>
      </c>
      <c r="X768" s="211" t="s">
        <v>16</v>
      </c>
      <c r="Y768" s="220" t="s">
        <v>3170</v>
      </c>
      <c r="Z768" s="222" t="s">
        <v>2087</v>
      </c>
      <c r="AA768" s="216" t="s">
        <v>2647</v>
      </c>
      <c r="AB768" s="227"/>
      <c r="AC768" s="295"/>
    </row>
    <row r="769" spans="1:29" s="71" customFormat="1" ht="15.5" x14ac:dyDescent="0.35">
      <c r="A769" s="211">
        <v>9474</v>
      </c>
      <c r="B769" s="214" t="s">
        <v>3537</v>
      </c>
      <c r="C769" s="211">
        <v>13090</v>
      </c>
      <c r="D769" s="215" t="s">
        <v>110</v>
      </c>
      <c r="E769" s="215" t="s">
        <v>110</v>
      </c>
      <c r="F769" s="211" t="s">
        <v>110</v>
      </c>
      <c r="G769" s="211" t="s">
        <v>110</v>
      </c>
      <c r="H769" s="216" t="s">
        <v>3168</v>
      </c>
      <c r="I769" s="217" t="s">
        <v>3169</v>
      </c>
      <c r="J769" s="211" t="s">
        <v>3220</v>
      </c>
      <c r="K769" s="211" t="s">
        <v>1817</v>
      </c>
      <c r="L769" s="211" t="s">
        <v>1817</v>
      </c>
      <c r="M769" s="211" t="s">
        <v>795</v>
      </c>
      <c r="N769" s="212" t="s">
        <v>14</v>
      </c>
      <c r="O769" s="211">
        <v>21</v>
      </c>
      <c r="P769" s="212" t="s">
        <v>276</v>
      </c>
      <c r="Q769" s="213" t="s">
        <v>108</v>
      </c>
      <c r="R769" s="218">
        <v>159243</v>
      </c>
      <c r="S769" s="218">
        <f>Product_Name[[#This Row],[Đơn giá
Unit Price]]*Product_Name[[#This Row],[Số lượng
Quantity]]</f>
        <v>3344103</v>
      </c>
      <c r="T769" s="219">
        <v>44972</v>
      </c>
      <c r="U769" s="220">
        <v>45000</v>
      </c>
      <c r="V769" s="221">
        <v>45017</v>
      </c>
      <c r="W769" s="214" t="s">
        <v>1537</v>
      </c>
      <c r="X769" s="211" t="s">
        <v>16</v>
      </c>
      <c r="Y769" s="220" t="s">
        <v>3170</v>
      </c>
      <c r="Z769" s="222" t="s">
        <v>2087</v>
      </c>
      <c r="AA769" s="216" t="s">
        <v>2647</v>
      </c>
      <c r="AB769" s="227"/>
      <c r="AC769" s="295"/>
    </row>
    <row r="770" spans="1:29" s="71" customFormat="1" ht="15.5" x14ac:dyDescent="0.35">
      <c r="A770" s="211">
        <v>9577</v>
      </c>
      <c r="B770" s="214" t="s">
        <v>3690</v>
      </c>
      <c r="C770" s="211">
        <v>13351</v>
      </c>
      <c r="D770" s="215" t="s">
        <v>110</v>
      </c>
      <c r="E770" s="215" t="s">
        <v>110</v>
      </c>
      <c r="F770" s="211" t="s">
        <v>110</v>
      </c>
      <c r="G770" s="211" t="s">
        <v>110</v>
      </c>
      <c r="H770" s="216" t="s">
        <v>3166</v>
      </c>
      <c r="I770" s="217" t="s">
        <v>3167</v>
      </c>
      <c r="J770" s="211" t="s">
        <v>3165</v>
      </c>
      <c r="K770" s="211" t="s">
        <v>1817</v>
      </c>
      <c r="L770" s="211" t="s">
        <v>1817</v>
      </c>
      <c r="M770" s="211" t="s">
        <v>795</v>
      </c>
      <c r="N770" s="212" t="s">
        <v>14</v>
      </c>
      <c r="O770" s="211">
        <v>50</v>
      </c>
      <c r="P770" s="212" t="s">
        <v>276</v>
      </c>
      <c r="Q770" s="213" t="s">
        <v>108</v>
      </c>
      <c r="R770" s="218">
        <v>94011</v>
      </c>
      <c r="S770" s="218">
        <f>Product_Name[[#This Row],[Đơn giá
Unit Price]]*Product_Name[[#This Row],[Số lượng
Quantity]]</f>
        <v>4700550</v>
      </c>
      <c r="T770" s="219">
        <v>44980</v>
      </c>
      <c r="U770" s="220">
        <v>45000</v>
      </c>
      <c r="V770" s="221"/>
      <c r="W770" s="214" t="s">
        <v>1537</v>
      </c>
      <c r="X770" s="211" t="s">
        <v>16</v>
      </c>
      <c r="Y770" s="220" t="s">
        <v>3170</v>
      </c>
      <c r="Z770" s="222" t="s">
        <v>2087</v>
      </c>
      <c r="AA770" s="216" t="s">
        <v>2647</v>
      </c>
      <c r="AB770" s="227"/>
      <c r="AC770" s="295"/>
    </row>
    <row r="771" spans="1:29" s="71" customFormat="1" ht="15.5" x14ac:dyDescent="0.35">
      <c r="A771" s="211" t="s">
        <v>110</v>
      </c>
      <c r="B771" s="214" t="s">
        <v>3485</v>
      </c>
      <c r="C771" s="211" t="s">
        <v>110</v>
      </c>
      <c r="D771" s="215">
        <v>4442</v>
      </c>
      <c r="E771" s="215">
        <v>9368</v>
      </c>
      <c r="F771" s="211" t="s">
        <v>3202</v>
      </c>
      <c r="G771" s="211" t="s">
        <v>3223</v>
      </c>
      <c r="H771" s="216" t="s">
        <v>1391</v>
      </c>
      <c r="I771" s="217" t="s">
        <v>1389</v>
      </c>
      <c r="J771" s="211" t="s">
        <v>1390</v>
      </c>
      <c r="K771" s="211" t="s">
        <v>1426</v>
      </c>
      <c r="L771" s="211" t="s">
        <v>99</v>
      </c>
      <c r="M771" s="211" t="s">
        <v>796</v>
      </c>
      <c r="N771" s="212" t="s">
        <v>642</v>
      </c>
      <c r="O771" s="211">
        <v>4</v>
      </c>
      <c r="P771" s="212" t="s">
        <v>276</v>
      </c>
      <c r="Q771" s="213" t="s">
        <v>108</v>
      </c>
      <c r="R771" s="218">
        <v>643000</v>
      </c>
      <c r="S771" s="218">
        <f>Product_Name[[#This Row],[Đơn giá
Unit Price]]*Product_Name[[#This Row],[Số lượng
Quantity]]</f>
        <v>2572000</v>
      </c>
      <c r="T771" s="219">
        <v>44971</v>
      </c>
      <c r="U771" s="220">
        <v>44986</v>
      </c>
      <c r="V771" s="221">
        <v>45006</v>
      </c>
      <c r="W771" s="211" t="s">
        <v>2830</v>
      </c>
      <c r="X771" s="211" t="s">
        <v>55</v>
      </c>
      <c r="Y771" s="220">
        <v>44957</v>
      </c>
      <c r="Z771" s="222" t="s">
        <v>2087</v>
      </c>
      <c r="AA771" s="216" t="s">
        <v>2647</v>
      </c>
      <c r="AB771" s="227">
        <v>44961</v>
      </c>
      <c r="AC771" s="295"/>
    </row>
    <row r="772" spans="1:29" s="71" customFormat="1" ht="15.5" x14ac:dyDescent="0.35">
      <c r="A772" s="211" t="s">
        <v>110</v>
      </c>
      <c r="B772" s="214" t="s">
        <v>3485</v>
      </c>
      <c r="C772" s="211" t="s">
        <v>110</v>
      </c>
      <c r="D772" s="215">
        <v>4442</v>
      </c>
      <c r="E772" s="215">
        <v>9368</v>
      </c>
      <c r="F772" s="211" t="s">
        <v>3202</v>
      </c>
      <c r="G772" s="211" t="s">
        <v>3223</v>
      </c>
      <c r="H772" s="216" t="s">
        <v>1394</v>
      </c>
      <c r="I772" s="217" t="s">
        <v>1393</v>
      </c>
      <c r="J772" s="211" t="s">
        <v>1392</v>
      </c>
      <c r="K772" s="211" t="s">
        <v>1426</v>
      </c>
      <c r="L772" s="211" t="s">
        <v>99</v>
      </c>
      <c r="M772" s="211" t="s">
        <v>1118</v>
      </c>
      <c r="N772" s="212" t="s">
        <v>642</v>
      </c>
      <c r="O772" s="211">
        <v>4</v>
      </c>
      <c r="P772" s="212" t="s">
        <v>276</v>
      </c>
      <c r="Q772" s="213" t="s">
        <v>108</v>
      </c>
      <c r="R772" s="218">
        <v>1859000</v>
      </c>
      <c r="S772" s="218">
        <f>Product_Name[[#This Row],[Đơn giá
Unit Price]]*Product_Name[[#This Row],[Số lượng
Quantity]]</f>
        <v>7436000</v>
      </c>
      <c r="T772" s="219">
        <v>44971</v>
      </c>
      <c r="U772" s="220">
        <v>44986</v>
      </c>
      <c r="V772" s="221">
        <v>45006</v>
      </c>
      <c r="W772" s="211" t="s">
        <v>2830</v>
      </c>
      <c r="X772" s="211" t="s">
        <v>55</v>
      </c>
      <c r="Y772" s="220">
        <v>44957</v>
      </c>
      <c r="Z772" s="222" t="s">
        <v>2087</v>
      </c>
      <c r="AA772" s="216" t="s">
        <v>2647</v>
      </c>
      <c r="AB772" s="227">
        <v>44961</v>
      </c>
      <c r="AC772" s="295"/>
    </row>
    <row r="773" spans="1:29" s="71" customFormat="1" ht="31" x14ac:dyDescent="0.35">
      <c r="A773" s="211">
        <v>9866</v>
      </c>
      <c r="B773" s="214"/>
      <c r="C773" s="211">
        <v>13779</v>
      </c>
      <c r="D773" s="215" t="s">
        <v>110</v>
      </c>
      <c r="E773" s="215" t="s">
        <v>110</v>
      </c>
      <c r="F773" s="213" t="s">
        <v>3338</v>
      </c>
      <c r="G773" s="211" t="s">
        <v>3406</v>
      </c>
      <c r="H773" s="216" t="s">
        <v>3181</v>
      </c>
      <c r="I773" s="217" t="s">
        <v>2653</v>
      </c>
      <c r="J773" s="211" t="s">
        <v>3182</v>
      </c>
      <c r="K773" s="211" t="s">
        <v>3184</v>
      </c>
      <c r="L773" s="211" t="s">
        <v>3325</v>
      </c>
      <c r="M773" s="211" t="s">
        <v>124</v>
      </c>
      <c r="N773" s="211" t="s">
        <v>14</v>
      </c>
      <c r="O773" s="211">
        <v>3</v>
      </c>
      <c r="P773" s="212" t="s">
        <v>276</v>
      </c>
      <c r="Q773" s="213" t="s">
        <v>108</v>
      </c>
      <c r="R773" s="218">
        <v>107032965</v>
      </c>
      <c r="S773" s="218">
        <f>Product_Name[[#This Row],[Đơn giá
Unit Price]]*Product_Name[[#This Row],[Số lượng
Quantity]]</f>
        <v>321098895</v>
      </c>
      <c r="T773" s="219">
        <v>44998</v>
      </c>
      <c r="U773" s="219">
        <v>45054</v>
      </c>
      <c r="V773" s="221"/>
      <c r="W773" s="211" t="s">
        <v>2651</v>
      </c>
      <c r="X773" s="211" t="s">
        <v>611</v>
      </c>
      <c r="Y773" s="220" t="s">
        <v>3185</v>
      </c>
      <c r="Z773" s="222"/>
      <c r="AA773" s="216" t="s">
        <v>2647</v>
      </c>
      <c r="AB773" s="227">
        <v>44987</v>
      </c>
      <c r="AC773" s="295"/>
    </row>
    <row r="774" spans="1:29" s="71" customFormat="1" ht="31" x14ac:dyDescent="0.35">
      <c r="A774" s="211">
        <v>9866</v>
      </c>
      <c r="B774" s="214"/>
      <c r="C774" s="211">
        <v>13779</v>
      </c>
      <c r="D774" s="215" t="s">
        <v>110</v>
      </c>
      <c r="E774" s="215" t="s">
        <v>110</v>
      </c>
      <c r="F774" s="213" t="s">
        <v>3338</v>
      </c>
      <c r="G774" s="211" t="s">
        <v>3406</v>
      </c>
      <c r="H774" s="216" t="s">
        <v>3181</v>
      </c>
      <c r="I774" s="217" t="s">
        <v>2653</v>
      </c>
      <c r="J774" s="211" t="s">
        <v>3183</v>
      </c>
      <c r="K774" s="211" t="s">
        <v>3184</v>
      </c>
      <c r="L774" s="211" t="s">
        <v>3325</v>
      </c>
      <c r="M774" s="211" t="s">
        <v>124</v>
      </c>
      <c r="N774" s="211" t="s">
        <v>14</v>
      </c>
      <c r="O774" s="211">
        <v>3</v>
      </c>
      <c r="P774" s="212" t="s">
        <v>276</v>
      </c>
      <c r="Q774" s="213" t="s">
        <v>108</v>
      </c>
      <c r="R774" s="218">
        <v>85761977</v>
      </c>
      <c r="S774" s="218">
        <f>Product_Name[[#This Row],[Đơn giá
Unit Price]]*Product_Name[[#This Row],[Số lượng
Quantity]]</f>
        <v>257285931</v>
      </c>
      <c r="T774" s="219">
        <v>44998</v>
      </c>
      <c r="U774" s="219">
        <v>45054</v>
      </c>
      <c r="V774" s="221"/>
      <c r="W774" s="211" t="s">
        <v>2651</v>
      </c>
      <c r="X774" s="211" t="s">
        <v>611</v>
      </c>
      <c r="Y774" s="220" t="s">
        <v>3185</v>
      </c>
      <c r="Z774" s="222"/>
      <c r="AA774" s="216" t="s">
        <v>2647</v>
      </c>
      <c r="AB774" s="227">
        <v>44987</v>
      </c>
      <c r="AC774" s="295"/>
    </row>
    <row r="775" spans="1:29" s="71" customFormat="1" ht="31" x14ac:dyDescent="0.35">
      <c r="A775" s="211" t="s">
        <v>110</v>
      </c>
      <c r="B775" s="214"/>
      <c r="C775" s="211" t="s">
        <v>110</v>
      </c>
      <c r="D775" s="215" t="s">
        <v>3441</v>
      </c>
      <c r="E775" s="215">
        <v>9937</v>
      </c>
      <c r="F775" s="213" t="s">
        <v>3407</v>
      </c>
      <c r="G775" s="211" t="s">
        <v>3532</v>
      </c>
      <c r="H775" s="216" t="s">
        <v>3190</v>
      </c>
      <c r="I775" s="217" t="s">
        <v>3189</v>
      </c>
      <c r="J775" s="211" t="s">
        <v>3339</v>
      </c>
      <c r="K775" s="211" t="s">
        <v>733</v>
      </c>
      <c r="L775" s="211" t="s">
        <v>733</v>
      </c>
      <c r="M775" s="211" t="s">
        <v>63</v>
      </c>
      <c r="N775" s="212" t="s">
        <v>642</v>
      </c>
      <c r="O775" s="211">
        <v>2</v>
      </c>
      <c r="P775" s="212" t="s">
        <v>44</v>
      </c>
      <c r="Q775" s="213" t="s">
        <v>108</v>
      </c>
      <c r="R775" s="218">
        <v>69250000</v>
      </c>
      <c r="S775" s="218">
        <f>Product_Name[[#This Row],[Đơn giá
Unit Price]]*Product_Name[[#This Row],[Số lượng
Quantity]]</f>
        <v>138500000</v>
      </c>
      <c r="T775" s="219">
        <v>45000</v>
      </c>
      <c r="U775" s="220">
        <v>45068</v>
      </c>
      <c r="V775" s="221"/>
      <c r="W775" s="211" t="s">
        <v>1662</v>
      </c>
      <c r="X775" s="211" t="s">
        <v>16</v>
      </c>
      <c r="Y775" s="220" t="s">
        <v>3191</v>
      </c>
      <c r="Z775" s="265" t="s">
        <v>3425</v>
      </c>
      <c r="AA775" s="216" t="s">
        <v>2647</v>
      </c>
      <c r="AB775" s="227">
        <v>44989</v>
      </c>
      <c r="AC775" s="295"/>
    </row>
    <row r="776" spans="1:29" s="71" customFormat="1" ht="15.5" x14ac:dyDescent="0.35">
      <c r="A776" s="211">
        <v>9323</v>
      </c>
      <c r="B776" s="214"/>
      <c r="C776" s="211">
        <v>12976</v>
      </c>
      <c r="D776" s="215" t="s">
        <v>110</v>
      </c>
      <c r="E776" s="215" t="s">
        <v>110</v>
      </c>
      <c r="F776" s="211" t="s">
        <v>110</v>
      </c>
      <c r="G776" s="211" t="s">
        <v>110</v>
      </c>
      <c r="H776" s="216" t="s">
        <v>1410</v>
      </c>
      <c r="I776" s="217" t="s">
        <v>1408</v>
      </c>
      <c r="J776" s="211" t="s">
        <v>1407</v>
      </c>
      <c r="K776" s="211" t="s">
        <v>1461</v>
      </c>
      <c r="L776" s="211" t="s">
        <v>30</v>
      </c>
      <c r="M776" s="211" t="s">
        <v>795</v>
      </c>
      <c r="N776" s="212" t="s">
        <v>14</v>
      </c>
      <c r="O776" s="211">
        <v>200</v>
      </c>
      <c r="P776" s="212" t="s">
        <v>276</v>
      </c>
      <c r="Q776" s="213" t="s">
        <v>390</v>
      </c>
      <c r="R776" s="237">
        <v>55.11</v>
      </c>
      <c r="S776" s="218">
        <f>Product_Name[[#This Row],[Đơn giá
Unit Price]]*Product_Name[[#This Row],[Số lượng
Quantity]]</f>
        <v>11022</v>
      </c>
      <c r="T776" s="219">
        <v>44967</v>
      </c>
      <c r="U776" s="220">
        <v>45096</v>
      </c>
      <c r="V776" s="221"/>
      <c r="W776" s="211" t="s">
        <v>3198</v>
      </c>
      <c r="X776" s="211" t="s">
        <v>16</v>
      </c>
      <c r="Y776" s="220">
        <v>44960</v>
      </c>
      <c r="Z776" s="222" t="s">
        <v>2087</v>
      </c>
      <c r="AA776" s="216" t="s">
        <v>2056</v>
      </c>
      <c r="AB776" s="227" t="s">
        <v>110</v>
      </c>
      <c r="AC776" s="295"/>
    </row>
    <row r="777" spans="1:29" s="71" customFormat="1" ht="15.5" x14ac:dyDescent="0.35">
      <c r="A777" s="211">
        <v>9234</v>
      </c>
      <c r="B777" s="214" t="s">
        <v>3236</v>
      </c>
      <c r="C777" s="211">
        <v>12882</v>
      </c>
      <c r="D777" s="215" t="s">
        <v>110</v>
      </c>
      <c r="E777" s="215" t="s">
        <v>110</v>
      </c>
      <c r="F777" s="211" t="s">
        <v>110</v>
      </c>
      <c r="G777" s="211" t="s">
        <v>110</v>
      </c>
      <c r="H777" s="216" t="s">
        <v>717</v>
      </c>
      <c r="I777" s="217" t="s">
        <v>1489</v>
      </c>
      <c r="J777" s="211" t="s">
        <v>2966</v>
      </c>
      <c r="K777" s="211" t="s">
        <v>1241</v>
      </c>
      <c r="L777" s="211" t="s">
        <v>718</v>
      </c>
      <c r="M777" s="211" t="s">
        <v>327</v>
      </c>
      <c r="N777" s="212" t="s">
        <v>14</v>
      </c>
      <c r="O777" s="211">
        <v>160</v>
      </c>
      <c r="P777" s="212" t="s">
        <v>719</v>
      </c>
      <c r="Q777" s="213" t="s">
        <v>108</v>
      </c>
      <c r="R777" s="218">
        <v>695000</v>
      </c>
      <c r="S777" s="218">
        <f>R777*O777</f>
        <v>111200000</v>
      </c>
      <c r="T777" s="219">
        <v>44963</v>
      </c>
      <c r="U777" s="220">
        <v>44974</v>
      </c>
      <c r="V777" s="221">
        <v>44974</v>
      </c>
      <c r="W777" s="214" t="s">
        <v>1537</v>
      </c>
      <c r="X777" s="211" t="s">
        <v>16</v>
      </c>
      <c r="Y777" s="220">
        <v>44961</v>
      </c>
      <c r="Z777" s="222" t="s">
        <v>2087</v>
      </c>
      <c r="AA777" s="216" t="s">
        <v>2076</v>
      </c>
      <c r="AB777" s="227" t="s">
        <v>110</v>
      </c>
      <c r="AC777" s="295"/>
    </row>
    <row r="778" spans="1:29" s="71" customFormat="1" ht="15.5" x14ac:dyDescent="0.35">
      <c r="A778" s="211" t="s">
        <v>110</v>
      </c>
      <c r="B778" s="214" t="s">
        <v>3232</v>
      </c>
      <c r="C778" s="211" t="s">
        <v>110</v>
      </c>
      <c r="D778" s="215">
        <v>4372</v>
      </c>
      <c r="E778" s="215">
        <v>9261</v>
      </c>
      <c r="F778" s="211" t="s">
        <v>110</v>
      </c>
      <c r="G778" s="211" t="s">
        <v>110</v>
      </c>
      <c r="H778" s="216" t="s">
        <v>3030</v>
      </c>
      <c r="I778" s="217" t="s">
        <v>3028</v>
      </c>
      <c r="J778" s="211" t="s">
        <v>3029</v>
      </c>
      <c r="K778" s="211" t="s">
        <v>1150</v>
      </c>
      <c r="L778" s="211" t="s">
        <v>218</v>
      </c>
      <c r="M778" s="211" t="s">
        <v>796</v>
      </c>
      <c r="N778" s="212" t="s">
        <v>642</v>
      </c>
      <c r="O778" s="211">
        <v>15</v>
      </c>
      <c r="P778" s="212" t="s">
        <v>276</v>
      </c>
      <c r="Q778" s="213" t="s">
        <v>108</v>
      </c>
      <c r="R778" s="218">
        <v>103200</v>
      </c>
      <c r="S778" s="218">
        <f>Product_Name[[#This Row],[Đơn giá
Unit Price]]*Product_Name[[#This Row],[Số lượng
Quantity]]</f>
        <v>1548000</v>
      </c>
      <c r="T778" s="219">
        <v>44963</v>
      </c>
      <c r="U778" s="220">
        <v>44967</v>
      </c>
      <c r="V778" s="221">
        <v>44972</v>
      </c>
      <c r="W778" s="211" t="s">
        <v>2651</v>
      </c>
      <c r="X778" s="211" t="s">
        <v>1932</v>
      </c>
      <c r="Y778" s="220">
        <v>44961</v>
      </c>
      <c r="Z778" s="222"/>
      <c r="AA778" s="216" t="s">
        <v>2155</v>
      </c>
      <c r="AB778" s="227"/>
      <c r="AC778" s="295"/>
    </row>
    <row r="779" spans="1:29" s="71" customFormat="1" ht="15.5" x14ac:dyDescent="0.35">
      <c r="A779" s="211">
        <v>9322</v>
      </c>
      <c r="B779" s="214" t="s">
        <v>3583</v>
      </c>
      <c r="C779" s="211">
        <v>12991</v>
      </c>
      <c r="D779" s="215" t="s">
        <v>110</v>
      </c>
      <c r="E779" s="215" t="s">
        <v>110</v>
      </c>
      <c r="F779" s="211" t="s">
        <v>110</v>
      </c>
      <c r="G779" s="211" t="s">
        <v>110</v>
      </c>
      <c r="H779" s="216" t="s">
        <v>1411</v>
      </c>
      <c r="I779" s="217" t="s">
        <v>1409</v>
      </c>
      <c r="J779" s="211" t="s">
        <v>1412</v>
      </c>
      <c r="K779" s="211" t="s">
        <v>1462</v>
      </c>
      <c r="L779" s="211" t="s">
        <v>100</v>
      </c>
      <c r="M779" s="211" t="s">
        <v>795</v>
      </c>
      <c r="N779" s="212" t="s">
        <v>14</v>
      </c>
      <c r="O779" s="211">
        <v>10</v>
      </c>
      <c r="P779" s="212" t="s">
        <v>106</v>
      </c>
      <c r="Q779" s="213" t="s">
        <v>108</v>
      </c>
      <c r="R779" s="218">
        <v>7095000</v>
      </c>
      <c r="S779" s="218">
        <f>Product_Name[[#This Row],[Đơn giá
Unit Price]]*Product_Name[[#This Row],[Số lượng
Quantity]]</f>
        <v>70950000</v>
      </c>
      <c r="T779" s="219">
        <v>44967</v>
      </c>
      <c r="U779" s="220">
        <v>45005</v>
      </c>
      <c r="V779" s="221">
        <v>45028</v>
      </c>
      <c r="W779" s="211" t="s">
        <v>2813</v>
      </c>
      <c r="X779" s="211" t="s">
        <v>16</v>
      </c>
      <c r="Y779" s="220">
        <v>44965</v>
      </c>
      <c r="Z779" s="222" t="s">
        <v>2087</v>
      </c>
      <c r="AA779" s="216" t="s">
        <v>3361</v>
      </c>
      <c r="AB779" s="227"/>
      <c r="AC779" s="295"/>
    </row>
    <row r="780" spans="1:29" s="71" customFormat="1" ht="31" x14ac:dyDescent="0.35">
      <c r="A780" s="211">
        <v>10196</v>
      </c>
      <c r="B780" s="214" t="s">
        <v>3679</v>
      </c>
      <c r="C780" s="211">
        <v>14278</v>
      </c>
      <c r="D780" s="215" t="s">
        <v>110</v>
      </c>
      <c r="E780" s="215" t="s">
        <v>110</v>
      </c>
      <c r="F780" s="215" t="s">
        <v>110</v>
      </c>
      <c r="G780" s="215" t="s">
        <v>110</v>
      </c>
      <c r="H780" s="216" t="s">
        <v>3190</v>
      </c>
      <c r="I780" s="217" t="s">
        <v>3503</v>
      </c>
      <c r="J780" s="211" t="s">
        <v>3504</v>
      </c>
      <c r="K780" s="211" t="s">
        <v>3180</v>
      </c>
      <c r="L780" s="211" t="s">
        <v>3180</v>
      </c>
      <c r="M780" s="211" t="s">
        <v>123</v>
      </c>
      <c r="N780" s="212" t="s">
        <v>14</v>
      </c>
      <c r="O780" s="211">
        <v>400</v>
      </c>
      <c r="P780" s="212" t="s">
        <v>276</v>
      </c>
      <c r="Q780" s="213" t="s">
        <v>108</v>
      </c>
      <c r="R780" s="218">
        <v>30000</v>
      </c>
      <c r="S780" s="218">
        <f>Product_Name[[#This Row],[Đơn giá
Unit Price]]*Product_Name[[#This Row],[Số lượng
Quantity]]</f>
        <v>12000000</v>
      </c>
      <c r="T780" s="219">
        <v>45015</v>
      </c>
      <c r="U780" s="220">
        <v>45037</v>
      </c>
      <c r="V780" s="221">
        <v>45043</v>
      </c>
      <c r="W780" s="211" t="s">
        <v>2813</v>
      </c>
      <c r="X780" s="211" t="s">
        <v>1932</v>
      </c>
      <c r="Y780" s="264" t="s">
        <v>3219</v>
      </c>
      <c r="Z780" s="222" t="s">
        <v>2087</v>
      </c>
      <c r="AA780" s="216" t="s">
        <v>2647</v>
      </c>
      <c r="AB780" s="227"/>
      <c r="AC780" s="295"/>
    </row>
    <row r="781" spans="1:29" s="71" customFormat="1" ht="31" x14ac:dyDescent="0.35">
      <c r="A781" s="211">
        <v>10196</v>
      </c>
      <c r="B781" s="214" t="s">
        <v>3679</v>
      </c>
      <c r="C781" s="211">
        <v>14278</v>
      </c>
      <c r="D781" s="215" t="s">
        <v>110</v>
      </c>
      <c r="E781" s="215" t="s">
        <v>110</v>
      </c>
      <c r="F781" s="215" t="s">
        <v>110</v>
      </c>
      <c r="G781" s="215" t="s">
        <v>110</v>
      </c>
      <c r="H781" s="216" t="s">
        <v>3213</v>
      </c>
      <c r="I781" s="217" t="s">
        <v>3506</v>
      </c>
      <c r="J781" s="211" t="s">
        <v>3505</v>
      </c>
      <c r="K781" s="211" t="s">
        <v>3180</v>
      </c>
      <c r="L781" s="211" t="s">
        <v>3180</v>
      </c>
      <c r="M781" s="211" t="s">
        <v>123</v>
      </c>
      <c r="N781" s="212" t="s">
        <v>14</v>
      </c>
      <c r="O781" s="211">
        <v>20</v>
      </c>
      <c r="P781" s="212" t="s">
        <v>276</v>
      </c>
      <c r="Q781" s="213" t="s">
        <v>108</v>
      </c>
      <c r="R781" s="218">
        <v>348000</v>
      </c>
      <c r="S781" s="218">
        <f>Product_Name[[#This Row],[Đơn giá
Unit Price]]*Product_Name[[#This Row],[Số lượng
Quantity]]</f>
        <v>6960000</v>
      </c>
      <c r="T781" s="219">
        <v>45015</v>
      </c>
      <c r="U781" s="220">
        <v>45037</v>
      </c>
      <c r="V781" s="221">
        <v>45043</v>
      </c>
      <c r="W781" s="211" t="s">
        <v>2813</v>
      </c>
      <c r="X781" s="211" t="s">
        <v>1932</v>
      </c>
      <c r="Y781" s="264" t="s">
        <v>3219</v>
      </c>
      <c r="Z781" s="222" t="s">
        <v>2087</v>
      </c>
      <c r="AA781" s="216" t="s">
        <v>2647</v>
      </c>
      <c r="AB781" s="227"/>
      <c r="AC781" s="295"/>
    </row>
    <row r="782" spans="1:29" ht="31" x14ac:dyDescent="0.35">
      <c r="A782" s="252"/>
      <c r="B782" s="252"/>
      <c r="C782" s="252"/>
      <c r="D782" s="252"/>
      <c r="E782" s="252"/>
      <c r="F782" s="252"/>
      <c r="G782" s="252"/>
      <c r="H782" s="255" t="s">
        <v>3178</v>
      </c>
      <c r="I782" s="255" t="s">
        <v>3507</v>
      </c>
      <c r="J782" s="252" t="s">
        <v>3177</v>
      </c>
      <c r="K782" s="252" t="s">
        <v>3180</v>
      </c>
      <c r="L782" s="252" t="s">
        <v>3180</v>
      </c>
      <c r="M782" s="252" t="s">
        <v>123</v>
      </c>
      <c r="N782" s="289" t="s">
        <v>14</v>
      </c>
      <c r="O782" s="252">
        <v>4</v>
      </c>
      <c r="P782" s="289" t="s">
        <v>276</v>
      </c>
      <c r="Q782" s="290" t="s">
        <v>108</v>
      </c>
      <c r="R782" s="258"/>
      <c r="S782" s="258">
        <f>Product_Name[[#This Row],[Đơn giá
Unit Price]]*Product_Name[[#This Row],[Số lượng
Quantity]]</f>
        <v>0</v>
      </c>
      <c r="T782" s="259"/>
      <c r="U782" s="246"/>
      <c r="V782" s="260"/>
      <c r="W782" s="252" t="s">
        <v>2813</v>
      </c>
      <c r="X782" s="252" t="s">
        <v>1932</v>
      </c>
      <c r="Y782" s="291" t="s">
        <v>3219</v>
      </c>
      <c r="Z782" s="261" t="s">
        <v>2087</v>
      </c>
      <c r="AA782" s="255" t="s">
        <v>2647</v>
      </c>
      <c r="AB782" s="246" t="s">
        <v>3540</v>
      </c>
      <c r="AC782" s="295"/>
    </row>
    <row r="783" spans="1:29" s="71" customFormat="1" ht="31" x14ac:dyDescent="0.35">
      <c r="A783" s="211">
        <v>10196</v>
      </c>
      <c r="B783" s="214" t="s">
        <v>3679</v>
      </c>
      <c r="C783" s="211">
        <v>14278</v>
      </c>
      <c r="D783" s="215" t="s">
        <v>110</v>
      </c>
      <c r="E783" s="215" t="s">
        <v>110</v>
      </c>
      <c r="F783" s="215" t="s">
        <v>110</v>
      </c>
      <c r="G783" s="215" t="s">
        <v>110</v>
      </c>
      <c r="H783" s="216" t="s">
        <v>3215</v>
      </c>
      <c r="I783" s="217" t="s">
        <v>3507</v>
      </c>
      <c r="J783" s="211" t="s">
        <v>3508</v>
      </c>
      <c r="K783" s="211" t="s">
        <v>3180</v>
      </c>
      <c r="L783" s="211" t="s">
        <v>3180</v>
      </c>
      <c r="M783" s="211" t="s">
        <v>123</v>
      </c>
      <c r="N783" s="212" t="s">
        <v>14</v>
      </c>
      <c r="O783" s="211">
        <v>2</v>
      </c>
      <c r="P783" s="212" t="s">
        <v>276</v>
      </c>
      <c r="Q783" s="213" t="s">
        <v>108</v>
      </c>
      <c r="R783" s="218">
        <v>1043000</v>
      </c>
      <c r="S783" s="218">
        <f>Product_Name[[#This Row],[Đơn giá
Unit Price]]*Product_Name[[#This Row],[Số lượng
Quantity]]</f>
        <v>2086000</v>
      </c>
      <c r="T783" s="219">
        <v>45015</v>
      </c>
      <c r="U783" s="220">
        <v>45037</v>
      </c>
      <c r="V783" s="221">
        <v>45043</v>
      </c>
      <c r="W783" s="211" t="s">
        <v>2813</v>
      </c>
      <c r="X783" s="211" t="s">
        <v>1932</v>
      </c>
      <c r="Y783" s="264" t="s">
        <v>3219</v>
      </c>
      <c r="Z783" s="222" t="s">
        <v>2087</v>
      </c>
      <c r="AA783" s="216" t="s">
        <v>2647</v>
      </c>
      <c r="AB783" s="227"/>
      <c r="AC783" s="295"/>
    </row>
    <row r="784" spans="1:29" s="71" customFormat="1" ht="31" x14ac:dyDescent="0.35">
      <c r="A784" s="211">
        <v>10196</v>
      </c>
      <c r="B784" s="214" t="s">
        <v>3679</v>
      </c>
      <c r="C784" s="211">
        <v>14278</v>
      </c>
      <c r="D784" s="215" t="s">
        <v>110</v>
      </c>
      <c r="E784" s="215" t="s">
        <v>110</v>
      </c>
      <c r="F784" s="215" t="s">
        <v>110</v>
      </c>
      <c r="G784" s="215" t="s">
        <v>110</v>
      </c>
      <c r="H784" s="216" t="s">
        <v>3216</v>
      </c>
      <c r="I784" s="217" t="s">
        <v>3507</v>
      </c>
      <c r="J784" s="211" t="s">
        <v>3509</v>
      </c>
      <c r="K784" s="211" t="s">
        <v>3180</v>
      </c>
      <c r="L784" s="211" t="s">
        <v>3180</v>
      </c>
      <c r="M784" s="211" t="s">
        <v>123</v>
      </c>
      <c r="N784" s="212" t="s">
        <v>14</v>
      </c>
      <c r="O784" s="211">
        <v>1</v>
      </c>
      <c r="P784" s="212" t="s">
        <v>276</v>
      </c>
      <c r="Q784" s="213" t="s">
        <v>108</v>
      </c>
      <c r="R784" s="218">
        <v>1327000</v>
      </c>
      <c r="S784" s="218">
        <f>Product_Name[[#This Row],[Đơn giá
Unit Price]]*Product_Name[[#This Row],[Số lượng
Quantity]]</f>
        <v>1327000</v>
      </c>
      <c r="T784" s="219">
        <v>45015</v>
      </c>
      <c r="U784" s="220">
        <v>45037</v>
      </c>
      <c r="V784" s="221">
        <v>45043</v>
      </c>
      <c r="W784" s="211" t="s">
        <v>2813</v>
      </c>
      <c r="X784" s="211" t="s">
        <v>1932</v>
      </c>
      <c r="Y784" s="264" t="s">
        <v>3219</v>
      </c>
      <c r="Z784" s="222" t="s">
        <v>2087</v>
      </c>
      <c r="AA784" s="216" t="s">
        <v>2647</v>
      </c>
      <c r="AB784" s="227"/>
      <c r="AC784" s="295"/>
    </row>
    <row r="785" spans="1:29" s="71" customFormat="1" ht="31" x14ac:dyDescent="0.35">
      <c r="A785" s="211">
        <v>10196</v>
      </c>
      <c r="B785" s="214" t="s">
        <v>3679</v>
      </c>
      <c r="C785" s="211">
        <v>14278</v>
      </c>
      <c r="D785" s="215" t="s">
        <v>110</v>
      </c>
      <c r="E785" s="215" t="s">
        <v>110</v>
      </c>
      <c r="F785" s="215" t="s">
        <v>110</v>
      </c>
      <c r="G785" s="215" t="s">
        <v>110</v>
      </c>
      <c r="H785" s="216" t="s">
        <v>3216</v>
      </c>
      <c r="I785" s="217" t="s">
        <v>3507</v>
      </c>
      <c r="J785" s="211" t="s">
        <v>3510</v>
      </c>
      <c r="K785" s="211" t="s">
        <v>3180</v>
      </c>
      <c r="L785" s="211" t="s">
        <v>3180</v>
      </c>
      <c r="M785" s="211" t="s">
        <v>123</v>
      </c>
      <c r="N785" s="212" t="s">
        <v>14</v>
      </c>
      <c r="O785" s="211">
        <v>1</v>
      </c>
      <c r="P785" s="212" t="s">
        <v>276</v>
      </c>
      <c r="Q785" s="213" t="s">
        <v>108</v>
      </c>
      <c r="R785" s="218">
        <v>663000</v>
      </c>
      <c r="S785" s="218">
        <f>Product_Name[[#This Row],[Đơn giá
Unit Price]]*Product_Name[[#This Row],[Số lượng
Quantity]]</f>
        <v>663000</v>
      </c>
      <c r="T785" s="219">
        <v>45015</v>
      </c>
      <c r="U785" s="220">
        <v>45037</v>
      </c>
      <c r="V785" s="221">
        <v>45043</v>
      </c>
      <c r="W785" s="211" t="s">
        <v>2813</v>
      </c>
      <c r="X785" s="211" t="s">
        <v>1932</v>
      </c>
      <c r="Y785" s="264" t="s">
        <v>3219</v>
      </c>
      <c r="Z785" s="222" t="s">
        <v>2087</v>
      </c>
      <c r="AA785" s="216" t="s">
        <v>2647</v>
      </c>
      <c r="AB785" s="227"/>
      <c r="AC785" s="295"/>
    </row>
    <row r="786" spans="1:29" s="71" customFormat="1" ht="31" x14ac:dyDescent="0.35">
      <c r="A786" s="252"/>
      <c r="B786" s="253"/>
      <c r="C786" s="252" t="s">
        <v>3523</v>
      </c>
      <c r="D786" s="254"/>
      <c r="E786" s="254"/>
      <c r="F786" s="252"/>
      <c r="G786" s="252"/>
      <c r="H786" s="255" t="s">
        <v>3217</v>
      </c>
      <c r="I786" s="256" t="s">
        <v>3218</v>
      </c>
      <c r="J786" s="252" t="s">
        <v>3210</v>
      </c>
      <c r="K786" s="252" t="s">
        <v>1153</v>
      </c>
      <c r="L786" s="252" t="s">
        <v>1153</v>
      </c>
      <c r="M786" s="252" t="s">
        <v>123</v>
      </c>
      <c r="N786" s="289" t="s">
        <v>14</v>
      </c>
      <c r="O786" s="252">
        <v>90</v>
      </c>
      <c r="P786" s="289" t="s">
        <v>276</v>
      </c>
      <c r="Q786" s="290" t="s">
        <v>108</v>
      </c>
      <c r="R786" s="258">
        <v>128000</v>
      </c>
      <c r="S786" s="258">
        <f>Product_Name[[#This Row],[Đơn giá
Unit Price]]*Product_Name[[#This Row],[Số lượng
Quantity]]</f>
        <v>11520000</v>
      </c>
      <c r="T786" s="259"/>
      <c r="U786" s="246"/>
      <c r="V786" s="260"/>
      <c r="W786" s="252" t="s">
        <v>2813</v>
      </c>
      <c r="X786" s="252" t="s">
        <v>1932</v>
      </c>
      <c r="Y786" s="291" t="s">
        <v>3219</v>
      </c>
      <c r="Z786" s="261" t="s">
        <v>2087</v>
      </c>
      <c r="AA786" s="255" t="s">
        <v>2647</v>
      </c>
      <c r="AB786" s="246" t="s">
        <v>3540</v>
      </c>
      <c r="AC786" s="295"/>
    </row>
    <row r="787" spans="1:29" s="71" customFormat="1" ht="31" x14ac:dyDescent="0.35">
      <c r="A787" s="252"/>
      <c r="B787" s="253"/>
      <c r="C787" s="252" t="s">
        <v>3523</v>
      </c>
      <c r="D787" s="254"/>
      <c r="E787" s="254"/>
      <c r="F787" s="252"/>
      <c r="G787" s="252"/>
      <c r="H787" s="255" t="s">
        <v>3217</v>
      </c>
      <c r="I787" s="256" t="s">
        <v>3218</v>
      </c>
      <c r="J787" s="252" t="s">
        <v>3211</v>
      </c>
      <c r="K787" s="252" t="s">
        <v>1153</v>
      </c>
      <c r="L787" s="252" t="s">
        <v>1153</v>
      </c>
      <c r="M787" s="252" t="s">
        <v>123</v>
      </c>
      <c r="N787" s="289" t="s">
        <v>14</v>
      </c>
      <c r="O787" s="252">
        <v>35</v>
      </c>
      <c r="P787" s="289" t="s">
        <v>276</v>
      </c>
      <c r="Q787" s="290" t="s">
        <v>108</v>
      </c>
      <c r="R787" s="258">
        <v>200000</v>
      </c>
      <c r="S787" s="258">
        <f>Product_Name[[#This Row],[Đơn giá
Unit Price]]*Product_Name[[#This Row],[Số lượng
Quantity]]</f>
        <v>7000000</v>
      </c>
      <c r="T787" s="259"/>
      <c r="U787" s="246"/>
      <c r="V787" s="260"/>
      <c r="W787" s="252" t="s">
        <v>2813</v>
      </c>
      <c r="X787" s="252" t="s">
        <v>1932</v>
      </c>
      <c r="Y787" s="291" t="s">
        <v>3219</v>
      </c>
      <c r="Z787" s="261" t="s">
        <v>2087</v>
      </c>
      <c r="AA787" s="255" t="s">
        <v>2647</v>
      </c>
      <c r="AB787" s="246" t="s">
        <v>3540</v>
      </c>
      <c r="AC787" s="295"/>
    </row>
    <row r="788" spans="1:29" s="71" customFormat="1" ht="31" x14ac:dyDescent="0.35">
      <c r="A788" s="252"/>
      <c r="B788" s="253"/>
      <c r="C788" s="252" t="s">
        <v>3523</v>
      </c>
      <c r="D788" s="254"/>
      <c r="E788" s="254"/>
      <c r="F788" s="252"/>
      <c r="G788" s="252"/>
      <c r="H788" s="255" t="s">
        <v>3217</v>
      </c>
      <c r="I788" s="256" t="s">
        <v>3218</v>
      </c>
      <c r="J788" s="252" t="s">
        <v>3212</v>
      </c>
      <c r="K788" s="252" t="s">
        <v>1153</v>
      </c>
      <c r="L788" s="252" t="s">
        <v>1153</v>
      </c>
      <c r="M788" s="252" t="s">
        <v>123</v>
      </c>
      <c r="N788" s="289" t="s">
        <v>14</v>
      </c>
      <c r="O788" s="252">
        <v>40</v>
      </c>
      <c r="P788" s="289" t="s">
        <v>276</v>
      </c>
      <c r="Q788" s="290" t="s">
        <v>108</v>
      </c>
      <c r="R788" s="258">
        <v>285000</v>
      </c>
      <c r="S788" s="258">
        <f>Product_Name[[#This Row],[Đơn giá
Unit Price]]*Product_Name[[#This Row],[Số lượng
Quantity]]</f>
        <v>11400000</v>
      </c>
      <c r="T788" s="259"/>
      <c r="U788" s="246"/>
      <c r="V788" s="260"/>
      <c r="W788" s="252" t="s">
        <v>2813</v>
      </c>
      <c r="X788" s="252" t="s">
        <v>1932</v>
      </c>
      <c r="Y788" s="291" t="s">
        <v>3219</v>
      </c>
      <c r="Z788" s="261" t="s">
        <v>2087</v>
      </c>
      <c r="AA788" s="255" t="s">
        <v>2647</v>
      </c>
      <c r="AB788" s="246" t="s">
        <v>3540</v>
      </c>
      <c r="AC788" s="295"/>
    </row>
    <row r="789" spans="1:29" s="71" customFormat="1" ht="15.5" x14ac:dyDescent="0.35">
      <c r="A789" s="211">
        <v>9431</v>
      </c>
      <c r="B789" s="214" t="s">
        <v>3486</v>
      </c>
      <c r="C789" s="211">
        <v>13088</v>
      </c>
      <c r="D789" s="215" t="s">
        <v>110</v>
      </c>
      <c r="E789" s="215" t="s">
        <v>110</v>
      </c>
      <c r="F789" s="211" t="s">
        <v>110</v>
      </c>
      <c r="G789" s="211" t="s">
        <v>110</v>
      </c>
      <c r="H789" s="216" t="s">
        <v>820</v>
      </c>
      <c r="I789" s="217" t="s">
        <v>966</v>
      </c>
      <c r="J789" s="211" t="s">
        <v>812</v>
      </c>
      <c r="K789" s="211" t="s">
        <v>3221</v>
      </c>
      <c r="L789" s="211" t="s">
        <v>99</v>
      </c>
      <c r="M789" s="211" t="s">
        <v>123</v>
      </c>
      <c r="N789" s="212" t="s">
        <v>14</v>
      </c>
      <c r="O789" s="211">
        <v>5</v>
      </c>
      <c r="P789" s="212" t="s">
        <v>37</v>
      </c>
      <c r="Q789" s="213" t="s">
        <v>108</v>
      </c>
      <c r="R789" s="218">
        <v>316000</v>
      </c>
      <c r="S789" s="218">
        <f>Product_Name[[#This Row],[Đơn giá
Unit Price]]*Product_Name[[#This Row],[Số lượng
Quantity]]</f>
        <v>1580000</v>
      </c>
      <c r="T789" s="219">
        <v>44971</v>
      </c>
      <c r="U789" s="220">
        <v>44986</v>
      </c>
      <c r="V789" s="221">
        <v>45006</v>
      </c>
      <c r="W789" s="211" t="s">
        <v>2814</v>
      </c>
      <c r="X789" s="211" t="s">
        <v>16</v>
      </c>
      <c r="Y789" s="264">
        <v>44970</v>
      </c>
      <c r="Z789" s="222" t="s">
        <v>2087</v>
      </c>
      <c r="AA789" s="216" t="s">
        <v>2290</v>
      </c>
      <c r="AB789" s="227"/>
      <c r="AC789" s="295"/>
    </row>
    <row r="790" spans="1:29" s="71" customFormat="1" ht="31" x14ac:dyDescent="0.35">
      <c r="A790" s="211" t="s">
        <v>110</v>
      </c>
      <c r="B790" s="214" t="s">
        <v>3480</v>
      </c>
      <c r="C790" s="211" t="s">
        <v>110</v>
      </c>
      <c r="D790" s="215">
        <v>4592</v>
      </c>
      <c r="E790" s="215">
        <v>9749</v>
      </c>
      <c r="F790" s="211" t="s">
        <v>3291</v>
      </c>
      <c r="G790" s="211" t="s">
        <v>3320</v>
      </c>
      <c r="H790" s="216" t="s">
        <v>3281</v>
      </c>
      <c r="I790" s="217" t="s">
        <v>3224</v>
      </c>
      <c r="J790" s="211" t="s">
        <v>3225</v>
      </c>
      <c r="K790" s="211" t="s">
        <v>1426</v>
      </c>
      <c r="L790" s="211" t="s">
        <v>1281</v>
      </c>
      <c r="M790" s="211" t="s">
        <v>796</v>
      </c>
      <c r="N790" s="212" t="s">
        <v>642</v>
      </c>
      <c r="O790" s="211">
        <v>1</v>
      </c>
      <c r="P790" s="212" t="s">
        <v>276</v>
      </c>
      <c r="Q790" s="213" t="s">
        <v>108</v>
      </c>
      <c r="R790" s="218">
        <v>2344000</v>
      </c>
      <c r="S790" s="218">
        <f>Product_Name[[#This Row],[Đơn giá
Unit Price]]*Product_Name[[#This Row],[Số lượng
Quantity]]</f>
        <v>2344000</v>
      </c>
      <c r="T790" s="219">
        <v>44987</v>
      </c>
      <c r="U790" s="220">
        <v>45008</v>
      </c>
      <c r="V790" s="221">
        <v>45006</v>
      </c>
      <c r="W790" s="211" t="s">
        <v>3273</v>
      </c>
      <c r="X790" s="211" t="s">
        <v>3228</v>
      </c>
      <c r="Y790" s="264" t="s">
        <v>3229</v>
      </c>
      <c r="Z790" s="222" t="s">
        <v>2087</v>
      </c>
      <c r="AA790" s="216" t="s">
        <v>3230</v>
      </c>
      <c r="AB790" s="227">
        <v>44980</v>
      </c>
      <c r="AC790" s="295"/>
    </row>
    <row r="791" spans="1:29" s="71" customFormat="1" ht="31" x14ac:dyDescent="0.35">
      <c r="A791" s="211" t="s">
        <v>110</v>
      </c>
      <c r="B791" s="214" t="s">
        <v>3480</v>
      </c>
      <c r="C791" s="211" t="s">
        <v>110</v>
      </c>
      <c r="D791" s="215">
        <v>4592</v>
      </c>
      <c r="E791" s="215">
        <v>9749</v>
      </c>
      <c r="F791" s="211" t="s">
        <v>3291</v>
      </c>
      <c r="G791" s="211" t="s">
        <v>3320</v>
      </c>
      <c r="H791" s="216" t="s">
        <v>3282</v>
      </c>
      <c r="I791" s="217" t="s">
        <v>3226</v>
      </c>
      <c r="J791" s="211" t="s">
        <v>3227</v>
      </c>
      <c r="K791" s="211" t="s">
        <v>1426</v>
      </c>
      <c r="L791" s="211" t="s">
        <v>1281</v>
      </c>
      <c r="M791" s="211" t="s">
        <v>796</v>
      </c>
      <c r="N791" s="212" t="s">
        <v>642</v>
      </c>
      <c r="O791" s="211">
        <v>2</v>
      </c>
      <c r="P791" s="212" t="s">
        <v>276</v>
      </c>
      <c r="Q791" s="213" t="s">
        <v>108</v>
      </c>
      <c r="R791" s="218">
        <v>1161000</v>
      </c>
      <c r="S791" s="218">
        <f>Product_Name[[#This Row],[Đơn giá
Unit Price]]*Product_Name[[#This Row],[Số lượng
Quantity]]</f>
        <v>2322000</v>
      </c>
      <c r="T791" s="219">
        <v>44987</v>
      </c>
      <c r="U791" s="220">
        <v>45008</v>
      </c>
      <c r="V791" s="221">
        <v>45006</v>
      </c>
      <c r="W791" s="211" t="s">
        <v>3273</v>
      </c>
      <c r="X791" s="211" t="s">
        <v>3228</v>
      </c>
      <c r="Y791" s="264" t="s">
        <v>3229</v>
      </c>
      <c r="Z791" s="222" t="s">
        <v>2087</v>
      </c>
      <c r="AA791" s="216" t="s">
        <v>3230</v>
      </c>
      <c r="AB791" s="227">
        <v>44980</v>
      </c>
      <c r="AC791" s="295"/>
    </row>
    <row r="792" spans="1:29" s="71" customFormat="1" ht="15.5" x14ac:dyDescent="0.35">
      <c r="A792" s="211">
        <v>9447</v>
      </c>
      <c r="B792" s="214" t="s">
        <v>3512</v>
      </c>
      <c r="C792" s="211">
        <v>13125</v>
      </c>
      <c r="D792" s="215" t="s">
        <v>110</v>
      </c>
      <c r="E792" s="215" t="s">
        <v>110</v>
      </c>
      <c r="F792" s="211" t="s">
        <v>110</v>
      </c>
      <c r="G792" s="211" t="s">
        <v>110</v>
      </c>
      <c r="H792" s="216" t="s">
        <v>1097</v>
      </c>
      <c r="I792" s="217" t="s">
        <v>1098</v>
      </c>
      <c r="J792" s="211" t="s">
        <v>1099</v>
      </c>
      <c r="K792" s="211" t="s">
        <v>99</v>
      </c>
      <c r="L792" s="211" t="s">
        <v>99</v>
      </c>
      <c r="M792" s="211" t="s">
        <v>123</v>
      </c>
      <c r="N792" s="212" t="s">
        <v>14</v>
      </c>
      <c r="O792" s="211">
        <v>10</v>
      </c>
      <c r="P792" s="212" t="s">
        <v>719</v>
      </c>
      <c r="Q792" s="213" t="s">
        <v>108</v>
      </c>
      <c r="R792" s="218">
        <v>119000</v>
      </c>
      <c r="S792" s="218">
        <f>Product_Name[[#This Row],[Đơn giá
Unit Price]]*Product_Name[[#This Row],[Số lượng
Quantity]]</f>
        <v>1190000</v>
      </c>
      <c r="T792" s="219">
        <v>44973</v>
      </c>
      <c r="U792" s="220">
        <v>44991</v>
      </c>
      <c r="V792" s="221">
        <v>45006</v>
      </c>
      <c r="W792" s="211" t="s">
        <v>2160</v>
      </c>
      <c r="X792" s="211" t="s">
        <v>55</v>
      </c>
      <c r="Y792" s="264">
        <v>44972</v>
      </c>
      <c r="Z792" s="222" t="s">
        <v>2087</v>
      </c>
      <c r="AA792" s="216" t="s">
        <v>2155</v>
      </c>
      <c r="AB792" s="227" t="s">
        <v>110</v>
      </c>
      <c r="AC792" s="295"/>
    </row>
    <row r="793" spans="1:29" s="71" customFormat="1" ht="15.5" x14ac:dyDescent="0.35">
      <c r="A793" s="211">
        <v>9420</v>
      </c>
      <c r="B793" s="214" t="s">
        <v>3565</v>
      </c>
      <c r="C793" s="211">
        <v>13149</v>
      </c>
      <c r="D793" s="215" t="s">
        <v>110</v>
      </c>
      <c r="E793" s="215" t="s">
        <v>110</v>
      </c>
      <c r="F793" s="211" t="s">
        <v>110</v>
      </c>
      <c r="G793" s="211" t="s">
        <v>110</v>
      </c>
      <c r="H793" s="216" t="s">
        <v>3039</v>
      </c>
      <c r="I793" s="217" t="s">
        <v>3040</v>
      </c>
      <c r="J793" s="211" t="s">
        <v>3041</v>
      </c>
      <c r="K793" s="211" t="s">
        <v>3033</v>
      </c>
      <c r="L793" s="211" t="s">
        <v>3033</v>
      </c>
      <c r="M793" s="211" t="s">
        <v>123</v>
      </c>
      <c r="N793" s="212" t="s">
        <v>14</v>
      </c>
      <c r="O793" s="211">
        <v>400</v>
      </c>
      <c r="P793" s="212" t="s">
        <v>47</v>
      </c>
      <c r="Q793" s="213" t="s">
        <v>108</v>
      </c>
      <c r="R793" s="218">
        <v>110000</v>
      </c>
      <c r="S793" s="218">
        <f>R793*O793</f>
        <v>44000000</v>
      </c>
      <c r="T793" s="219">
        <v>44974</v>
      </c>
      <c r="U793" s="220">
        <v>45033</v>
      </c>
      <c r="V793" s="221">
        <v>45023</v>
      </c>
      <c r="W793" s="214" t="s">
        <v>1537</v>
      </c>
      <c r="X793" s="211" t="s">
        <v>16</v>
      </c>
      <c r="Y793" s="264">
        <v>44972</v>
      </c>
      <c r="Z793" s="222" t="s">
        <v>328</v>
      </c>
      <c r="AA793" s="216" t="s">
        <v>2076</v>
      </c>
      <c r="AB793" s="227"/>
      <c r="AC793" s="295"/>
    </row>
    <row r="794" spans="1:29" s="71" customFormat="1" ht="31" x14ac:dyDescent="0.35">
      <c r="A794" s="211">
        <v>9698</v>
      </c>
      <c r="B794" s="214" t="s">
        <v>3421</v>
      </c>
      <c r="C794" s="211">
        <v>13450</v>
      </c>
      <c r="D794" s="215" t="s">
        <v>110</v>
      </c>
      <c r="E794" s="215" t="s">
        <v>110</v>
      </c>
      <c r="F794" s="211" t="s">
        <v>3322</v>
      </c>
      <c r="G794" s="211" t="s">
        <v>3332</v>
      </c>
      <c r="H794" s="216" t="s">
        <v>3240</v>
      </c>
      <c r="I794" s="217" t="s">
        <v>3241</v>
      </c>
      <c r="J794" s="211" t="s">
        <v>3239</v>
      </c>
      <c r="K794" s="211" t="s">
        <v>1540</v>
      </c>
      <c r="L794" s="211" t="s">
        <v>3298</v>
      </c>
      <c r="M794" s="211" t="s">
        <v>826</v>
      </c>
      <c r="N794" s="212" t="s">
        <v>14</v>
      </c>
      <c r="O794" s="211">
        <v>400</v>
      </c>
      <c r="P794" s="212" t="s">
        <v>276</v>
      </c>
      <c r="Q794" s="213" t="s">
        <v>108</v>
      </c>
      <c r="R794" s="218">
        <v>8000</v>
      </c>
      <c r="S794" s="218">
        <f>Product_Name[[#This Row],[Đơn giá
Unit Price]]*Product_Name[[#This Row],[Số lượng
Quantity]]</f>
        <v>3200000</v>
      </c>
      <c r="T794" s="219">
        <v>44988</v>
      </c>
      <c r="U794" s="220">
        <v>45000</v>
      </c>
      <c r="V794" s="221">
        <v>44998</v>
      </c>
      <c r="W794" s="211" t="s">
        <v>3273</v>
      </c>
      <c r="X794" s="211" t="s">
        <v>1932</v>
      </c>
      <c r="Y794" s="264" t="s">
        <v>3242</v>
      </c>
      <c r="Z794" s="222" t="s">
        <v>826</v>
      </c>
      <c r="AA794" s="216" t="s">
        <v>2647</v>
      </c>
      <c r="AB794" s="227">
        <v>44984</v>
      </c>
      <c r="AC794" s="295"/>
    </row>
    <row r="795" spans="1:29" s="71" customFormat="1" ht="31" x14ac:dyDescent="0.35">
      <c r="A795" s="211" t="s">
        <v>110</v>
      </c>
      <c r="B795" s="214" t="s">
        <v>3572</v>
      </c>
      <c r="C795" s="211" t="s">
        <v>110</v>
      </c>
      <c r="D795" s="215">
        <v>4822</v>
      </c>
      <c r="E795" s="215">
        <v>10135</v>
      </c>
      <c r="F795" s="211" t="s">
        <v>3484</v>
      </c>
      <c r="G795" s="211" t="s">
        <v>3498</v>
      </c>
      <c r="H795" s="216" t="s">
        <v>3463</v>
      </c>
      <c r="I795" s="217" t="s">
        <v>3464</v>
      </c>
      <c r="J795" s="211" t="s">
        <v>3243</v>
      </c>
      <c r="K795" s="211" t="s">
        <v>3353</v>
      </c>
      <c r="L795" s="211" t="s">
        <v>3353</v>
      </c>
      <c r="M795" s="211" t="s">
        <v>1061</v>
      </c>
      <c r="N795" s="212" t="s">
        <v>3238</v>
      </c>
      <c r="O795" s="211">
        <v>1</v>
      </c>
      <c r="P795" s="212" t="s">
        <v>1092</v>
      </c>
      <c r="Q795" s="213" t="s">
        <v>108</v>
      </c>
      <c r="R795" s="218">
        <v>13236000</v>
      </c>
      <c r="S795" s="218">
        <f>Product_Name[[#This Row],[Đơn giá
Unit Price]]*Product_Name[[#This Row],[Số lượng
Quantity]]</f>
        <v>13236000</v>
      </c>
      <c r="T795" s="219">
        <v>45012</v>
      </c>
      <c r="U795" s="220">
        <v>45036</v>
      </c>
      <c r="V795" s="221">
        <v>45027</v>
      </c>
      <c r="W795" s="211" t="s">
        <v>1662</v>
      </c>
      <c r="X795" s="211" t="s">
        <v>16</v>
      </c>
      <c r="Y795" s="264" t="s">
        <v>3244</v>
      </c>
      <c r="Z795" s="222" t="s">
        <v>2087</v>
      </c>
      <c r="AA795" s="216" t="s">
        <v>2076</v>
      </c>
      <c r="AB795" s="227">
        <v>45006</v>
      </c>
      <c r="AC795" s="295"/>
    </row>
    <row r="796" spans="1:29" s="71" customFormat="1" ht="31" x14ac:dyDescent="0.35">
      <c r="A796" s="211">
        <v>10132</v>
      </c>
      <c r="B796" s="223" t="s">
        <v>3673</v>
      </c>
      <c r="C796" s="211">
        <v>14175</v>
      </c>
      <c r="D796" s="215" t="s">
        <v>110</v>
      </c>
      <c r="E796" s="215" t="s">
        <v>110</v>
      </c>
      <c r="F796" s="211" t="s">
        <v>110</v>
      </c>
      <c r="G796" s="211" t="s">
        <v>110</v>
      </c>
      <c r="H796" s="216" t="s">
        <v>3245</v>
      </c>
      <c r="I796" s="217" t="s">
        <v>3246</v>
      </c>
      <c r="J796" s="211" t="s">
        <v>3247</v>
      </c>
      <c r="K796" s="211" t="s">
        <v>3497</v>
      </c>
      <c r="L796" s="211" t="s">
        <v>3497</v>
      </c>
      <c r="M796" s="211" t="s">
        <v>1282</v>
      </c>
      <c r="N796" s="212" t="s">
        <v>14</v>
      </c>
      <c r="O796" s="211">
        <v>100</v>
      </c>
      <c r="P796" s="212" t="s">
        <v>107</v>
      </c>
      <c r="Q796" s="213" t="s">
        <v>108</v>
      </c>
      <c r="R796" s="218">
        <v>1650000</v>
      </c>
      <c r="S796" s="218">
        <f>Product_Name[[#This Row],[Đơn giá
Unit Price]]*Product_Name[[#This Row],[Số lượng
Quantity]]</f>
        <v>165000000</v>
      </c>
      <c r="T796" s="219">
        <v>45012</v>
      </c>
      <c r="U796" s="220">
        <v>45020</v>
      </c>
      <c r="V796" s="234" t="s">
        <v>3674</v>
      </c>
      <c r="W796" s="211" t="s">
        <v>2814</v>
      </c>
      <c r="X796" s="211" t="s">
        <v>55</v>
      </c>
      <c r="Y796" s="264" t="s">
        <v>3248</v>
      </c>
      <c r="Z796" s="222" t="s">
        <v>2087</v>
      </c>
      <c r="AA796" s="216" t="s">
        <v>3249</v>
      </c>
      <c r="AB796" s="227"/>
      <c r="AC796" s="295"/>
    </row>
    <row r="797" spans="1:29" s="71" customFormat="1" ht="31" x14ac:dyDescent="0.35">
      <c r="A797" s="211" t="s">
        <v>110</v>
      </c>
      <c r="B797" s="214" t="s">
        <v>3533</v>
      </c>
      <c r="C797" s="211" t="s">
        <v>110</v>
      </c>
      <c r="D797" s="215">
        <v>4744</v>
      </c>
      <c r="E797" s="215">
        <v>9928</v>
      </c>
      <c r="F797" s="211" t="s">
        <v>110</v>
      </c>
      <c r="G797" s="211" t="s">
        <v>110</v>
      </c>
      <c r="H797" s="216" t="s">
        <v>3250</v>
      </c>
      <c r="I797" s="217" t="s">
        <v>3431</v>
      </c>
      <c r="J797" s="211" t="s">
        <v>3432</v>
      </c>
      <c r="K797" s="211" t="s">
        <v>3433</v>
      </c>
      <c r="L797" s="211" t="s">
        <v>218</v>
      </c>
      <c r="M797" s="211" t="s">
        <v>796</v>
      </c>
      <c r="N797" s="212" t="s">
        <v>3238</v>
      </c>
      <c r="O797" s="211">
        <v>1</v>
      </c>
      <c r="P797" s="212" t="s">
        <v>276</v>
      </c>
      <c r="Q797" s="213" t="s">
        <v>108</v>
      </c>
      <c r="R797" s="218">
        <v>395000</v>
      </c>
      <c r="S797" s="218">
        <f>Product_Name[[#This Row],[Đơn giá
Unit Price]]*Product_Name[[#This Row],[Số lượng
Quantity]]</f>
        <v>395000</v>
      </c>
      <c r="T797" s="219">
        <v>45001</v>
      </c>
      <c r="U797" s="220">
        <v>45008</v>
      </c>
      <c r="V797" s="221">
        <v>45020</v>
      </c>
      <c r="W797" s="211" t="s">
        <v>2813</v>
      </c>
      <c r="X797" s="211" t="s">
        <v>16</v>
      </c>
      <c r="Y797" s="264" t="s">
        <v>3251</v>
      </c>
      <c r="Z797" s="222" t="s">
        <v>2087</v>
      </c>
      <c r="AA797" s="216" t="s">
        <v>3252</v>
      </c>
      <c r="AB797" s="227"/>
      <c r="AC797" s="295"/>
    </row>
    <row r="798" spans="1:29" s="71" customFormat="1" ht="31" x14ac:dyDescent="0.35">
      <c r="A798" s="211">
        <v>9739</v>
      </c>
      <c r="B798" s="214" t="s">
        <v>3424</v>
      </c>
      <c r="C798" s="211">
        <v>13575</v>
      </c>
      <c r="D798" s="215" t="s">
        <v>110</v>
      </c>
      <c r="E798" s="215" t="s">
        <v>110</v>
      </c>
      <c r="F798" s="211" t="s">
        <v>110</v>
      </c>
      <c r="G798" s="211" t="s">
        <v>110</v>
      </c>
      <c r="H798" s="216" t="s">
        <v>3257</v>
      </c>
      <c r="I798" s="217" t="s">
        <v>3380</v>
      </c>
      <c r="J798" s="211" t="s">
        <v>3258</v>
      </c>
      <c r="K798" s="211" t="s">
        <v>925</v>
      </c>
      <c r="L798" s="211" t="s">
        <v>925</v>
      </c>
      <c r="M798" s="211" t="s">
        <v>123</v>
      </c>
      <c r="N798" s="212" t="s">
        <v>14</v>
      </c>
      <c r="O798" s="211">
        <v>20</v>
      </c>
      <c r="P798" s="212" t="s">
        <v>276</v>
      </c>
      <c r="Q798" s="213" t="s">
        <v>108</v>
      </c>
      <c r="R798" s="218">
        <v>30720</v>
      </c>
      <c r="S798" s="218">
        <f>Product_Name[[#This Row],[Đơn giá
Unit Price]]*Product_Name[[#This Row],[Số lượng
Quantity]]</f>
        <v>614400</v>
      </c>
      <c r="T798" s="219">
        <v>44991</v>
      </c>
      <c r="U798" s="220">
        <v>44998</v>
      </c>
      <c r="V798" s="221">
        <v>44999</v>
      </c>
      <c r="W798" s="211" t="s">
        <v>1565</v>
      </c>
      <c r="X798" s="211" t="s">
        <v>54</v>
      </c>
      <c r="Y798" s="264" t="s">
        <v>3259</v>
      </c>
      <c r="Z798" s="222" t="s">
        <v>2087</v>
      </c>
      <c r="AA798" s="224" t="s">
        <v>3260</v>
      </c>
      <c r="AB798" s="227"/>
      <c r="AC798" s="295"/>
    </row>
    <row r="799" spans="1:29" s="71" customFormat="1" ht="15.5" x14ac:dyDescent="0.35">
      <c r="A799" s="211">
        <v>9566</v>
      </c>
      <c r="B799" s="214" t="s">
        <v>3383</v>
      </c>
      <c r="C799" s="211">
        <v>13278</v>
      </c>
      <c r="D799" s="215" t="s">
        <v>110</v>
      </c>
      <c r="E799" s="215" t="s">
        <v>110</v>
      </c>
      <c r="F799" s="211" t="s">
        <v>110</v>
      </c>
      <c r="G799" s="211" t="s">
        <v>110</v>
      </c>
      <c r="H799" s="216" t="s">
        <v>2206</v>
      </c>
      <c r="I799" s="217" t="s">
        <v>2207</v>
      </c>
      <c r="J799" s="211" t="s">
        <v>2200</v>
      </c>
      <c r="K799" s="211" t="s">
        <v>2265</v>
      </c>
      <c r="L799" s="211" t="s">
        <v>2265</v>
      </c>
      <c r="M799" s="211" t="s">
        <v>1282</v>
      </c>
      <c r="N799" s="212" t="s">
        <v>14</v>
      </c>
      <c r="O799" s="211">
        <v>320</v>
      </c>
      <c r="P799" s="212" t="s">
        <v>276</v>
      </c>
      <c r="Q799" s="213" t="s">
        <v>108</v>
      </c>
      <c r="R799" s="218">
        <v>795000</v>
      </c>
      <c r="S799" s="218">
        <f>Product_Name[[#This Row],[Số lượng
Quantity]]*Product_Name[[#This Row],[Đơn giá
Unit Price]]</f>
        <v>254400000</v>
      </c>
      <c r="T799" s="219">
        <v>44979</v>
      </c>
      <c r="U799" s="220">
        <v>44988</v>
      </c>
      <c r="V799" s="221">
        <v>44992</v>
      </c>
      <c r="W799" s="211" t="s">
        <v>2814</v>
      </c>
      <c r="X799" s="211" t="s">
        <v>55</v>
      </c>
      <c r="Y799" s="220">
        <v>44914</v>
      </c>
      <c r="Z799" s="222" t="s">
        <v>2087</v>
      </c>
      <c r="AA799" s="216" t="s">
        <v>2155</v>
      </c>
      <c r="AB799" s="227" t="s">
        <v>110</v>
      </c>
      <c r="AC799" s="295"/>
    </row>
    <row r="800" spans="1:29" s="71" customFormat="1" ht="15.5" x14ac:dyDescent="0.35">
      <c r="A800" s="211">
        <v>9566</v>
      </c>
      <c r="B800" s="214" t="s">
        <v>3383</v>
      </c>
      <c r="C800" s="211">
        <v>13278</v>
      </c>
      <c r="D800" s="215" t="s">
        <v>110</v>
      </c>
      <c r="E800" s="215" t="s">
        <v>110</v>
      </c>
      <c r="F800" s="211" t="s">
        <v>110</v>
      </c>
      <c r="G800" s="211" t="s">
        <v>110</v>
      </c>
      <c r="H800" s="216" t="s">
        <v>2208</v>
      </c>
      <c r="I800" s="217" t="s">
        <v>2209</v>
      </c>
      <c r="J800" s="211" t="s">
        <v>2201</v>
      </c>
      <c r="K800" s="211" t="s">
        <v>2265</v>
      </c>
      <c r="L800" s="211" t="s">
        <v>2265</v>
      </c>
      <c r="M800" s="211" t="s">
        <v>1282</v>
      </c>
      <c r="N800" s="212" t="s">
        <v>14</v>
      </c>
      <c r="O800" s="211">
        <v>320</v>
      </c>
      <c r="P800" s="212" t="s">
        <v>276</v>
      </c>
      <c r="Q800" s="213" t="s">
        <v>108</v>
      </c>
      <c r="R800" s="218">
        <v>245000</v>
      </c>
      <c r="S800" s="218">
        <f>Product_Name[[#This Row],[Số lượng
Quantity]]*Product_Name[[#This Row],[Đơn giá
Unit Price]]</f>
        <v>78400000</v>
      </c>
      <c r="T800" s="219">
        <v>44979</v>
      </c>
      <c r="U800" s="220">
        <v>44988</v>
      </c>
      <c r="V800" s="221">
        <v>44992</v>
      </c>
      <c r="W800" s="211" t="s">
        <v>2814</v>
      </c>
      <c r="X800" s="211" t="s">
        <v>55</v>
      </c>
      <c r="Y800" s="220">
        <v>44914</v>
      </c>
      <c r="Z800" s="222" t="s">
        <v>2087</v>
      </c>
      <c r="AA800" s="216" t="s">
        <v>2155</v>
      </c>
      <c r="AB800" s="227" t="s">
        <v>110</v>
      </c>
      <c r="AC800" s="295"/>
    </row>
    <row r="801" spans="1:29" s="71" customFormat="1" ht="15.5" x14ac:dyDescent="0.35">
      <c r="A801" s="211">
        <v>9566</v>
      </c>
      <c r="B801" s="214" t="s">
        <v>3383</v>
      </c>
      <c r="C801" s="211">
        <v>13278</v>
      </c>
      <c r="D801" s="215" t="s">
        <v>110</v>
      </c>
      <c r="E801" s="215" t="s">
        <v>110</v>
      </c>
      <c r="F801" s="211" t="s">
        <v>110</v>
      </c>
      <c r="G801" s="211" t="s">
        <v>110</v>
      </c>
      <c r="H801" s="216" t="s">
        <v>2214</v>
      </c>
      <c r="I801" s="217" t="s">
        <v>2215</v>
      </c>
      <c r="J801" s="211" t="s">
        <v>2204</v>
      </c>
      <c r="K801" s="211" t="s">
        <v>2265</v>
      </c>
      <c r="L801" s="211" t="s">
        <v>2265</v>
      </c>
      <c r="M801" s="211" t="s">
        <v>1282</v>
      </c>
      <c r="N801" s="212" t="s">
        <v>14</v>
      </c>
      <c r="O801" s="211">
        <v>1000</v>
      </c>
      <c r="P801" s="212" t="s">
        <v>276</v>
      </c>
      <c r="Q801" s="213" t="s">
        <v>108</v>
      </c>
      <c r="R801" s="218">
        <v>55000</v>
      </c>
      <c r="S801" s="218">
        <f>Product_Name[[#This Row],[Số lượng
Quantity]]*Product_Name[[#This Row],[Đơn giá
Unit Price]]</f>
        <v>55000000</v>
      </c>
      <c r="T801" s="219">
        <v>44979</v>
      </c>
      <c r="U801" s="220">
        <v>44988</v>
      </c>
      <c r="V801" s="221">
        <v>44992</v>
      </c>
      <c r="W801" s="211" t="s">
        <v>2814</v>
      </c>
      <c r="X801" s="211" t="s">
        <v>55</v>
      </c>
      <c r="Y801" s="220">
        <v>44914</v>
      </c>
      <c r="Z801" s="222" t="s">
        <v>2087</v>
      </c>
      <c r="AA801" s="216" t="s">
        <v>2155</v>
      </c>
      <c r="AB801" s="227" t="s">
        <v>110</v>
      </c>
      <c r="AC801" s="295"/>
    </row>
    <row r="802" spans="1:29" s="71" customFormat="1" ht="15.5" x14ac:dyDescent="0.35">
      <c r="A802" s="211">
        <v>9566</v>
      </c>
      <c r="B802" s="214" t="s">
        <v>3383</v>
      </c>
      <c r="C802" s="211">
        <v>13278</v>
      </c>
      <c r="D802" s="215" t="s">
        <v>110</v>
      </c>
      <c r="E802" s="215" t="s">
        <v>110</v>
      </c>
      <c r="F802" s="211" t="s">
        <v>110</v>
      </c>
      <c r="G802" s="211" t="s">
        <v>110</v>
      </c>
      <c r="H802" s="216" t="s">
        <v>2216</v>
      </c>
      <c r="I802" s="217" t="s">
        <v>2217</v>
      </c>
      <c r="J802" s="211" t="s">
        <v>2205</v>
      </c>
      <c r="K802" s="211" t="s">
        <v>2265</v>
      </c>
      <c r="L802" s="211" t="s">
        <v>2265</v>
      </c>
      <c r="M802" s="211" t="s">
        <v>1282</v>
      </c>
      <c r="N802" s="212" t="s">
        <v>14</v>
      </c>
      <c r="O802" s="211">
        <v>1950</v>
      </c>
      <c r="P802" s="212" t="s">
        <v>276</v>
      </c>
      <c r="Q802" s="213" t="s">
        <v>108</v>
      </c>
      <c r="R802" s="218">
        <v>22000</v>
      </c>
      <c r="S802" s="218">
        <f>Product_Name[[#This Row],[Số lượng
Quantity]]*Product_Name[[#This Row],[Đơn giá
Unit Price]]</f>
        <v>42900000</v>
      </c>
      <c r="T802" s="219">
        <v>44979</v>
      </c>
      <c r="U802" s="220">
        <v>44988</v>
      </c>
      <c r="V802" s="221">
        <v>44992</v>
      </c>
      <c r="W802" s="211" t="s">
        <v>2814</v>
      </c>
      <c r="X802" s="211" t="s">
        <v>55</v>
      </c>
      <c r="Y802" s="220">
        <v>44914</v>
      </c>
      <c r="Z802" s="222" t="s">
        <v>2087</v>
      </c>
      <c r="AA802" s="216" t="s">
        <v>2155</v>
      </c>
      <c r="AB802" s="227" t="s">
        <v>110</v>
      </c>
      <c r="AC802" s="295"/>
    </row>
    <row r="803" spans="1:29" s="71" customFormat="1" ht="31" x14ac:dyDescent="0.35">
      <c r="A803" s="211">
        <v>9741</v>
      </c>
      <c r="B803" s="214" t="s">
        <v>3610</v>
      </c>
      <c r="C803" s="211">
        <v>13576</v>
      </c>
      <c r="D803" s="215" t="s">
        <v>110</v>
      </c>
      <c r="E803" s="215" t="s">
        <v>110</v>
      </c>
      <c r="F803" s="211" t="s">
        <v>110</v>
      </c>
      <c r="G803" s="211" t="s">
        <v>110</v>
      </c>
      <c r="H803" s="216" t="s">
        <v>3264</v>
      </c>
      <c r="I803" s="217" t="s">
        <v>3265</v>
      </c>
      <c r="J803" s="211" t="s">
        <v>3261</v>
      </c>
      <c r="K803" s="211" t="s">
        <v>100</v>
      </c>
      <c r="L803" s="211" t="s">
        <v>100</v>
      </c>
      <c r="M803" s="211" t="s">
        <v>795</v>
      </c>
      <c r="N803" s="212" t="s">
        <v>14</v>
      </c>
      <c r="O803" s="211">
        <v>15</v>
      </c>
      <c r="P803" s="212" t="s">
        <v>276</v>
      </c>
      <c r="Q803" s="213" t="s">
        <v>108</v>
      </c>
      <c r="R803" s="218">
        <v>50960</v>
      </c>
      <c r="S803" s="218">
        <f>Product_Name[[#This Row],[Đơn giá
Unit Price]]*Product_Name[[#This Row],[Số lượng
Quantity]]</f>
        <v>764400</v>
      </c>
      <c r="T803" s="219">
        <v>44991</v>
      </c>
      <c r="U803" s="220">
        <v>45023</v>
      </c>
      <c r="V803" s="221">
        <v>45034</v>
      </c>
      <c r="W803" s="211" t="s">
        <v>2651</v>
      </c>
      <c r="X803" s="211" t="s">
        <v>55</v>
      </c>
      <c r="Y803" s="264" t="s">
        <v>3263</v>
      </c>
      <c r="Z803" s="222" t="s">
        <v>2087</v>
      </c>
      <c r="AA803" s="216" t="s">
        <v>2647</v>
      </c>
      <c r="AB803" s="227" t="s">
        <v>110</v>
      </c>
      <c r="AC803" s="295"/>
    </row>
    <row r="804" spans="1:29" s="71" customFormat="1" ht="31" x14ac:dyDescent="0.35">
      <c r="A804" s="211">
        <v>9741</v>
      </c>
      <c r="B804" s="214" t="s">
        <v>3610</v>
      </c>
      <c r="C804" s="211">
        <v>13576</v>
      </c>
      <c r="D804" s="215" t="s">
        <v>110</v>
      </c>
      <c r="E804" s="215" t="s">
        <v>110</v>
      </c>
      <c r="F804" s="211" t="s">
        <v>110</v>
      </c>
      <c r="G804" s="211" t="s">
        <v>110</v>
      </c>
      <c r="H804" s="216" t="s">
        <v>3266</v>
      </c>
      <c r="I804" s="217" t="s">
        <v>3267</v>
      </c>
      <c r="J804" s="211" t="s">
        <v>3262</v>
      </c>
      <c r="K804" s="211" t="s">
        <v>100</v>
      </c>
      <c r="L804" s="211" t="s">
        <v>100</v>
      </c>
      <c r="M804" s="211" t="s">
        <v>795</v>
      </c>
      <c r="N804" s="212" t="s">
        <v>14</v>
      </c>
      <c r="O804" s="211">
        <v>20</v>
      </c>
      <c r="P804" s="212" t="s">
        <v>276</v>
      </c>
      <c r="Q804" s="213" t="s">
        <v>108</v>
      </c>
      <c r="R804" s="218">
        <v>67386</v>
      </c>
      <c r="S804" s="218">
        <f>Product_Name[[#This Row],[Đơn giá
Unit Price]]*Product_Name[[#This Row],[Số lượng
Quantity]]</f>
        <v>1347720</v>
      </c>
      <c r="T804" s="219">
        <v>44991</v>
      </c>
      <c r="U804" s="220">
        <v>45023</v>
      </c>
      <c r="V804" s="221">
        <v>45034</v>
      </c>
      <c r="W804" s="211" t="s">
        <v>2651</v>
      </c>
      <c r="X804" s="211" t="s">
        <v>55</v>
      </c>
      <c r="Y804" s="264" t="s">
        <v>3263</v>
      </c>
      <c r="Z804" s="222" t="s">
        <v>2087</v>
      </c>
      <c r="AA804" s="216" t="s">
        <v>2647</v>
      </c>
      <c r="AB804" s="227" t="s">
        <v>110</v>
      </c>
      <c r="AC804" s="295"/>
    </row>
    <row r="805" spans="1:29" s="71" customFormat="1" ht="15.5" x14ac:dyDescent="0.35">
      <c r="A805" s="211">
        <v>9725</v>
      </c>
      <c r="B805" s="214" t="s">
        <v>3556</v>
      </c>
      <c r="C805" s="211">
        <v>13514</v>
      </c>
      <c r="D805" s="215"/>
      <c r="E805" s="215"/>
      <c r="F805" s="211"/>
      <c r="G805" s="211"/>
      <c r="H805" s="216" t="s">
        <v>3269</v>
      </c>
      <c r="I805" s="217" t="s">
        <v>3272</v>
      </c>
      <c r="J805" s="211" t="s">
        <v>3268</v>
      </c>
      <c r="K805" s="211" t="s">
        <v>3337</v>
      </c>
      <c r="L805" s="211" t="s">
        <v>99</v>
      </c>
      <c r="M805" s="211" t="s">
        <v>123</v>
      </c>
      <c r="N805" s="212" t="s">
        <v>14</v>
      </c>
      <c r="O805" s="211">
        <v>2</v>
      </c>
      <c r="P805" s="212" t="s">
        <v>276</v>
      </c>
      <c r="Q805" s="213" t="s">
        <v>108</v>
      </c>
      <c r="R805" s="218">
        <v>1011000</v>
      </c>
      <c r="S805" s="218">
        <f>Product_Name[[#This Row],[Đơn giá
Unit Price]]*Product_Name[[#This Row],[Số lượng
Quantity]]</f>
        <v>2022000</v>
      </c>
      <c r="T805" s="219">
        <v>44989</v>
      </c>
      <c r="U805" s="220">
        <v>45005</v>
      </c>
      <c r="V805" s="221">
        <v>45022</v>
      </c>
      <c r="W805" s="214" t="s">
        <v>1537</v>
      </c>
      <c r="X805" s="211" t="s">
        <v>54</v>
      </c>
      <c r="Y805" s="264">
        <v>44979</v>
      </c>
      <c r="Z805" s="222" t="s">
        <v>2087</v>
      </c>
      <c r="AA805" s="216" t="s">
        <v>2290</v>
      </c>
      <c r="AB805" s="227" t="s">
        <v>110</v>
      </c>
      <c r="AC805" s="295"/>
    </row>
    <row r="806" spans="1:29" s="71" customFormat="1" ht="31" x14ac:dyDescent="0.35">
      <c r="A806" s="211">
        <v>9782</v>
      </c>
      <c r="B806" s="214" t="s">
        <v>3529</v>
      </c>
      <c r="C806" s="211">
        <v>13631</v>
      </c>
      <c r="D806" s="215" t="s">
        <v>110</v>
      </c>
      <c r="E806" s="215" t="s">
        <v>110</v>
      </c>
      <c r="F806" s="211" t="s">
        <v>110</v>
      </c>
      <c r="G806" s="211" t="s">
        <v>110</v>
      </c>
      <c r="H806" s="216" t="s">
        <v>449</v>
      </c>
      <c r="I806" s="217" t="s">
        <v>659</v>
      </c>
      <c r="J806" s="211" t="s">
        <v>3270</v>
      </c>
      <c r="K806" s="211" t="s">
        <v>3337</v>
      </c>
      <c r="L806" s="211" t="s">
        <v>102</v>
      </c>
      <c r="M806" s="211" t="s">
        <v>123</v>
      </c>
      <c r="N806" s="212" t="s">
        <v>14</v>
      </c>
      <c r="O806" s="211">
        <v>2</v>
      </c>
      <c r="P806" s="212" t="s">
        <v>276</v>
      </c>
      <c r="Q806" s="213" t="s">
        <v>108</v>
      </c>
      <c r="R806" s="218">
        <v>3166000</v>
      </c>
      <c r="S806" s="218">
        <f>Product_Name[[#This Row],[Đơn giá
Unit Price]]*Product_Name[[#This Row],[Số lượng
Quantity]]</f>
        <v>6332000</v>
      </c>
      <c r="T806" s="219">
        <v>44993</v>
      </c>
      <c r="U806" s="220">
        <v>45034</v>
      </c>
      <c r="V806" s="221">
        <v>45017</v>
      </c>
      <c r="W806" s="214" t="s">
        <v>1537</v>
      </c>
      <c r="X806" s="211" t="s">
        <v>54</v>
      </c>
      <c r="Y806" s="264" t="s">
        <v>3287</v>
      </c>
      <c r="Z806" s="222" t="s">
        <v>2087</v>
      </c>
      <c r="AA806" s="216" t="s">
        <v>2290</v>
      </c>
      <c r="AB806" s="227"/>
      <c r="AC806" s="295"/>
    </row>
    <row r="807" spans="1:29" s="71" customFormat="1" ht="31" x14ac:dyDescent="0.35">
      <c r="A807" s="211" t="s">
        <v>110</v>
      </c>
      <c r="B807" s="214" t="s">
        <v>3422</v>
      </c>
      <c r="C807" s="211" t="s">
        <v>110</v>
      </c>
      <c r="D807" s="215">
        <v>4626</v>
      </c>
      <c r="E807" s="215">
        <v>9705</v>
      </c>
      <c r="F807" s="211" t="s">
        <v>110</v>
      </c>
      <c r="G807" s="211" t="s">
        <v>110</v>
      </c>
      <c r="H807" s="216" t="s">
        <v>3285</v>
      </c>
      <c r="I807" s="217" t="s">
        <v>3284</v>
      </c>
      <c r="J807" s="211" t="s">
        <v>3283</v>
      </c>
      <c r="K807" s="211" t="s">
        <v>1150</v>
      </c>
      <c r="L807" s="211" t="s">
        <v>218</v>
      </c>
      <c r="M807" s="211" t="s">
        <v>796</v>
      </c>
      <c r="N807" s="212" t="s">
        <v>3238</v>
      </c>
      <c r="O807" s="211">
        <v>10</v>
      </c>
      <c r="P807" s="212" t="s">
        <v>276</v>
      </c>
      <c r="Q807" s="213" t="s">
        <v>108</v>
      </c>
      <c r="R807" s="218">
        <v>111600</v>
      </c>
      <c r="S807" s="218">
        <f>Product_Name[[#This Row],[Đơn giá
Unit Price]]*Product_Name[[#This Row],[Số lượng
Quantity]]</f>
        <v>1116000</v>
      </c>
      <c r="T807" s="219">
        <v>44989</v>
      </c>
      <c r="U807" s="220">
        <v>45000</v>
      </c>
      <c r="V807" s="221">
        <v>44999</v>
      </c>
      <c r="W807" s="211" t="s">
        <v>2830</v>
      </c>
      <c r="X807" s="211" t="s">
        <v>16</v>
      </c>
      <c r="Y807" s="264" t="s">
        <v>3286</v>
      </c>
      <c r="Z807" s="222"/>
      <c r="AA807" s="216" t="s">
        <v>970</v>
      </c>
      <c r="AB807" s="227" t="s">
        <v>110</v>
      </c>
      <c r="AC807" s="295"/>
    </row>
    <row r="808" spans="1:29" s="71" customFormat="1" ht="15.5" x14ac:dyDescent="0.35">
      <c r="A808" s="211" t="s">
        <v>110</v>
      </c>
      <c r="B808" s="214" t="s">
        <v>3382</v>
      </c>
      <c r="C808" s="211" t="s">
        <v>110</v>
      </c>
      <c r="D808" s="215">
        <v>4610</v>
      </c>
      <c r="E808" s="215">
        <v>9687</v>
      </c>
      <c r="F808" s="211" t="s">
        <v>3321</v>
      </c>
      <c r="G808" s="211" t="s">
        <v>3331</v>
      </c>
      <c r="H808" s="216" t="s">
        <v>3299</v>
      </c>
      <c r="I808" s="217" t="s">
        <v>3294</v>
      </c>
      <c r="J808" s="211" t="s">
        <v>3293</v>
      </c>
      <c r="K808" s="211" t="s">
        <v>3300</v>
      </c>
      <c r="L808" s="211" t="s">
        <v>1751</v>
      </c>
      <c r="M808" s="211" t="s">
        <v>3073</v>
      </c>
      <c r="N808" s="212" t="s">
        <v>3238</v>
      </c>
      <c r="O808" s="211">
        <v>1</v>
      </c>
      <c r="P808" s="212" t="s">
        <v>276</v>
      </c>
      <c r="Q808" s="213" t="s">
        <v>108</v>
      </c>
      <c r="R808" s="218">
        <v>3350000</v>
      </c>
      <c r="S808" s="218">
        <f>Product_Name[[#This Row],[Đơn giá
Unit Price]]*Product_Name[[#This Row],[Số lượng
Quantity]]</f>
        <v>3350000</v>
      </c>
      <c r="T808" s="219">
        <v>44988</v>
      </c>
      <c r="U808" s="220">
        <v>44995</v>
      </c>
      <c r="V808" s="221">
        <v>44992</v>
      </c>
      <c r="W808" s="211" t="s">
        <v>2813</v>
      </c>
      <c r="X808" s="211" t="s">
        <v>3295</v>
      </c>
      <c r="Y808" s="264">
        <v>44984</v>
      </c>
      <c r="Z808" s="222"/>
      <c r="AA808" s="216" t="s">
        <v>2647</v>
      </c>
      <c r="AB808" s="227" t="s">
        <v>110</v>
      </c>
      <c r="AC808" s="295"/>
    </row>
    <row r="809" spans="1:29" ht="15.5" x14ac:dyDescent="0.35">
      <c r="A809" s="211">
        <v>9588</v>
      </c>
      <c r="B809" s="214" t="s">
        <v>3379</v>
      </c>
      <c r="C809" s="211">
        <v>13383</v>
      </c>
      <c r="D809" s="215" t="s">
        <v>110</v>
      </c>
      <c r="E809" s="215" t="s">
        <v>110</v>
      </c>
      <c r="F809" s="211" t="s">
        <v>110</v>
      </c>
      <c r="G809" s="211" t="s">
        <v>110</v>
      </c>
      <c r="H809" s="216" t="s">
        <v>2466</v>
      </c>
      <c r="I809" s="217" t="s">
        <v>2467</v>
      </c>
      <c r="J809" s="211" t="s">
        <v>2465</v>
      </c>
      <c r="K809" s="211" t="s">
        <v>2451</v>
      </c>
      <c r="L809" s="211" t="s">
        <v>2515</v>
      </c>
      <c r="M809" s="211" t="s">
        <v>2516</v>
      </c>
      <c r="N809" s="211" t="s">
        <v>14</v>
      </c>
      <c r="O809" s="211">
        <v>5</v>
      </c>
      <c r="P809" s="211" t="s">
        <v>37</v>
      </c>
      <c r="Q809" s="226" t="s">
        <v>108</v>
      </c>
      <c r="R809" s="218">
        <v>298000</v>
      </c>
      <c r="S809" s="218">
        <f>Product_Name[[#This Row],[Đơn giá
Unit Price]]*Product_Name[[#This Row],[Số lượng
Quantity]]</f>
        <v>1490000</v>
      </c>
      <c r="T809" s="219">
        <v>44984</v>
      </c>
      <c r="U809" s="220">
        <v>44991</v>
      </c>
      <c r="V809" s="221">
        <v>44991</v>
      </c>
      <c r="W809" s="211" t="s">
        <v>2814</v>
      </c>
      <c r="X809" s="211" t="s">
        <v>16</v>
      </c>
      <c r="Y809" s="220">
        <v>44984</v>
      </c>
      <c r="Z809" s="222" t="s">
        <v>2087</v>
      </c>
      <c r="AA809" s="216" t="s">
        <v>2181</v>
      </c>
      <c r="AB809" s="227" t="s">
        <v>110</v>
      </c>
      <c r="AC809" s="295"/>
    </row>
    <row r="810" spans="1:29" s="71" customFormat="1" ht="15.5" x14ac:dyDescent="0.35">
      <c r="A810" s="211">
        <v>9646</v>
      </c>
      <c r="B810" s="214" t="s">
        <v>3538</v>
      </c>
      <c r="C810" s="211">
        <v>13385</v>
      </c>
      <c r="D810" s="215" t="s">
        <v>110</v>
      </c>
      <c r="E810" s="215" t="s">
        <v>110</v>
      </c>
      <c r="F810" s="211" t="s">
        <v>110</v>
      </c>
      <c r="G810" s="211" t="s">
        <v>110</v>
      </c>
      <c r="H810" s="216" t="s">
        <v>3132</v>
      </c>
      <c r="I810" s="217" t="s">
        <v>3133</v>
      </c>
      <c r="J810" s="211" t="s">
        <v>3099</v>
      </c>
      <c r="K810" s="211" t="s">
        <v>3161</v>
      </c>
      <c r="L810" s="211" t="s">
        <v>1751</v>
      </c>
      <c r="M810" s="211" t="s">
        <v>123</v>
      </c>
      <c r="N810" s="212" t="s">
        <v>14</v>
      </c>
      <c r="O810" s="211">
        <v>280</v>
      </c>
      <c r="P810" s="212" t="s">
        <v>1929</v>
      </c>
      <c r="Q810" s="213" t="s">
        <v>108</v>
      </c>
      <c r="R810" s="218">
        <v>15222</v>
      </c>
      <c r="S810" s="218">
        <f>Product_Name[[#This Row],[Đơn giá
Unit Price]]*Product_Name[[#This Row],[Số lượng
Quantity]]</f>
        <v>4262160</v>
      </c>
      <c r="T810" s="219">
        <v>44984</v>
      </c>
      <c r="U810" s="220">
        <v>44991</v>
      </c>
      <c r="V810" s="221">
        <v>45020</v>
      </c>
      <c r="W810" s="211" t="s">
        <v>3198</v>
      </c>
      <c r="X810" s="211" t="s">
        <v>53</v>
      </c>
      <c r="Y810" s="264">
        <v>44984</v>
      </c>
      <c r="Z810" s="222" t="s">
        <v>2087</v>
      </c>
      <c r="AA810" s="216" t="s">
        <v>2647</v>
      </c>
      <c r="AB810" s="227" t="s">
        <v>110</v>
      </c>
      <c r="AC810" s="295"/>
    </row>
    <row r="811" spans="1:29" ht="15.5" x14ac:dyDescent="0.35">
      <c r="A811" s="214">
        <v>9706</v>
      </c>
      <c r="B811" s="211" t="s">
        <v>3386</v>
      </c>
      <c r="C811" s="214">
        <v>13472</v>
      </c>
      <c r="D811" s="215" t="s">
        <v>110</v>
      </c>
      <c r="E811" s="215" t="s">
        <v>110</v>
      </c>
      <c r="F811" s="211" t="s">
        <v>110</v>
      </c>
      <c r="G811" s="211" t="s">
        <v>110</v>
      </c>
      <c r="H811" s="216" t="s">
        <v>3305</v>
      </c>
      <c r="I811" s="217" t="s">
        <v>3304</v>
      </c>
      <c r="J811" s="211">
        <v>701611</v>
      </c>
      <c r="K811" s="211" t="s">
        <v>3301</v>
      </c>
      <c r="L811" s="211" t="s">
        <v>3302</v>
      </c>
      <c r="M811" s="211" t="s">
        <v>123</v>
      </c>
      <c r="N811" s="211" t="s">
        <v>14</v>
      </c>
      <c r="O811" s="211">
        <v>1</v>
      </c>
      <c r="P811" s="211" t="s">
        <v>1124</v>
      </c>
      <c r="Q811" s="213" t="s">
        <v>108</v>
      </c>
      <c r="R811" s="218">
        <v>518450</v>
      </c>
      <c r="S811" s="218">
        <f>Product_Name[[#This Row],[Đơn giá
Unit Price]]*Product_Name[[#This Row],[Số lượng
Quantity]]</f>
        <v>518450</v>
      </c>
      <c r="T811" s="219">
        <v>44988</v>
      </c>
      <c r="U811" s="220">
        <v>44994</v>
      </c>
      <c r="V811" s="221">
        <v>44994</v>
      </c>
      <c r="W811" s="211" t="s">
        <v>3303</v>
      </c>
      <c r="X811" s="211" t="s">
        <v>54</v>
      </c>
      <c r="Y811" s="220">
        <v>44985</v>
      </c>
      <c r="Z811" s="216" t="s">
        <v>328</v>
      </c>
      <c r="AA811" s="216" t="s">
        <v>2181</v>
      </c>
      <c r="AB811" s="227" t="s">
        <v>110</v>
      </c>
      <c r="AC811" s="295"/>
    </row>
    <row r="812" spans="1:29" s="71" customFormat="1" ht="31" x14ac:dyDescent="0.35">
      <c r="A812" s="211">
        <v>10471</v>
      </c>
      <c r="B812" s="214"/>
      <c r="C812" s="211">
        <v>15160</v>
      </c>
      <c r="D812" s="215" t="s">
        <v>110</v>
      </c>
      <c r="E812" s="215" t="s">
        <v>110</v>
      </c>
      <c r="F812" s="211" t="s">
        <v>110</v>
      </c>
      <c r="G812" s="211" t="s">
        <v>110</v>
      </c>
      <c r="H812" s="216" t="s">
        <v>3309</v>
      </c>
      <c r="I812" s="217" t="s">
        <v>3307</v>
      </c>
      <c r="J812" s="211" t="s">
        <v>3643</v>
      </c>
      <c r="K812" s="211" t="s">
        <v>3611</v>
      </c>
      <c r="L812" s="211" t="s">
        <v>99</v>
      </c>
      <c r="M812" s="211" t="s">
        <v>123</v>
      </c>
      <c r="N812" s="211" t="s">
        <v>14</v>
      </c>
      <c r="O812" s="211">
        <v>2</v>
      </c>
      <c r="P812" s="212" t="s">
        <v>107</v>
      </c>
      <c r="Q812" s="213" t="s">
        <v>108</v>
      </c>
      <c r="R812" s="218">
        <v>959000</v>
      </c>
      <c r="S812" s="218">
        <f>Product_Name[[#This Row],[Đơn giá
Unit Price]]*Product_Name[[#This Row],[Số lượng
Quantity]]</f>
        <v>1918000</v>
      </c>
      <c r="T812" s="219">
        <v>45036</v>
      </c>
      <c r="U812" s="220">
        <v>45054</v>
      </c>
      <c r="V812" s="221"/>
      <c r="W812" s="211" t="s">
        <v>2814</v>
      </c>
      <c r="X812" s="211" t="s">
        <v>53</v>
      </c>
      <c r="Y812" s="264" t="s">
        <v>3310</v>
      </c>
      <c r="Z812" s="222" t="s">
        <v>2087</v>
      </c>
      <c r="AA812" s="216" t="s">
        <v>2647</v>
      </c>
      <c r="AB812" s="227"/>
      <c r="AC812" s="295"/>
    </row>
    <row r="813" spans="1:29" s="71" customFormat="1" ht="31" x14ac:dyDescent="0.35">
      <c r="A813" s="211">
        <v>10471</v>
      </c>
      <c r="B813" s="214"/>
      <c r="C813" s="211">
        <v>15160</v>
      </c>
      <c r="D813" s="215" t="s">
        <v>110</v>
      </c>
      <c r="E813" s="215" t="s">
        <v>110</v>
      </c>
      <c r="F813" s="211" t="s">
        <v>110</v>
      </c>
      <c r="G813" s="211" t="s">
        <v>110</v>
      </c>
      <c r="H813" s="216" t="s">
        <v>3309</v>
      </c>
      <c r="I813" s="217" t="s">
        <v>3308</v>
      </c>
      <c r="J813" s="211" t="s">
        <v>3306</v>
      </c>
      <c r="K813" s="211" t="s">
        <v>3611</v>
      </c>
      <c r="L813" s="211" t="s">
        <v>99</v>
      </c>
      <c r="M813" s="211" t="s">
        <v>123</v>
      </c>
      <c r="N813" s="211" t="s">
        <v>14</v>
      </c>
      <c r="O813" s="211">
        <v>2</v>
      </c>
      <c r="P813" s="212" t="s">
        <v>107</v>
      </c>
      <c r="Q813" s="213" t="s">
        <v>108</v>
      </c>
      <c r="R813" s="218">
        <v>915000</v>
      </c>
      <c r="S813" s="218">
        <f>Product_Name[[#This Row],[Đơn giá
Unit Price]]*Product_Name[[#This Row],[Số lượng
Quantity]]</f>
        <v>1830000</v>
      </c>
      <c r="T813" s="219">
        <v>45036</v>
      </c>
      <c r="U813" s="220">
        <v>45054</v>
      </c>
      <c r="V813" s="221"/>
      <c r="W813" s="211" t="s">
        <v>2814</v>
      </c>
      <c r="X813" s="211" t="s">
        <v>53</v>
      </c>
      <c r="Y813" s="264" t="s">
        <v>3310</v>
      </c>
      <c r="Z813" s="222" t="s">
        <v>2087</v>
      </c>
      <c r="AA813" s="216" t="s">
        <v>2647</v>
      </c>
      <c r="AB813" s="227"/>
      <c r="AC813" s="295"/>
    </row>
    <row r="814" spans="1:29" ht="15.5" x14ac:dyDescent="0.35">
      <c r="A814" s="211" t="s">
        <v>110</v>
      </c>
      <c r="B814" s="214"/>
      <c r="C814" s="211" t="s">
        <v>110</v>
      </c>
      <c r="D814" s="215">
        <v>4804</v>
      </c>
      <c r="E814" s="215">
        <v>10109</v>
      </c>
      <c r="F814" s="211" t="s">
        <v>3430</v>
      </c>
      <c r="G814" s="211" t="s">
        <v>3472</v>
      </c>
      <c r="H814" s="216" t="s">
        <v>2256</v>
      </c>
      <c r="I814" s="217" t="s">
        <v>1060</v>
      </c>
      <c r="J814" s="211" t="s">
        <v>2255</v>
      </c>
      <c r="K814" s="211" t="s">
        <v>2532</v>
      </c>
      <c r="L814" s="211" t="s">
        <v>2532</v>
      </c>
      <c r="M814" s="211" t="s">
        <v>63</v>
      </c>
      <c r="N814" s="211" t="s">
        <v>642</v>
      </c>
      <c r="O814" s="211">
        <v>1</v>
      </c>
      <c r="P814" s="211" t="s">
        <v>276</v>
      </c>
      <c r="Q814" s="226" t="s">
        <v>108</v>
      </c>
      <c r="R814" s="218">
        <v>150000000</v>
      </c>
      <c r="S814" s="229">
        <f>R814*O814</f>
        <v>150000000</v>
      </c>
      <c r="T814" s="219">
        <v>45008</v>
      </c>
      <c r="U814" s="220">
        <v>45050</v>
      </c>
      <c r="V814" s="221"/>
      <c r="W814" s="211" t="s">
        <v>2813</v>
      </c>
      <c r="X814" s="211" t="s">
        <v>16</v>
      </c>
      <c r="Y814" s="220">
        <v>44986</v>
      </c>
      <c r="Z814" s="293" t="s">
        <v>3530</v>
      </c>
      <c r="AA814" s="216" t="s">
        <v>2647</v>
      </c>
      <c r="AB814" s="227">
        <v>45000</v>
      </c>
      <c r="AC814" s="295"/>
    </row>
    <row r="815" spans="1:29" s="71" customFormat="1" ht="15.5" x14ac:dyDescent="0.35">
      <c r="A815" s="211">
        <v>9678</v>
      </c>
      <c r="B815" s="214" t="s">
        <v>3492</v>
      </c>
      <c r="C815" s="211">
        <v>13473</v>
      </c>
      <c r="D815" s="215" t="s">
        <v>110</v>
      </c>
      <c r="E815" s="215" t="s">
        <v>110</v>
      </c>
      <c r="F815" s="211" t="s">
        <v>110</v>
      </c>
      <c r="G815" s="211" t="s">
        <v>110</v>
      </c>
      <c r="H815" s="216" t="s">
        <v>3132</v>
      </c>
      <c r="I815" s="217" t="s">
        <v>3134</v>
      </c>
      <c r="J815" s="211" t="s">
        <v>3100</v>
      </c>
      <c r="K815" s="211" t="s">
        <v>3161</v>
      </c>
      <c r="L815" s="211" t="s">
        <v>1751</v>
      </c>
      <c r="M815" s="211" t="s">
        <v>123</v>
      </c>
      <c r="N815" s="212" t="s">
        <v>14</v>
      </c>
      <c r="O815" s="211">
        <v>60</v>
      </c>
      <c r="P815" s="212" t="s">
        <v>1929</v>
      </c>
      <c r="Q815" s="213" t="s">
        <v>108</v>
      </c>
      <c r="R815" s="218">
        <v>20650</v>
      </c>
      <c r="S815" s="218">
        <f>Product_Name[[#This Row],[Đơn giá
Unit Price]]*Product_Name[[#This Row],[Số lượng
Quantity]]</f>
        <v>1239000</v>
      </c>
      <c r="T815" s="219">
        <v>44988</v>
      </c>
      <c r="U815" s="220">
        <v>44998</v>
      </c>
      <c r="V815" s="221">
        <v>45009</v>
      </c>
      <c r="W815" s="211" t="s">
        <v>3198</v>
      </c>
      <c r="X815" s="211" t="s">
        <v>53</v>
      </c>
      <c r="Y815" s="220">
        <v>44986</v>
      </c>
      <c r="Z815" s="222" t="s">
        <v>2087</v>
      </c>
      <c r="AA815" s="216" t="s">
        <v>2647</v>
      </c>
      <c r="AB815" s="227" t="s">
        <v>110</v>
      </c>
      <c r="AC815" s="295"/>
    </row>
    <row r="816" spans="1:29" s="71" customFormat="1" ht="15.5" x14ac:dyDescent="0.35">
      <c r="A816" s="211">
        <v>9678</v>
      </c>
      <c r="B816" s="214" t="s">
        <v>3492</v>
      </c>
      <c r="C816" s="211">
        <v>13473</v>
      </c>
      <c r="D816" s="215" t="s">
        <v>110</v>
      </c>
      <c r="E816" s="215" t="s">
        <v>110</v>
      </c>
      <c r="F816" s="211" t="s">
        <v>110</v>
      </c>
      <c r="G816" s="211" t="s">
        <v>110</v>
      </c>
      <c r="H816" s="216" t="s">
        <v>3132</v>
      </c>
      <c r="I816" s="217" t="s">
        <v>3135</v>
      </c>
      <c r="J816" s="211" t="s">
        <v>3101</v>
      </c>
      <c r="K816" s="211" t="s">
        <v>3161</v>
      </c>
      <c r="L816" s="211" t="s">
        <v>1751</v>
      </c>
      <c r="M816" s="211" t="s">
        <v>123</v>
      </c>
      <c r="N816" s="212" t="s">
        <v>14</v>
      </c>
      <c r="O816" s="211">
        <v>50</v>
      </c>
      <c r="P816" s="212" t="s">
        <v>1929</v>
      </c>
      <c r="Q816" s="213" t="s">
        <v>108</v>
      </c>
      <c r="R816" s="218">
        <v>26904</v>
      </c>
      <c r="S816" s="218">
        <f>Product_Name[[#This Row],[Đơn giá
Unit Price]]*Product_Name[[#This Row],[Số lượng
Quantity]]</f>
        <v>1345200</v>
      </c>
      <c r="T816" s="219">
        <v>44988</v>
      </c>
      <c r="U816" s="220">
        <v>44998</v>
      </c>
      <c r="V816" s="221">
        <v>45009</v>
      </c>
      <c r="W816" s="211" t="s">
        <v>3198</v>
      </c>
      <c r="X816" s="211" t="s">
        <v>53</v>
      </c>
      <c r="Y816" s="220">
        <v>44986</v>
      </c>
      <c r="Z816" s="222" t="s">
        <v>2087</v>
      </c>
      <c r="AA816" s="216" t="s">
        <v>2647</v>
      </c>
      <c r="AB816" s="227" t="s">
        <v>110</v>
      </c>
      <c r="AC816" s="295"/>
    </row>
    <row r="817" spans="1:29" s="71" customFormat="1" ht="15.5" x14ac:dyDescent="0.35">
      <c r="A817" s="211">
        <v>9678</v>
      </c>
      <c r="B817" s="214" t="s">
        <v>3492</v>
      </c>
      <c r="C817" s="211">
        <v>13473</v>
      </c>
      <c r="D817" s="215" t="s">
        <v>110</v>
      </c>
      <c r="E817" s="215" t="s">
        <v>110</v>
      </c>
      <c r="F817" s="211" t="s">
        <v>110</v>
      </c>
      <c r="G817" s="211" t="s">
        <v>110</v>
      </c>
      <c r="H817" s="216" t="s">
        <v>3132</v>
      </c>
      <c r="I817" s="217" t="s">
        <v>3136</v>
      </c>
      <c r="J817" s="211" t="s">
        <v>3102</v>
      </c>
      <c r="K817" s="211" t="s">
        <v>3161</v>
      </c>
      <c r="L817" s="211" t="s">
        <v>1751</v>
      </c>
      <c r="M817" s="211" t="s">
        <v>123</v>
      </c>
      <c r="N817" s="212" t="s">
        <v>14</v>
      </c>
      <c r="O817" s="211">
        <v>70</v>
      </c>
      <c r="P817" s="212" t="s">
        <v>1929</v>
      </c>
      <c r="Q817" s="213" t="s">
        <v>108</v>
      </c>
      <c r="R817" s="218">
        <v>47436</v>
      </c>
      <c r="S817" s="218">
        <f>Product_Name[[#This Row],[Đơn giá
Unit Price]]*Product_Name[[#This Row],[Số lượng
Quantity]]</f>
        <v>3320520</v>
      </c>
      <c r="T817" s="219">
        <v>44988</v>
      </c>
      <c r="U817" s="220">
        <v>44998</v>
      </c>
      <c r="V817" s="221">
        <v>45009</v>
      </c>
      <c r="W817" s="211" t="s">
        <v>3198</v>
      </c>
      <c r="X817" s="211" t="s">
        <v>53</v>
      </c>
      <c r="Y817" s="220">
        <v>44986</v>
      </c>
      <c r="Z817" s="222" t="s">
        <v>2087</v>
      </c>
      <c r="AA817" s="216" t="s">
        <v>2647</v>
      </c>
      <c r="AB817" s="227" t="s">
        <v>110</v>
      </c>
      <c r="AC817" s="295"/>
    </row>
    <row r="818" spans="1:29" s="71" customFormat="1" ht="15.5" x14ac:dyDescent="0.35">
      <c r="A818" s="211">
        <v>9678</v>
      </c>
      <c r="B818" s="214" t="s">
        <v>3492</v>
      </c>
      <c r="C818" s="211">
        <v>13473</v>
      </c>
      <c r="D818" s="215" t="s">
        <v>110</v>
      </c>
      <c r="E818" s="215" t="s">
        <v>110</v>
      </c>
      <c r="F818" s="211" t="s">
        <v>110</v>
      </c>
      <c r="G818" s="211" t="s">
        <v>110</v>
      </c>
      <c r="H818" s="216" t="s">
        <v>3132</v>
      </c>
      <c r="I818" s="217" t="s">
        <v>3137</v>
      </c>
      <c r="J818" s="211" t="s">
        <v>3103</v>
      </c>
      <c r="K818" s="211" t="s">
        <v>3161</v>
      </c>
      <c r="L818" s="211" t="s">
        <v>1751</v>
      </c>
      <c r="M818" s="211" t="s">
        <v>123</v>
      </c>
      <c r="N818" s="212" t="s">
        <v>14</v>
      </c>
      <c r="O818" s="211">
        <v>70</v>
      </c>
      <c r="P818" s="212" t="s">
        <v>1929</v>
      </c>
      <c r="Q818" s="213" t="s">
        <v>108</v>
      </c>
      <c r="R818" s="218">
        <v>63602</v>
      </c>
      <c r="S818" s="218">
        <f>Product_Name[[#This Row],[Đơn giá
Unit Price]]*Product_Name[[#This Row],[Số lượng
Quantity]]</f>
        <v>4452140</v>
      </c>
      <c r="T818" s="219">
        <v>44988</v>
      </c>
      <c r="U818" s="220">
        <v>44998</v>
      </c>
      <c r="V818" s="221">
        <v>45009</v>
      </c>
      <c r="W818" s="211" t="s">
        <v>3198</v>
      </c>
      <c r="X818" s="211" t="s">
        <v>53</v>
      </c>
      <c r="Y818" s="220">
        <v>44986</v>
      </c>
      <c r="Z818" s="222" t="s">
        <v>2087</v>
      </c>
      <c r="AA818" s="216" t="s">
        <v>2647</v>
      </c>
      <c r="AB818" s="227" t="s">
        <v>110</v>
      </c>
      <c r="AC818" s="295"/>
    </row>
    <row r="819" spans="1:29" s="71" customFormat="1" ht="15.5" x14ac:dyDescent="0.35">
      <c r="A819" s="211">
        <v>9678</v>
      </c>
      <c r="B819" s="214" t="s">
        <v>3492</v>
      </c>
      <c r="C819" s="211">
        <v>13473</v>
      </c>
      <c r="D819" s="215" t="s">
        <v>110</v>
      </c>
      <c r="E819" s="215" t="s">
        <v>110</v>
      </c>
      <c r="F819" s="211" t="s">
        <v>110</v>
      </c>
      <c r="G819" s="211" t="s">
        <v>110</v>
      </c>
      <c r="H819" s="216" t="s">
        <v>3132</v>
      </c>
      <c r="I819" s="217" t="s">
        <v>3138</v>
      </c>
      <c r="J819" s="211" t="s">
        <v>3104</v>
      </c>
      <c r="K819" s="211" t="s">
        <v>3161</v>
      </c>
      <c r="L819" s="211" t="s">
        <v>1751</v>
      </c>
      <c r="M819" s="211" t="s">
        <v>123</v>
      </c>
      <c r="N819" s="212" t="s">
        <v>14</v>
      </c>
      <c r="O819" s="211">
        <v>50</v>
      </c>
      <c r="P819" s="212" t="s">
        <v>1929</v>
      </c>
      <c r="Q819" s="213" t="s">
        <v>108</v>
      </c>
      <c r="R819" s="218">
        <v>96642</v>
      </c>
      <c r="S819" s="218">
        <f>Product_Name[[#This Row],[Đơn giá
Unit Price]]*Product_Name[[#This Row],[Số lượng
Quantity]]</f>
        <v>4832100</v>
      </c>
      <c r="T819" s="219">
        <v>44988</v>
      </c>
      <c r="U819" s="220">
        <v>44998</v>
      </c>
      <c r="V819" s="221">
        <v>45009</v>
      </c>
      <c r="W819" s="211" t="s">
        <v>3198</v>
      </c>
      <c r="X819" s="211" t="s">
        <v>53</v>
      </c>
      <c r="Y819" s="220">
        <v>44986</v>
      </c>
      <c r="Z819" s="222" t="s">
        <v>2087</v>
      </c>
      <c r="AA819" s="216" t="s">
        <v>2647</v>
      </c>
      <c r="AB819" s="227" t="s">
        <v>110</v>
      </c>
      <c r="AC819" s="295"/>
    </row>
    <row r="820" spans="1:29" s="71" customFormat="1" ht="15.5" x14ac:dyDescent="0.35">
      <c r="A820" s="211">
        <v>9678</v>
      </c>
      <c r="B820" s="214" t="s">
        <v>3492</v>
      </c>
      <c r="C820" s="211">
        <v>13473</v>
      </c>
      <c r="D820" s="215" t="s">
        <v>110</v>
      </c>
      <c r="E820" s="215" t="s">
        <v>110</v>
      </c>
      <c r="F820" s="211" t="s">
        <v>110</v>
      </c>
      <c r="G820" s="211" t="s">
        <v>110</v>
      </c>
      <c r="H820" s="216" t="s">
        <v>3139</v>
      </c>
      <c r="I820" s="217" t="s">
        <v>3140</v>
      </c>
      <c r="J820" s="211" t="s">
        <v>3105</v>
      </c>
      <c r="K820" s="211" t="s">
        <v>3161</v>
      </c>
      <c r="L820" s="211" t="s">
        <v>1751</v>
      </c>
      <c r="M820" s="211" t="s">
        <v>123</v>
      </c>
      <c r="N820" s="212" t="s">
        <v>14</v>
      </c>
      <c r="O820" s="211">
        <v>50</v>
      </c>
      <c r="P820" s="212" t="s">
        <v>1929</v>
      </c>
      <c r="Q820" s="213" t="s">
        <v>108</v>
      </c>
      <c r="R820" s="218">
        <v>254172</v>
      </c>
      <c r="S820" s="218">
        <f>Product_Name[[#This Row],[Đơn giá
Unit Price]]*Product_Name[[#This Row],[Số lượng
Quantity]]</f>
        <v>12708600</v>
      </c>
      <c r="T820" s="219">
        <v>44988</v>
      </c>
      <c r="U820" s="220">
        <v>44998</v>
      </c>
      <c r="V820" s="221">
        <v>45009</v>
      </c>
      <c r="W820" s="211" t="s">
        <v>3198</v>
      </c>
      <c r="X820" s="211" t="s">
        <v>53</v>
      </c>
      <c r="Y820" s="220">
        <v>44986</v>
      </c>
      <c r="Z820" s="222" t="s">
        <v>2087</v>
      </c>
      <c r="AA820" s="216" t="s">
        <v>2647</v>
      </c>
      <c r="AB820" s="227" t="s">
        <v>110</v>
      </c>
      <c r="AC820" s="295"/>
    </row>
    <row r="821" spans="1:29" s="71" customFormat="1" ht="31" x14ac:dyDescent="0.35">
      <c r="A821" s="211">
        <v>9815</v>
      </c>
      <c r="B821" s="214" t="s">
        <v>3645</v>
      </c>
      <c r="C821" s="211">
        <v>13703</v>
      </c>
      <c r="D821" s="215" t="s">
        <v>110</v>
      </c>
      <c r="E821" s="215" t="s">
        <v>110</v>
      </c>
      <c r="F821" s="211" t="s">
        <v>110</v>
      </c>
      <c r="G821" s="211" t="s">
        <v>110</v>
      </c>
      <c r="H821" s="216" t="s">
        <v>3318</v>
      </c>
      <c r="I821" s="217" t="s">
        <v>3384</v>
      </c>
      <c r="J821" s="211" t="s">
        <v>3316</v>
      </c>
      <c r="K821" s="211" t="s">
        <v>3336</v>
      </c>
      <c r="L821" s="211" t="s">
        <v>1663</v>
      </c>
      <c r="M821" s="211" t="s">
        <v>123</v>
      </c>
      <c r="N821" s="211" t="s">
        <v>14</v>
      </c>
      <c r="O821" s="211">
        <v>300</v>
      </c>
      <c r="P821" s="212" t="s">
        <v>1929</v>
      </c>
      <c r="Q821" s="213" t="s">
        <v>108</v>
      </c>
      <c r="R821" s="218">
        <v>55200</v>
      </c>
      <c r="S821" s="218">
        <f>Product_Name[[#This Row],[Đơn giá
Unit Price]]*Product_Name[[#This Row],[Số lượng
Quantity]]</f>
        <v>16560000</v>
      </c>
      <c r="T821" s="219">
        <v>44994</v>
      </c>
      <c r="U821" s="220">
        <v>45030</v>
      </c>
      <c r="V821" s="221">
        <v>45034</v>
      </c>
      <c r="W821" s="211" t="s">
        <v>2814</v>
      </c>
      <c r="X821" s="211" t="s">
        <v>53</v>
      </c>
      <c r="Y821" s="264" t="s">
        <v>3330</v>
      </c>
      <c r="Z821" s="222" t="s">
        <v>2087</v>
      </c>
      <c r="AA821" s="216" t="s">
        <v>2647</v>
      </c>
      <c r="AB821" s="227" t="s">
        <v>110</v>
      </c>
      <c r="AC821" s="295"/>
    </row>
    <row r="822" spans="1:29" s="71" customFormat="1" ht="31" x14ac:dyDescent="0.35">
      <c r="A822" s="211">
        <v>9815</v>
      </c>
      <c r="B822" s="214" t="s">
        <v>3648</v>
      </c>
      <c r="C822" s="211">
        <v>13703</v>
      </c>
      <c r="D822" s="215" t="s">
        <v>110</v>
      </c>
      <c r="E822" s="215" t="s">
        <v>110</v>
      </c>
      <c r="F822" s="211" t="s">
        <v>110</v>
      </c>
      <c r="G822" s="211" t="s">
        <v>110</v>
      </c>
      <c r="H822" s="216" t="s">
        <v>3318</v>
      </c>
      <c r="I822" s="217" t="s">
        <v>3384</v>
      </c>
      <c r="J822" s="211" t="s">
        <v>3317</v>
      </c>
      <c r="K822" s="211" t="s">
        <v>3336</v>
      </c>
      <c r="L822" s="211" t="s">
        <v>1663</v>
      </c>
      <c r="M822" s="211" t="s">
        <v>123</v>
      </c>
      <c r="N822" s="211" t="s">
        <v>14</v>
      </c>
      <c r="O822" s="211">
        <v>50</v>
      </c>
      <c r="P822" s="212" t="s">
        <v>1929</v>
      </c>
      <c r="Q822" s="213" t="s">
        <v>108</v>
      </c>
      <c r="R822" s="218">
        <v>188300</v>
      </c>
      <c r="S822" s="218">
        <f>Product_Name[[#This Row],[Đơn giá
Unit Price]]*Product_Name[[#This Row],[Số lượng
Quantity]]</f>
        <v>9415000</v>
      </c>
      <c r="T822" s="219">
        <v>44994</v>
      </c>
      <c r="U822" s="220">
        <v>45030</v>
      </c>
      <c r="V822" s="221"/>
      <c r="W822" s="211" t="s">
        <v>2814</v>
      </c>
      <c r="X822" s="211" t="s">
        <v>53</v>
      </c>
      <c r="Y822" s="264" t="s">
        <v>3330</v>
      </c>
      <c r="Z822" s="222" t="s">
        <v>2087</v>
      </c>
      <c r="AA822" s="216" t="s">
        <v>2647</v>
      </c>
      <c r="AB822" s="227" t="s">
        <v>110</v>
      </c>
      <c r="AC822" s="295"/>
    </row>
    <row r="823" spans="1:29" s="71" customFormat="1" ht="31" x14ac:dyDescent="0.35">
      <c r="A823" s="211">
        <v>9815</v>
      </c>
      <c r="B823" s="214" t="s">
        <v>3649</v>
      </c>
      <c r="C823" s="211">
        <v>13703</v>
      </c>
      <c r="D823" s="215" t="s">
        <v>110</v>
      </c>
      <c r="E823" s="215" t="s">
        <v>110</v>
      </c>
      <c r="F823" s="211" t="s">
        <v>110</v>
      </c>
      <c r="G823" s="211" t="s">
        <v>110</v>
      </c>
      <c r="H823" s="216" t="s">
        <v>3318</v>
      </c>
      <c r="I823" s="217" t="s">
        <v>3384</v>
      </c>
      <c r="J823" s="211" t="s">
        <v>3385</v>
      </c>
      <c r="K823" s="211" t="s">
        <v>3336</v>
      </c>
      <c r="L823" s="211" t="s">
        <v>1663</v>
      </c>
      <c r="M823" s="211" t="s">
        <v>123</v>
      </c>
      <c r="N823" s="211" t="s">
        <v>14</v>
      </c>
      <c r="O823" s="211">
        <v>30</v>
      </c>
      <c r="P823" s="212" t="s">
        <v>1929</v>
      </c>
      <c r="Q823" s="213" t="s">
        <v>108</v>
      </c>
      <c r="R823" s="218">
        <v>2510600</v>
      </c>
      <c r="S823" s="218">
        <f>Product_Name[[#This Row],[Đơn giá
Unit Price]]*Product_Name[[#This Row],[Số lượng
Quantity]]</f>
        <v>75318000</v>
      </c>
      <c r="T823" s="219">
        <v>44994</v>
      </c>
      <c r="U823" s="220">
        <v>45030</v>
      </c>
      <c r="V823" s="221"/>
      <c r="W823" s="211" t="s">
        <v>2814</v>
      </c>
      <c r="X823" s="211" t="s">
        <v>53</v>
      </c>
      <c r="Y823" s="264" t="s">
        <v>3330</v>
      </c>
      <c r="Z823" s="222" t="s">
        <v>2087</v>
      </c>
      <c r="AA823" s="216" t="s">
        <v>2647</v>
      </c>
      <c r="AB823" s="227" t="s">
        <v>110</v>
      </c>
      <c r="AC823" s="295"/>
    </row>
    <row r="824" spans="1:29" ht="15.5" x14ac:dyDescent="0.35">
      <c r="A824" s="211">
        <v>9707</v>
      </c>
      <c r="B824" s="214" t="s">
        <v>3442</v>
      </c>
      <c r="C824" s="211">
        <v>13512</v>
      </c>
      <c r="D824" s="215" t="s">
        <v>110</v>
      </c>
      <c r="E824" s="215" t="s">
        <v>110</v>
      </c>
      <c r="F824" s="211" t="s">
        <v>110</v>
      </c>
      <c r="G824" s="211" t="s">
        <v>110</v>
      </c>
      <c r="H824" s="216" t="s">
        <v>1019</v>
      </c>
      <c r="I824" s="217" t="s">
        <v>1020</v>
      </c>
      <c r="J824" s="211" t="s">
        <v>1235</v>
      </c>
      <c r="K824" s="211" t="s">
        <v>1237</v>
      </c>
      <c r="L824" s="211" t="s">
        <v>1238</v>
      </c>
      <c r="M824" s="211" t="s">
        <v>795</v>
      </c>
      <c r="N824" s="211" t="s">
        <v>14</v>
      </c>
      <c r="O824" s="211">
        <v>54</v>
      </c>
      <c r="P824" s="211" t="s">
        <v>1015</v>
      </c>
      <c r="Q824" s="213" t="s">
        <v>108</v>
      </c>
      <c r="R824" s="218">
        <v>814800</v>
      </c>
      <c r="S824" s="218">
        <f>Product_Name[[#This Row],[Đơn giá
Unit Price]]*Product_Name[[#This Row],[Số lượng
Quantity]]</f>
        <v>43999200</v>
      </c>
      <c r="T824" s="219">
        <v>44989</v>
      </c>
      <c r="U824" s="220">
        <v>45002</v>
      </c>
      <c r="V824" s="221">
        <v>45002</v>
      </c>
      <c r="W824" s="214" t="s">
        <v>2577</v>
      </c>
      <c r="X824" s="211" t="s">
        <v>16</v>
      </c>
      <c r="Y824" s="220">
        <v>44988</v>
      </c>
      <c r="Z824" s="222" t="s">
        <v>2087</v>
      </c>
      <c r="AA824" s="216"/>
      <c r="AB824" s="227"/>
      <c r="AC824" s="295"/>
    </row>
    <row r="825" spans="1:29" ht="31" x14ac:dyDescent="0.35">
      <c r="A825" s="211">
        <v>9814</v>
      </c>
      <c r="B825" s="214" t="s">
        <v>3677</v>
      </c>
      <c r="C825" s="211">
        <v>13638</v>
      </c>
      <c r="D825" s="215" t="s">
        <v>110</v>
      </c>
      <c r="E825" s="215" t="s">
        <v>110</v>
      </c>
      <c r="F825" s="211" t="s">
        <v>110</v>
      </c>
      <c r="G825" s="211" t="s">
        <v>110</v>
      </c>
      <c r="H825" s="216" t="s">
        <v>3318</v>
      </c>
      <c r="I825" s="217" t="s">
        <v>3319</v>
      </c>
      <c r="J825" s="211" t="s">
        <v>3335</v>
      </c>
      <c r="K825" s="211" t="s">
        <v>3336</v>
      </c>
      <c r="L825" s="211" t="s">
        <v>3605</v>
      </c>
      <c r="M825" s="211" t="s">
        <v>123</v>
      </c>
      <c r="N825" s="211" t="s">
        <v>14</v>
      </c>
      <c r="O825" s="211">
        <v>200</v>
      </c>
      <c r="P825" s="211" t="s">
        <v>1929</v>
      </c>
      <c r="Q825" s="213" t="s">
        <v>108</v>
      </c>
      <c r="R825" s="218">
        <v>129106</v>
      </c>
      <c r="S825" s="218">
        <f>Product_Name[[#This Row],[Đơn giá
Unit Price]]*Product_Name[[#This Row],[Số lượng
Quantity]]</f>
        <v>25821200</v>
      </c>
      <c r="T825" s="219">
        <v>44993</v>
      </c>
      <c r="U825" s="220">
        <v>45017</v>
      </c>
      <c r="V825" s="221">
        <v>45043</v>
      </c>
      <c r="W825" s="211" t="s">
        <v>2814</v>
      </c>
      <c r="X825" s="211" t="s">
        <v>53</v>
      </c>
      <c r="Y825" s="264" t="s">
        <v>3347</v>
      </c>
      <c r="Z825" s="222"/>
      <c r="AA825" s="216" t="s">
        <v>2647</v>
      </c>
      <c r="AB825" s="227"/>
      <c r="AC825" s="295"/>
    </row>
    <row r="826" spans="1:29" ht="31" x14ac:dyDescent="0.35">
      <c r="A826" s="211" t="s">
        <v>110</v>
      </c>
      <c r="B826" s="214" t="s">
        <v>3573</v>
      </c>
      <c r="C826" s="211" t="s">
        <v>110</v>
      </c>
      <c r="D826" s="215">
        <v>4823</v>
      </c>
      <c r="E826" s="215">
        <v>10138</v>
      </c>
      <c r="F826" s="211" t="s">
        <v>3426</v>
      </c>
      <c r="G826" s="211" t="s">
        <v>3499</v>
      </c>
      <c r="H826" s="216" t="s">
        <v>3343</v>
      </c>
      <c r="I826" s="217" t="s">
        <v>3341</v>
      </c>
      <c r="J826" s="211" t="s">
        <v>3340</v>
      </c>
      <c r="K826" s="211" t="s">
        <v>2061</v>
      </c>
      <c r="L826" s="211" t="s">
        <v>102</v>
      </c>
      <c r="M826" s="211" t="s">
        <v>796</v>
      </c>
      <c r="N826" s="211" t="s">
        <v>3238</v>
      </c>
      <c r="O826" s="211">
        <v>2</v>
      </c>
      <c r="P826" s="211" t="s">
        <v>276</v>
      </c>
      <c r="Q826" s="213" t="s">
        <v>108</v>
      </c>
      <c r="R826" s="218">
        <v>2122000</v>
      </c>
      <c r="S826" s="218">
        <f>Product_Name[[#This Row],[Đơn giá
Unit Price]]*Product_Name[[#This Row],[Số lượng
Quantity]]</f>
        <v>4244000</v>
      </c>
      <c r="T826" s="219">
        <v>44984</v>
      </c>
      <c r="U826" s="220">
        <v>45066</v>
      </c>
      <c r="V826" s="221">
        <v>45027</v>
      </c>
      <c r="W826" s="211" t="s">
        <v>3419</v>
      </c>
      <c r="X826" s="211" t="s">
        <v>3342</v>
      </c>
      <c r="Y826" s="264" t="s">
        <v>3348</v>
      </c>
      <c r="Z826" s="222"/>
      <c r="AA826" s="216" t="s">
        <v>2647</v>
      </c>
      <c r="AB826" s="227">
        <v>44999</v>
      </c>
      <c r="AC826" s="295"/>
    </row>
    <row r="827" spans="1:29" ht="31" x14ac:dyDescent="0.35">
      <c r="A827" s="211">
        <v>10057</v>
      </c>
      <c r="B827" s="214" t="s">
        <v>3531</v>
      </c>
      <c r="C827" s="211">
        <v>14080</v>
      </c>
      <c r="D827" s="215" t="s">
        <v>110</v>
      </c>
      <c r="E827" s="215" t="s">
        <v>110</v>
      </c>
      <c r="F827" s="211" t="s">
        <v>110</v>
      </c>
      <c r="G827" s="211" t="s">
        <v>110</v>
      </c>
      <c r="H827" s="216" t="s">
        <v>3344</v>
      </c>
      <c r="I827" s="217" t="s">
        <v>3345</v>
      </c>
      <c r="J827" s="211" t="s">
        <v>3489</v>
      </c>
      <c r="K827" s="211" t="s">
        <v>3488</v>
      </c>
      <c r="L827" s="211" t="s">
        <v>3488</v>
      </c>
      <c r="M827" s="211" t="s">
        <v>123</v>
      </c>
      <c r="N827" s="211" t="s">
        <v>14</v>
      </c>
      <c r="O827" s="211">
        <v>5</v>
      </c>
      <c r="P827" s="211" t="s">
        <v>44</v>
      </c>
      <c r="Q827" s="213" t="s">
        <v>108</v>
      </c>
      <c r="R827" s="218">
        <v>50000</v>
      </c>
      <c r="S827" s="218">
        <f>Product_Name[[#This Row],[Đơn giá
Unit Price]]*Product_Name[[#This Row],[Số lượng
Quantity]]</f>
        <v>250000</v>
      </c>
      <c r="T827" s="219">
        <v>45007</v>
      </c>
      <c r="U827" s="220">
        <v>45019</v>
      </c>
      <c r="V827" s="221">
        <v>45019</v>
      </c>
      <c r="W827" s="219" t="s">
        <v>3552</v>
      </c>
      <c r="X827" s="211" t="s">
        <v>3346</v>
      </c>
      <c r="Y827" s="264" t="s">
        <v>3349</v>
      </c>
      <c r="Z827" s="222"/>
      <c r="AA827" s="216" t="s">
        <v>3013</v>
      </c>
      <c r="AB827" s="227"/>
      <c r="AC827" s="295"/>
    </row>
    <row r="828" spans="1:29" ht="31" x14ac:dyDescent="0.35">
      <c r="A828" s="211" t="s">
        <v>110</v>
      </c>
      <c r="B828" s="214" t="s">
        <v>3647</v>
      </c>
      <c r="C828" s="211" t="s">
        <v>110</v>
      </c>
      <c r="D828" s="215">
        <v>4891</v>
      </c>
      <c r="E828" s="215">
        <v>10257</v>
      </c>
      <c r="F828" s="211" t="s">
        <v>3526</v>
      </c>
      <c r="G828" s="211" t="s">
        <v>3553</v>
      </c>
      <c r="H828" s="216" t="s">
        <v>3555</v>
      </c>
      <c r="I828" s="217" t="s">
        <v>3359</v>
      </c>
      <c r="J828" s="211" t="s">
        <v>3358</v>
      </c>
      <c r="K828" s="211" t="s">
        <v>1810</v>
      </c>
      <c r="L828" s="211" t="s">
        <v>733</v>
      </c>
      <c r="M828" s="211" t="s">
        <v>796</v>
      </c>
      <c r="N828" s="211" t="s">
        <v>3238</v>
      </c>
      <c r="O828" s="211">
        <v>1</v>
      </c>
      <c r="P828" s="211" t="s">
        <v>276</v>
      </c>
      <c r="Q828" s="213" t="s">
        <v>108</v>
      </c>
      <c r="R828" s="218">
        <v>3490000</v>
      </c>
      <c r="S828" s="218">
        <f>Product_Name[[#This Row],[Đơn giá
Unit Price]]*Product_Name[[#This Row],[Số lượng
Quantity]]</f>
        <v>3490000</v>
      </c>
      <c r="T828" s="219">
        <v>45022</v>
      </c>
      <c r="U828" s="220">
        <v>45036</v>
      </c>
      <c r="V828" s="221">
        <v>45037</v>
      </c>
      <c r="W828" s="211" t="s">
        <v>2814</v>
      </c>
      <c r="X828" s="211" t="s">
        <v>16</v>
      </c>
      <c r="Y828" s="264" t="s">
        <v>3357</v>
      </c>
      <c r="Z828" s="222"/>
      <c r="AA828" s="216" t="s">
        <v>3360</v>
      </c>
      <c r="AB828" s="227">
        <v>45019</v>
      </c>
      <c r="AC828" s="295"/>
    </row>
    <row r="829" spans="1:29" ht="31" x14ac:dyDescent="0.35">
      <c r="A829" s="211" t="s">
        <v>110</v>
      </c>
      <c r="B829" s="214" t="s">
        <v>3647</v>
      </c>
      <c r="C829" s="211" t="s">
        <v>110</v>
      </c>
      <c r="D829" s="215">
        <v>4891</v>
      </c>
      <c r="E829" s="215">
        <v>10257</v>
      </c>
      <c r="F829" s="211" t="s">
        <v>3526</v>
      </c>
      <c r="G829" s="211" t="s">
        <v>3553</v>
      </c>
      <c r="H829" s="216" t="s">
        <v>3528</v>
      </c>
      <c r="I829" s="217" t="s">
        <v>3527</v>
      </c>
      <c r="J829" s="211" t="s">
        <v>3350</v>
      </c>
      <c r="K829" s="211" t="s">
        <v>1810</v>
      </c>
      <c r="L829" s="211" t="s">
        <v>733</v>
      </c>
      <c r="M829" s="211" t="s">
        <v>796</v>
      </c>
      <c r="N829" s="211" t="s">
        <v>3238</v>
      </c>
      <c r="O829" s="211">
        <v>1</v>
      </c>
      <c r="P829" s="211" t="s">
        <v>276</v>
      </c>
      <c r="Q829" s="213" t="s">
        <v>108</v>
      </c>
      <c r="R829" s="218">
        <v>620000</v>
      </c>
      <c r="S829" s="218">
        <f>Product_Name[[#This Row],[Đơn giá
Unit Price]]*Product_Name[[#This Row],[Số lượng
Quantity]]</f>
        <v>620000</v>
      </c>
      <c r="T829" s="219">
        <v>45022</v>
      </c>
      <c r="U829" s="220">
        <v>45036</v>
      </c>
      <c r="V829" s="221">
        <v>45037</v>
      </c>
      <c r="W829" s="211" t="s">
        <v>2814</v>
      </c>
      <c r="X829" s="211" t="s">
        <v>16</v>
      </c>
      <c r="Y829" s="264" t="s">
        <v>3357</v>
      </c>
      <c r="Z829" s="222"/>
      <c r="AA829" s="216" t="s">
        <v>3360</v>
      </c>
      <c r="AB829" s="227">
        <v>45019</v>
      </c>
      <c r="AC829" s="295"/>
    </row>
    <row r="830" spans="1:29" ht="62" x14ac:dyDescent="0.35">
      <c r="A830" s="211" t="s">
        <v>110</v>
      </c>
      <c r="B830" s="223" t="s">
        <v>3682</v>
      </c>
      <c r="C830" s="211" t="s">
        <v>110</v>
      </c>
      <c r="D830" s="292" t="s">
        <v>3513</v>
      </c>
      <c r="E830" s="292" t="s">
        <v>3675</v>
      </c>
      <c r="F830" s="213" t="s">
        <v>3500</v>
      </c>
      <c r="G830" s="213" t="s">
        <v>3544</v>
      </c>
      <c r="H830" s="216" t="s">
        <v>3351</v>
      </c>
      <c r="I830" s="217" t="s">
        <v>3352</v>
      </c>
      <c r="J830" s="211" t="s">
        <v>3237</v>
      </c>
      <c r="K830" s="211" t="s">
        <v>3353</v>
      </c>
      <c r="L830" s="211" t="s">
        <v>3353</v>
      </c>
      <c r="M830" s="211" t="s">
        <v>63</v>
      </c>
      <c r="N830" s="211" t="s">
        <v>642</v>
      </c>
      <c r="O830" s="211" t="s">
        <v>3354</v>
      </c>
      <c r="P830" s="211" t="s">
        <v>44</v>
      </c>
      <c r="Q830" s="213" t="s">
        <v>108</v>
      </c>
      <c r="R830" s="218">
        <v>62000000</v>
      </c>
      <c r="S830" s="218">
        <f>Product_Name[[#This Row],[Đơn giá
Unit Price]]*Product_Name[[#This Row],[Số lượng
Quantity]]</f>
        <v>62000000</v>
      </c>
      <c r="T830" s="219">
        <v>44995</v>
      </c>
      <c r="U830" s="220">
        <v>45026</v>
      </c>
      <c r="V830" s="221">
        <v>45042</v>
      </c>
      <c r="W830" s="211" t="s">
        <v>2814</v>
      </c>
      <c r="X830" s="211" t="s">
        <v>16</v>
      </c>
      <c r="Y830" s="264" t="s">
        <v>3355</v>
      </c>
      <c r="Z830" s="222" t="s">
        <v>2939</v>
      </c>
      <c r="AA830" s="216" t="s">
        <v>3356</v>
      </c>
      <c r="AB830" s="227" t="s">
        <v>3501</v>
      </c>
      <c r="AC830" s="295"/>
    </row>
    <row r="831" spans="1:29" ht="15.5" x14ac:dyDescent="0.35">
      <c r="A831" s="211">
        <v>9835</v>
      </c>
      <c r="B831" s="214" t="s">
        <v>3473</v>
      </c>
      <c r="C831" s="211">
        <v>13705</v>
      </c>
      <c r="D831" s="215" t="s">
        <v>110</v>
      </c>
      <c r="E831" s="215" t="s">
        <v>110</v>
      </c>
      <c r="F831" s="211" t="s">
        <v>110</v>
      </c>
      <c r="G831" s="211" t="s">
        <v>110</v>
      </c>
      <c r="H831" s="216" t="s">
        <v>3362</v>
      </c>
      <c r="I831" s="217" t="s">
        <v>3366</v>
      </c>
      <c r="J831" s="211" t="s">
        <v>3370</v>
      </c>
      <c r="K831" s="211" t="s">
        <v>3374</v>
      </c>
      <c r="L831" s="211" t="s">
        <v>3374</v>
      </c>
      <c r="M831" s="211" t="s">
        <v>795</v>
      </c>
      <c r="N831" s="211" t="s">
        <v>14</v>
      </c>
      <c r="O831" s="211">
        <v>100</v>
      </c>
      <c r="P831" s="211" t="s">
        <v>47</v>
      </c>
      <c r="Q831" s="213" t="s">
        <v>108</v>
      </c>
      <c r="R831" s="218">
        <v>108000</v>
      </c>
      <c r="S831" s="218">
        <f>Product_Name[[#This Row],[Đơn giá
Unit Price]]*Product_Name[[#This Row],[Số lượng
Quantity]]</f>
        <v>10800000</v>
      </c>
      <c r="T831" s="219">
        <v>44994</v>
      </c>
      <c r="U831" s="220">
        <v>45001</v>
      </c>
      <c r="V831" s="221">
        <v>45005</v>
      </c>
      <c r="W831" s="214" t="s">
        <v>1537</v>
      </c>
      <c r="X831" s="211" t="s">
        <v>16</v>
      </c>
      <c r="Y831" s="264">
        <v>44991</v>
      </c>
      <c r="Z831" s="222" t="s">
        <v>2087</v>
      </c>
      <c r="AA831" s="216" t="s">
        <v>3361</v>
      </c>
      <c r="AB831" s="227" t="s">
        <v>3376</v>
      </c>
      <c r="AC831" s="295"/>
    </row>
    <row r="832" spans="1:29" ht="15.5" x14ac:dyDescent="0.35">
      <c r="A832" s="211">
        <v>9835</v>
      </c>
      <c r="B832" s="214" t="s">
        <v>3473</v>
      </c>
      <c r="C832" s="211">
        <v>13705</v>
      </c>
      <c r="D832" s="215" t="s">
        <v>110</v>
      </c>
      <c r="E832" s="215" t="s">
        <v>110</v>
      </c>
      <c r="F832" s="211" t="s">
        <v>110</v>
      </c>
      <c r="G832" s="211" t="s">
        <v>110</v>
      </c>
      <c r="H832" s="216" t="s">
        <v>3363</v>
      </c>
      <c r="I832" s="217" t="s">
        <v>3367</v>
      </c>
      <c r="J832" s="211" t="s">
        <v>3371</v>
      </c>
      <c r="K832" s="211" t="s">
        <v>3374</v>
      </c>
      <c r="L832" s="211" t="s">
        <v>3374</v>
      </c>
      <c r="M832" s="211" t="s">
        <v>795</v>
      </c>
      <c r="N832" s="211" t="s">
        <v>14</v>
      </c>
      <c r="O832" s="211">
        <v>100</v>
      </c>
      <c r="P832" s="211" t="s">
        <v>47</v>
      </c>
      <c r="Q832" s="213" t="s">
        <v>108</v>
      </c>
      <c r="R832" s="218">
        <v>105000</v>
      </c>
      <c r="S832" s="218">
        <f>Product_Name[[#This Row],[Đơn giá
Unit Price]]*Product_Name[[#This Row],[Số lượng
Quantity]]</f>
        <v>10500000</v>
      </c>
      <c r="T832" s="219">
        <v>44994</v>
      </c>
      <c r="U832" s="220">
        <v>45001</v>
      </c>
      <c r="V832" s="221">
        <v>45005</v>
      </c>
      <c r="W832" s="214" t="s">
        <v>1537</v>
      </c>
      <c r="X832" s="211" t="s">
        <v>16</v>
      </c>
      <c r="Y832" s="264">
        <v>44991</v>
      </c>
      <c r="Z832" s="222" t="s">
        <v>2087</v>
      </c>
      <c r="AA832" s="216" t="s">
        <v>3361</v>
      </c>
      <c r="AB832" s="227" t="s">
        <v>3376</v>
      </c>
      <c r="AC832" s="295"/>
    </row>
    <row r="833" spans="1:29" ht="15.5" x14ac:dyDescent="0.35">
      <c r="A833" s="211">
        <v>9835</v>
      </c>
      <c r="B833" s="214" t="s">
        <v>3473</v>
      </c>
      <c r="C833" s="211">
        <v>13705</v>
      </c>
      <c r="D833" s="215" t="s">
        <v>110</v>
      </c>
      <c r="E833" s="215" t="s">
        <v>110</v>
      </c>
      <c r="F833" s="211" t="s">
        <v>110</v>
      </c>
      <c r="G833" s="211" t="s">
        <v>110</v>
      </c>
      <c r="H833" s="216" t="s">
        <v>3364</v>
      </c>
      <c r="I833" s="217" t="s">
        <v>3368</v>
      </c>
      <c r="J833" s="211" t="s">
        <v>3372</v>
      </c>
      <c r="K833" s="211" t="s">
        <v>3374</v>
      </c>
      <c r="L833" s="211" t="s">
        <v>3374</v>
      </c>
      <c r="M833" s="211" t="s">
        <v>795</v>
      </c>
      <c r="N833" s="211" t="s">
        <v>14</v>
      </c>
      <c r="O833" s="211">
        <v>225</v>
      </c>
      <c r="P833" s="211" t="s">
        <v>3375</v>
      </c>
      <c r="Q833" s="213" t="s">
        <v>108</v>
      </c>
      <c r="R833" s="218">
        <v>60000</v>
      </c>
      <c r="S833" s="218">
        <f>Product_Name[[#This Row],[Đơn giá
Unit Price]]*Product_Name[[#This Row],[Số lượng
Quantity]]</f>
        <v>13500000</v>
      </c>
      <c r="T833" s="219">
        <v>44994</v>
      </c>
      <c r="U833" s="220">
        <v>45001</v>
      </c>
      <c r="V833" s="221">
        <v>45005</v>
      </c>
      <c r="W833" s="214" t="s">
        <v>1537</v>
      </c>
      <c r="X833" s="211" t="s">
        <v>16</v>
      </c>
      <c r="Y833" s="264">
        <v>44991</v>
      </c>
      <c r="Z833" s="222" t="s">
        <v>2087</v>
      </c>
      <c r="AA833" s="216" t="s">
        <v>3361</v>
      </c>
      <c r="AB833" s="227" t="s">
        <v>3377</v>
      </c>
      <c r="AC833" s="295"/>
    </row>
    <row r="834" spans="1:29" ht="15.5" x14ac:dyDescent="0.35">
      <c r="A834" s="211">
        <v>9835</v>
      </c>
      <c r="B834" s="214" t="s">
        <v>3473</v>
      </c>
      <c r="C834" s="211">
        <v>13705</v>
      </c>
      <c r="D834" s="215" t="s">
        <v>110</v>
      </c>
      <c r="E834" s="215" t="s">
        <v>110</v>
      </c>
      <c r="F834" s="211" t="s">
        <v>110</v>
      </c>
      <c r="G834" s="211" t="s">
        <v>110</v>
      </c>
      <c r="H834" s="216" t="s">
        <v>3365</v>
      </c>
      <c r="I834" s="217" t="s">
        <v>3369</v>
      </c>
      <c r="J834" s="211" t="s">
        <v>3373</v>
      </c>
      <c r="K834" s="211" t="s">
        <v>3374</v>
      </c>
      <c r="L834" s="211" t="s">
        <v>3374</v>
      </c>
      <c r="M834" s="211" t="s">
        <v>795</v>
      </c>
      <c r="N834" s="211" t="s">
        <v>14</v>
      </c>
      <c r="O834" s="211">
        <v>50</v>
      </c>
      <c r="P834" s="211" t="s">
        <v>47</v>
      </c>
      <c r="Q834" s="213" t="s">
        <v>108</v>
      </c>
      <c r="R834" s="218">
        <v>125000</v>
      </c>
      <c r="S834" s="218">
        <f>Product_Name[[#This Row],[Đơn giá
Unit Price]]*Product_Name[[#This Row],[Số lượng
Quantity]]</f>
        <v>6250000</v>
      </c>
      <c r="T834" s="219">
        <v>44994</v>
      </c>
      <c r="U834" s="220">
        <v>45001</v>
      </c>
      <c r="V834" s="221">
        <v>45005</v>
      </c>
      <c r="W834" s="214" t="s">
        <v>1537</v>
      </c>
      <c r="X834" s="211" t="s">
        <v>16</v>
      </c>
      <c r="Y834" s="264">
        <v>44991</v>
      </c>
      <c r="Z834" s="222" t="s">
        <v>2087</v>
      </c>
      <c r="AA834" s="216" t="s">
        <v>3361</v>
      </c>
      <c r="AB834" s="227" t="s">
        <v>3376</v>
      </c>
      <c r="AC834" s="295"/>
    </row>
    <row r="835" spans="1:29" ht="15.5" x14ac:dyDescent="0.35">
      <c r="A835" s="211">
        <v>9834</v>
      </c>
      <c r="B835" s="214" t="s">
        <v>3487</v>
      </c>
      <c r="C835" s="211">
        <v>13639</v>
      </c>
      <c r="D835" s="215" t="s">
        <v>110</v>
      </c>
      <c r="E835" s="215" t="s">
        <v>110</v>
      </c>
      <c r="F835" s="211" t="s">
        <v>110</v>
      </c>
      <c r="G835" s="211" t="s">
        <v>110</v>
      </c>
      <c r="H835" s="216" t="s">
        <v>717</v>
      </c>
      <c r="I835" s="217" t="s">
        <v>1489</v>
      </c>
      <c r="J835" s="211" t="s">
        <v>2966</v>
      </c>
      <c r="K835" s="211" t="s">
        <v>1241</v>
      </c>
      <c r="L835" s="211" t="s">
        <v>718</v>
      </c>
      <c r="M835" s="211" t="s">
        <v>327</v>
      </c>
      <c r="N835" s="211" t="s">
        <v>14</v>
      </c>
      <c r="O835" s="211">
        <v>400</v>
      </c>
      <c r="P835" s="211" t="s">
        <v>719</v>
      </c>
      <c r="Q835" s="213" t="s">
        <v>108</v>
      </c>
      <c r="R835" s="218">
        <v>695000</v>
      </c>
      <c r="S835" s="218">
        <f>R835*O835</f>
        <v>278000000</v>
      </c>
      <c r="T835" s="219">
        <v>44993</v>
      </c>
      <c r="U835" s="220">
        <v>45001</v>
      </c>
      <c r="V835" s="221">
        <v>45006</v>
      </c>
      <c r="W835" s="214" t="s">
        <v>1537</v>
      </c>
      <c r="X835" s="211" t="s">
        <v>16</v>
      </c>
      <c r="Y835" s="264">
        <v>44991</v>
      </c>
      <c r="Z835" s="222" t="s">
        <v>2087</v>
      </c>
      <c r="AA835" s="216" t="s">
        <v>2076</v>
      </c>
      <c r="AB835" s="227" t="s">
        <v>110</v>
      </c>
      <c r="AC835" s="295"/>
    </row>
    <row r="836" spans="1:29" ht="15.5" x14ac:dyDescent="0.35">
      <c r="A836" s="211">
        <v>9979</v>
      </c>
      <c r="B836" s="214" t="s">
        <v>3490</v>
      </c>
      <c r="C836" s="211">
        <v>13869</v>
      </c>
      <c r="D836" s="215" t="s">
        <v>110</v>
      </c>
      <c r="E836" s="215" t="s">
        <v>110</v>
      </c>
      <c r="F836" s="211" t="s">
        <v>110</v>
      </c>
      <c r="G836" s="211" t="s">
        <v>110</v>
      </c>
      <c r="H836" s="216" t="s">
        <v>2355</v>
      </c>
      <c r="I836" s="217" t="s">
        <v>2354</v>
      </c>
      <c r="J836" s="211" t="s">
        <v>2356</v>
      </c>
      <c r="K836" s="211" t="s">
        <v>1751</v>
      </c>
      <c r="L836" s="211" t="s">
        <v>1751</v>
      </c>
      <c r="M836" s="211" t="s">
        <v>1282</v>
      </c>
      <c r="N836" s="211" t="s">
        <v>14</v>
      </c>
      <c r="O836" s="211">
        <v>1</v>
      </c>
      <c r="P836" s="211" t="s">
        <v>1074</v>
      </c>
      <c r="Q836" s="213" t="s">
        <v>108</v>
      </c>
      <c r="R836" s="218">
        <v>936000</v>
      </c>
      <c r="S836" s="218">
        <f>Product_Name[[#This Row],[Đơn giá
Unit Price]]*Product_Name[[#This Row],[Số lượng
Quantity]]</f>
        <v>936000</v>
      </c>
      <c r="T836" s="219">
        <v>45001</v>
      </c>
      <c r="U836" s="220">
        <v>45008</v>
      </c>
      <c r="V836" s="221">
        <v>45009</v>
      </c>
      <c r="W836" s="211" t="s">
        <v>2160</v>
      </c>
      <c r="X836" s="211" t="s">
        <v>55</v>
      </c>
      <c r="Y836" s="264">
        <v>44994</v>
      </c>
      <c r="Z836" s="222" t="s">
        <v>2087</v>
      </c>
      <c r="AA836" s="216" t="s">
        <v>2155</v>
      </c>
      <c r="AB836" s="227" t="s">
        <v>110</v>
      </c>
      <c r="AC836" s="295"/>
    </row>
    <row r="837" spans="1:29" ht="31" x14ac:dyDescent="0.35">
      <c r="A837" s="211">
        <v>9925</v>
      </c>
      <c r="B837" s="214" t="s">
        <v>3534</v>
      </c>
      <c r="C837" s="211">
        <v>13810</v>
      </c>
      <c r="D837" s="215" t="s">
        <v>110</v>
      </c>
      <c r="E837" s="215" t="s">
        <v>110</v>
      </c>
      <c r="F837" s="211" t="s">
        <v>110</v>
      </c>
      <c r="G837" s="211" t="s">
        <v>110</v>
      </c>
      <c r="H837" s="216" t="s">
        <v>3398</v>
      </c>
      <c r="I837" s="217" t="s">
        <v>3393</v>
      </c>
      <c r="J837" s="211" t="s">
        <v>3388</v>
      </c>
      <c r="K837" s="211" t="s">
        <v>3403</v>
      </c>
      <c r="L837" s="211" t="s">
        <v>284</v>
      </c>
      <c r="M837" s="211" t="s">
        <v>826</v>
      </c>
      <c r="N837" s="211" t="s">
        <v>14</v>
      </c>
      <c r="O837" s="211">
        <v>1</v>
      </c>
      <c r="P837" s="211" t="s">
        <v>276</v>
      </c>
      <c r="Q837" s="213" t="s">
        <v>108</v>
      </c>
      <c r="R837" s="218">
        <v>100000</v>
      </c>
      <c r="S837" s="218">
        <f>Product_Name[[#This Row],[Đơn giá
Unit Price]]*Product_Name[[#This Row],[Số lượng
Quantity]]</f>
        <v>100000</v>
      </c>
      <c r="T837" s="219">
        <v>45001</v>
      </c>
      <c r="U837" s="220">
        <v>45009</v>
      </c>
      <c r="V837" s="221">
        <v>45020</v>
      </c>
      <c r="W837" s="211" t="s">
        <v>2814</v>
      </c>
      <c r="X837" s="211" t="s">
        <v>55</v>
      </c>
      <c r="Y837" s="264" t="s">
        <v>3405</v>
      </c>
      <c r="Z837" s="222" t="s">
        <v>2087</v>
      </c>
      <c r="AA837" s="216"/>
      <c r="AB837" s="227"/>
      <c r="AC837" s="295"/>
    </row>
    <row r="838" spans="1:29" ht="31" x14ac:dyDescent="0.35">
      <c r="A838" s="211">
        <v>9925</v>
      </c>
      <c r="B838" s="214" t="s">
        <v>3534</v>
      </c>
      <c r="C838" s="211">
        <v>13810</v>
      </c>
      <c r="D838" s="215" t="s">
        <v>110</v>
      </c>
      <c r="E838" s="215" t="s">
        <v>110</v>
      </c>
      <c r="F838" s="211" t="s">
        <v>110</v>
      </c>
      <c r="G838" s="211" t="s">
        <v>110</v>
      </c>
      <c r="H838" s="216" t="s">
        <v>3399</v>
      </c>
      <c r="I838" s="217" t="s">
        <v>3394</v>
      </c>
      <c r="J838" s="211" t="s">
        <v>3389</v>
      </c>
      <c r="K838" s="211" t="s">
        <v>3403</v>
      </c>
      <c r="L838" s="211" t="s">
        <v>284</v>
      </c>
      <c r="M838" s="211" t="s">
        <v>826</v>
      </c>
      <c r="N838" s="211" t="s">
        <v>14</v>
      </c>
      <c r="O838" s="211">
        <v>1</v>
      </c>
      <c r="P838" s="211" t="s">
        <v>276</v>
      </c>
      <c r="Q838" s="213" t="s">
        <v>108</v>
      </c>
      <c r="R838" s="218">
        <v>107000</v>
      </c>
      <c r="S838" s="218">
        <f>Product_Name[[#This Row],[Đơn giá
Unit Price]]*Product_Name[[#This Row],[Số lượng
Quantity]]</f>
        <v>107000</v>
      </c>
      <c r="T838" s="219">
        <v>45001</v>
      </c>
      <c r="U838" s="220">
        <v>45009</v>
      </c>
      <c r="V838" s="221">
        <v>45020</v>
      </c>
      <c r="W838" s="211" t="s">
        <v>2814</v>
      </c>
      <c r="X838" s="211" t="s">
        <v>55</v>
      </c>
      <c r="Y838" s="264" t="s">
        <v>3405</v>
      </c>
      <c r="Z838" s="222" t="s">
        <v>2087</v>
      </c>
      <c r="AA838" s="216"/>
      <c r="AB838" s="227"/>
      <c r="AC838" s="295"/>
    </row>
    <row r="839" spans="1:29" ht="31" x14ac:dyDescent="0.35">
      <c r="A839" s="211">
        <v>9925</v>
      </c>
      <c r="B839" s="214" t="s">
        <v>3534</v>
      </c>
      <c r="C839" s="211">
        <v>13810</v>
      </c>
      <c r="D839" s="215" t="s">
        <v>110</v>
      </c>
      <c r="E839" s="215" t="s">
        <v>110</v>
      </c>
      <c r="F839" s="211" t="s">
        <v>110</v>
      </c>
      <c r="G839" s="211" t="s">
        <v>110</v>
      </c>
      <c r="H839" s="216" t="s">
        <v>3400</v>
      </c>
      <c r="I839" s="217" t="s">
        <v>3395</v>
      </c>
      <c r="J839" s="211" t="s">
        <v>3390</v>
      </c>
      <c r="K839" s="211" t="s">
        <v>3403</v>
      </c>
      <c r="L839" s="211" t="s">
        <v>284</v>
      </c>
      <c r="M839" s="211" t="s">
        <v>826</v>
      </c>
      <c r="N839" s="211" t="s">
        <v>14</v>
      </c>
      <c r="O839" s="211">
        <v>1</v>
      </c>
      <c r="P839" s="211" t="s">
        <v>276</v>
      </c>
      <c r="Q839" s="213" t="s">
        <v>108</v>
      </c>
      <c r="R839" s="218">
        <v>550000</v>
      </c>
      <c r="S839" s="218">
        <f>Product_Name[[#This Row],[Đơn giá
Unit Price]]*Product_Name[[#This Row],[Số lượng
Quantity]]</f>
        <v>550000</v>
      </c>
      <c r="T839" s="219">
        <v>45001</v>
      </c>
      <c r="U839" s="220">
        <v>45009</v>
      </c>
      <c r="V839" s="221">
        <v>45020</v>
      </c>
      <c r="W839" s="211" t="s">
        <v>2814</v>
      </c>
      <c r="X839" s="211" t="s">
        <v>55</v>
      </c>
      <c r="Y839" s="264" t="s">
        <v>3405</v>
      </c>
      <c r="Z839" s="222" t="s">
        <v>2087</v>
      </c>
      <c r="AA839" s="216"/>
      <c r="AB839" s="227"/>
      <c r="AC839" s="295"/>
    </row>
    <row r="840" spans="1:29" ht="31" x14ac:dyDescent="0.35">
      <c r="A840" s="211">
        <v>9925</v>
      </c>
      <c r="B840" s="214" t="s">
        <v>3534</v>
      </c>
      <c r="C840" s="211">
        <v>13810</v>
      </c>
      <c r="D840" s="215" t="s">
        <v>110</v>
      </c>
      <c r="E840" s="215" t="s">
        <v>110</v>
      </c>
      <c r="F840" s="211" t="s">
        <v>110</v>
      </c>
      <c r="G840" s="211" t="s">
        <v>110</v>
      </c>
      <c r="H840" s="216" t="s">
        <v>3401</v>
      </c>
      <c r="I840" s="217" t="s">
        <v>3396</v>
      </c>
      <c r="J840" s="211" t="s">
        <v>3391</v>
      </c>
      <c r="K840" s="211" t="s">
        <v>3403</v>
      </c>
      <c r="L840" s="211" t="s">
        <v>284</v>
      </c>
      <c r="M840" s="211" t="s">
        <v>826</v>
      </c>
      <c r="N840" s="211" t="s">
        <v>14</v>
      </c>
      <c r="O840" s="211">
        <v>1</v>
      </c>
      <c r="P840" s="211" t="s">
        <v>276</v>
      </c>
      <c r="Q840" s="213" t="s">
        <v>108</v>
      </c>
      <c r="R840" s="218">
        <v>750000</v>
      </c>
      <c r="S840" s="218">
        <f>Product_Name[[#This Row],[Đơn giá
Unit Price]]*Product_Name[[#This Row],[Số lượng
Quantity]]</f>
        <v>750000</v>
      </c>
      <c r="T840" s="219">
        <v>45001</v>
      </c>
      <c r="U840" s="220">
        <v>45009</v>
      </c>
      <c r="V840" s="221">
        <v>45020</v>
      </c>
      <c r="W840" s="211" t="s">
        <v>2814</v>
      </c>
      <c r="X840" s="211" t="s">
        <v>55</v>
      </c>
      <c r="Y840" s="264" t="s">
        <v>3405</v>
      </c>
      <c r="Z840" s="222" t="s">
        <v>2087</v>
      </c>
      <c r="AA840" s="216"/>
      <c r="AB840" s="227"/>
      <c r="AC840" s="295"/>
    </row>
    <row r="841" spans="1:29" ht="31" x14ac:dyDescent="0.35">
      <c r="A841" s="211">
        <v>9925</v>
      </c>
      <c r="B841" s="214" t="s">
        <v>3534</v>
      </c>
      <c r="C841" s="211">
        <v>13861</v>
      </c>
      <c r="D841" s="215" t="s">
        <v>110</v>
      </c>
      <c r="E841" s="215" t="s">
        <v>110</v>
      </c>
      <c r="F841" s="211" t="s">
        <v>110</v>
      </c>
      <c r="G841" s="211" t="s">
        <v>110</v>
      </c>
      <c r="H841" s="216" t="s">
        <v>3402</v>
      </c>
      <c r="I841" s="217" t="s">
        <v>3397</v>
      </c>
      <c r="J841" s="211" t="s">
        <v>3392</v>
      </c>
      <c r="K841" s="211" t="s">
        <v>3404</v>
      </c>
      <c r="L841" s="211" t="s">
        <v>284</v>
      </c>
      <c r="M841" s="211" t="s">
        <v>826</v>
      </c>
      <c r="N841" s="211" t="s">
        <v>14</v>
      </c>
      <c r="O841" s="211">
        <v>1</v>
      </c>
      <c r="P841" s="211" t="s">
        <v>276</v>
      </c>
      <c r="Q841" s="213" t="s">
        <v>108</v>
      </c>
      <c r="R841" s="218">
        <v>610000</v>
      </c>
      <c r="S841" s="218">
        <f>Product_Name[[#This Row],[Đơn giá
Unit Price]]*Product_Name[[#This Row],[Số lượng
Quantity]]</f>
        <v>610000</v>
      </c>
      <c r="T841" s="219">
        <v>45001</v>
      </c>
      <c r="U841" s="220">
        <v>45009</v>
      </c>
      <c r="V841" s="221">
        <v>45020</v>
      </c>
      <c r="W841" s="211" t="s">
        <v>2814</v>
      </c>
      <c r="X841" s="211" t="s">
        <v>55</v>
      </c>
      <c r="Y841" s="264" t="s">
        <v>3405</v>
      </c>
      <c r="Z841" s="222" t="s">
        <v>2087</v>
      </c>
      <c r="AA841" s="216"/>
      <c r="AB841" s="227"/>
      <c r="AC841" s="295"/>
    </row>
    <row r="842" spans="1:29" ht="31" x14ac:dyDescent="0.35">
      <c r="A842" s="211" t="s">
        <v>110</v>
      </c>
      <c r="B842" s="214"/>
      <c r="C842" s="211" t="s">
        <v>110</v>
      </c>
      <c r="D842" s="215">
        <v>4959</v>
      </c>
      <c r="E842" s="215">
        <v>10444</v>
      </c>
      <c r="F842" s="211" t="s">
        <v>3598</v>
      </c>
      <c r="G842" s="211" t="s">
        <v>3609</v>
      </c>
      <c r="H842" s="216" t="s">
        <v>3409</v>
      </c>
      <c r="I842" s="217" t="s">
        <v>3410</v>
      </c>
      <c r="J842" s="211" t="s">
        <v>3411</v>
      </c>
      <c r="K842" s="211" t="s">
        <v>176</v>
      </c>
      <c r="L842" s="211" t="s">
        <v>176</v>
      </c>
      <c r="M842" s="211" t="s">
        <v>796</v>
      </c>
      <c r="N842" s="211" t="s">
        <v>3238</v>
      </c>
      <c r="O842" s="211">
        <v>2</v>
      </c>
      <c r="P842" s="211" t="s">
        <v>276</v>
      </c>
      <c r="Q842" s="213" t="s">
        <v>108</v>
      </c>
      <c r="R842" s="218">
        <v>5400000</v>
      </c>
      <c r="S842" s="218">
        <f>Product_Name[[#This Row],[Đơn giá
Unit Price]]*Product_Name[[#This Row],[Số lượng
Quantity]]</f>
        <v>10800000</v>
      </c>
      <c r="T842" s="219">
        <v>45034</v>
      </c>
      <c r="U842" s="220">
        <v>45071</v>
      </c>
      <c r="V842" s="221"/>
      <c r="W842" s="211" t="s">
        <v>2160</v>
      </c>
      <c r="X842" s="211" t="s">
        <v>55</v>
      </c>
      <c r="Y842" s="264" t="s">
        <v>3412</v>
      </c>
      <c r="Z842" s="222" t="s">
        <v>2087</v>
      </c>
      <c r="AA842" s="216" t="s">
        <v>2958</v>
      </c>
      <c r="AB842" s="227">
        <v>45030</v>
      </c>
      <c r="AC842" s="295"/>
    </row>
    <row r="843" spans="1:29" ht="15.5" x14ac:dyDescent="0.35">
      <c r="A843" s="211">
        <v>10002</v>
      </c>
      <c r="B843" s="214" t="s">
        <v>3585</v>
      </c>
      <c r="C843" s="211">
        <v>13932</v>
      </c>
      <c r="D843" s="215" t="s">
        <v>110</v>
      </c>
      <c r="E843" s="215" t="s">
        <v>110</v>
      </c>
      <c r="F843" s="211" t="s">
        <v>110</v>
      </c>
      <c r="G843" s="211" t="s">
        <v>110</v>
      </c>
      <c r="H843" s="216" t="s">
        <v>2921</v>
      </c>
      <c r="I843" s="217" t="s">
        <v>2922</v>
      </c>
      <c r="J843" s="211" t="s">
        <v>2926</v>
      </c>
      <c r="K843" s="211" t="s">
        <v>326</v>
      </c>
      <c r="L843" s="211" t="s">
        <v>326</v>
      </c>
      <c r="M843" s="211" t="s">
        <v>327</v>
      </c>
      <c r="N843" s="211" t="s">
        <v>14</v>
      </c>
      <c r="O843" s="211">
        <v>1</v>
      </c>
      <c r="P843" s="211" t="s">
        <v>105</v>
      </c>
      <c r="Q843" s="213" t="s">
        <v>108</v>
      </c>
      <c r="R843" s="218">
        <v>1280000</v>
      </c>
      <c r="S843" s="218">
        <f>Product_Name[[#This Row],[Đơn giá
Unit Price]]*Product_Name[[#This Row],[Số lượng
Quantity]]</f>
        <v>1280000</v>
      </c>
      <c r="T843" s="219">
        <v>45002</v>
      </c>
      <c r="U843" s="220">
        <v>45078</v>
      </c>
      <c r="V843" s="221">
        <v>45028</v>
      </c>
      <c r="W843" s="214" t="s">
        <v>1537</v>
      </c>
      <c r="X843" s="211" t="s">
        <v>53</v>
      </c>
      <c r="Y843" s="264">
        <v>44999</v>
      </c>
      <c r="Z843" s="222" t="s">
        <v>2087</v>
      </c>
      <c r="AA843" s="216" t="s">
        <v>2181</v>
      </c>
      <c r="AB843" s="227"/>
      <c r="AC843" s="295"/>
    </row>
    <row r="844" spans="1:29" ht="31" x14ac:dyDescent="0.35">
      <c r="A844" s="211">
        <v>10169</v>
      </c>
      <c r="B844" s="214" t="s">
        <v>3655</v>
      </c>
      <c r="C844" s="211">
        <v>14271</v>
      </c>
      <c r="D844" s="215" t="s">
        <v>110</v>
      </c>
      <c r="E844" s="215" t="s">
        <v>110</v>
      </c>
      <c r="F844" s="211" t="s">
        <v>3502</v>
      </c>
      <c r="G844" s="211" t="s">
        <v>3514</v>
      </c>
      <c r="H844" s="216" t="s">
        <v>3428</v>
      </c>
      <c r="I844" s="217" t="s">
        <v>3429</v>
      </c>
      <c r="J844" s="211" t="s">
        <v>3515</v>
      </c>
      <c r="K844" s="211" t="s">
        <v>176</v>
      </c>
      <c r="L844" s="211" t="s">
        <v>176</v>
      </c>
      <c r="M844" s="211" t="s">
        <v>826</v>
      </c>
      <c r="N844" s="211" t="s">
        <v>14</v>
      </c>
      <c r="O844" s="211">
        <v>1</v>
      </c>
      <c r="P844" s="211" t="s">
        <v>44</v>
      </c>
      <c r="Q844" s="213" t="s">
        <v>108</v>
      </c>
      <c r="R844" s="218">
        <v>4670000</v>
      </c>
      <c r="S844" s="218">
        <f>Product_Name[[#This Row],[Đơn giá
Unit Price]]*Product_Name[[#This Row],[Số lượng
Quantity]]</f>
        <v>4670000</v>
      </c>
      <c r="T844" s="219">
        <v>45015</v>
      </c>
      <c r="U844" s="220">
        <v>45037</v>
      </c>
      <c r="V844" s="221">
        <v>45040</v>
      </c>
      <c r="W844" s="211" t="s">
        <v>1565</v>
      </c>
      <c r="X844" s="211" t="s">
        <v>16</v>
      </c>
      <c r="Y844" s="264" t="s">
        <v>3470</v>
      </c>
      <c r="Z844" s="222" t="s">
        <v>2087</v>
      </c>
      <c r="AA844" s="216" t="s">
        <v>2647</v>
      </c>
      <c r="AB844" s="227">
        <v>45012</v>
      </c>
      <c r="AC844" s="295"/>
    </row>
    <row r="845" spans="1:29" ht="31" x14ac:dyDescent="0.35">
      <c r="A845" s="211">
        <v>10110</v>
      </c>
      <c r="B845" s="214" t="s">
        <v>3535</v>
      </c>
      <c r="C845" s="211">
        <v>14124</v>
      </c>
      <c r="D845" s="215" t="s">
        <v>110</v>
      </c>
      <c r="E845" s="215" t="s">
        <v>110</v>
      </c>
      <c r="F845" s="211" t="s">
        <v>110</v>
      </c>
      <c r="G845" s="211" t="s">
        <v>110</v>
      </c>
      <c r="H845" s="216" t="s">
        <v>3436</v>
      </c>
      <c r="I845" s="217" t="s">
        <v>3437</v>
      </c>
      <c r="J845" s="211" t="s">
        <v>3434</v>
      </c>
      <c r="K845" s="211" t="s">
        <v>284</v>
      </c>
      <c r="L845" s="211" t="s">
        <v>284</v>
      </c>
      <c r="M845" s="211" t="s">
        <v>826</v>
      </c>
      <c r="N845" s="211" t="s">
        <v>14</v>
      </c>
      <c r="O845" s="211">
        <v>5</v>
      </c>
      <c r="P845" s="211" t="s">
        <v>276</v>
      </c>
      <c r="Q845" s="213" t="s">
        <v>108</v>
      </c>
      <c r="R845" s="218">
        <v>105000</v>
      </c>
      <c r="S845" s="218">
        <f>Product_Name[[#This Row],[Đơn giá
Unit Price]]*Product_Name[[#This Row],[Số lượng
Quantity]]</f>
        <v>525000</v>
      </c>
      <c r="T845" s="219">
        <v>45009</v>
      </c>
      <c r="U845" s="219">
        <v>45019</v>
      </c>
      <c r="V845" s="221">
        <v>45020</v>
      </c>
      <c r="W845" s="211" t="s">
        <v>2651</v>
      </c>
      <c r="X845" s="211" t="s">
        <v>16</v>
      </c>
      <c r="Y845" s="264" t="s">
        <v>3471</v>
      </c>
      <c r="Z845" s="222" t="s">
        <v>2087</v>
      </c>
      <c r="AA845" s="216" t="s">
        <v>2647</v>
      </c>
      <c r="AB845" s="227"/>
      <c r="AC845" s="295"/>
    </row>
    <row r="846" spans="1:29" ht="31" x14ac:dyDescent="0.35">
      <c r="A846" s="211">
        <v>10110</v>
      </c>
      <c r="B846" s="214" t="s">
        <v>3535</v>
      </c>
      <c r="C846" s="211">
        <v>14124</v>
      </c>
      <c r="D846" s="215" t="s">
        <v>110</v>
      </c>
      <c r="E846" s="215" t="s">
        <v>110</v>
      </c>
      <c r="F846" s="211" t="s">
        <v>110</v>
      </c>
      <c r="G846" s="211" t="s">
        <v>110</v>
      </c>
      <c r="H846" s="216" t="s">
        <v>3438</v>
      </c>
      <c r="I846" s="217" t="s">
        <v>3439</v>
      </c>
      <c r="J846" s="211" t="s">
        <v>3435</v>
      </c>
      <c r="K846" s="211" t="s">
        <v>284</v>
      </c>
      <c r="L846" s="211" t="s">
        <v>284</v>
      </c>
      <c r="M846" s="211" t="s">
        <v>826</v>
      </c>
      <c r="N846" s="211" t="s">
        <v>14</v>
      </c>
      <c r="O846" s="211">
        <v>5</v>
      </c>
      <c r="P846" s="211" t="s">
        <v>276</v>
      </c>
      <c r="Q846" s="213" t="s">
        <v>108</v>
      </c>
      <c r="R846" s="218">
        <v>95000</v>
      </c>
      <c r="S846" s="218">
        <f>Product_Name[[#This Row],[Đơn giá
Unit Price]]*Product_Name[[#This Row],[Số lượng
Quantity]]</f>
        <v>475000</v>
      </c>
      <c r="T846" s="219">
        <v>45009</v>
      </c>
      <c r="U846" s="219">
        <v>45019</v>
      </c>
      <c r="V846" s="221">
        <v>45020</v>
      </c>
      <c r="W846" s="211" t="s">
        <v>2651</v>
      </c>
      <c r="X846" s="211" t="s">
        <v>16</v>
      </c>
      <c r="Y846" s="264" t="s">
        <v>3440</v>
      </c>
      <c r="Z846" s="222" t="s">
        <v>2087</v>
      </c>
      <c r="AA846" s="216" t="s">
        <v>2647</v>
      </c>
      <c r="AB846" s="227"/>
      <c r="AC846" s="295"/>
    </row>
    <row r="847" spans="1:29" ht="15.5" x14ac:dyDescent="0.35">
      <c r="A847" s="211">
        <v>10060</v>
      </c>
      <c r="B847" s="214"/>
      <c r="C847" s="211">
        <v>14078</v>
      </c>
      <c r="D847" s="215" t="s">
        <v>110</v>
      </c>
      <c r="E847" s="215" t="s">
        <v>110</v>
      </c>
      <c r="F847" s="211" t="s">
        <v>110</v>
      </c>
      <c r="G847" s="211" t="s">
        <v>110</v>
      </c>
      <c r="H847" s="216" t="s">
        <v>388</v>
      </c>
      <c r="I847" s="217" t="s">
        <v>388</v>
      </c>
      <c r="J847" s="211" t="s">
        <v>389</v>
      </c>
      <c r="K847" s="211" t="s">
        <v>1356</v>
      </c>
      <c r="L847" s="211" t="s">
        <v>30</v>
      </c>
      <c r="M847" s="211" t="s">
        <v>795</v>
      </c>
      <c r="N847" s="211" t="s">
        <v>14</v>
      </c>
      <c r="O847" s="211">
        <v>20</v>
      </c>
      <c r="P847" s="211" t="s">
        <v>719</v>
      </c>
      <c r="Q847" s="213" t="s">
        <v>390</v>
      </c>
      <c r="R847" s="237">
        <v>218.14</v>
      </c>
      <c r="S847" s="237">
        <f>Product_Name[[#This Row],[Đơn giá
Unit Price]]*Product_Name[[#This Row],[Số lượng
Quantity]]</f>
        <v>4362.7999999999993</v>
      </c>
      <c r="T847" s="219">
        <v>45007</v>
      </c>
      <c r="U847" s="220">
        <v>45072</v>
      </c>
      <c r="V847" s="221"/>
      <c r="W847" s="214" t="s">
        <v>1537</v>
      </c>
      <c r="X847" s="211" t="s">
        <v>16</v>
      </c>
      <c r="Y847" s="264">
        <v>45002</v>
      </c>
      <c r="Z847" s="222" t="s">
        <v>2087</v>
      </c>
      <c r="AA847" s="216" t="s">
        <v>2076</v>
      </c>
      <c r="AB847" s="227" t="s">
        <v>110</v>
      </c>
      <c r="AC847" s="295"/>
    </row>
    <row r="848" spans="1:29" s="71" customFormat="1" ht="15.5" x14ac:dyDescent="0.35">
      <c r="A848" s="211">
        <v>10004</v>
      </c>
      <c r="B848" s="214" t="s">
        <v>3678</v>
      </c>
      <c r="C848" s="211">
        <v>13933</v>
      </c>
      <c r="D848" s="215" t="s">
        <v>110</v>
      </c>
      <c r="E848" s="215" t="s">
        <v>110</v>
      </c>
      <c r="F848" s="211" t="s">
        <v>110</v>
      </c>
      <c r="G848" s="211" t="s">
        <v>110</v>
      </c>
      <c r="H848" s="216" t="s">
        <v>3449</v>
      </c>
      <c r="I848" s="217" t="s">
        <v>3214</v>
      </c>
      <c r="J848" s="214" t="s">
        <v>3443</v>
      </c>
      <c r="K848" s="211" t="s">
        <v>3180</v>
      </c>
      <c r="L848" s="211" t="s">
        <v>3180</v>
      </c>
      <c r="M848" s="211" t="s">
        <v>123</v>
      </c>
      <c r="N848" s="211" t="s">
        <v>14</v>
      </c>
      <c r="O848" s="211">
        <v>60</v>
      </c>
      <c r="P848" s="212" t="s">
        <v>276</v>
      </c>
      <c r="Q848" s="213" t="s">
        <v>108</v>
      </c>
      <c r="R848" s="218">
        <v>904000</v>
      </c>
      <c r="S848" s="218">
        <f>Product_Name[[#This Row],[Đơn giá
Unit Price]]*Product_Name[[#This Row],[Số lượng
Quantity]]</f>
        <v>54240000</v>
      </c>
      <c r="T848" s="219">
        <v>45003</v>
      </c>
      <c r="U848" s="220">
        <v>45017</v>
      </c>
      <c r="V848" s="221">
        <v>45043</v>
      </c>
      <c r="W848" s="211" t="s">
        <v>2814</v>
      </c>
      <c r="X848" s="211" t="s">
        <v>1932</v>
      </c>
      <c r="Y848" s="220" t="s">
        <v>3179</v>
      </c>
      <c r="Z848" s="222" t="s">
        <v>2087</v>
      </c>
      <c r="AA848" s="216" t="s">
        <v>2647</v>
      </c>
      <c r="AB848" s="227"/>
      <c r="AC848" s="295"/>
    </row>
    <row r="849" spans="1:29" s="71" customFormat="1" ht="15.5" x14ac:dyDescent="0.35">
      <c r="A849" s="211">
        <v>10004</v>
      </c>
      <c r="B849" s="214" t="s">
        <v>3678</v>
      </c>
      <c r="C849" s="211">
        <v>13933</v>
      </c>
      <c r="D849" s="215" t="s">
        <v>110</v>
      </c>
      <c r="E849" s="215" t="s">
        <v>110</v>
      </c>
      <c r="F849" s="211" t="s">
        <v>110</v>
      </c>
      <c r="G849" s="211" t="s">
        <v>110</v>
      </c>
      <c r="H849" s="216" t="s">
        <v>3449</v>
      </c>
      <c r="I849" s="217" t="s">
        <v>3214</v>
      </c>
      <c r="J849" s="214" t="s">
        <v>3444</v>
      </c>
      <c r="K849" s="211" t="s">
        <v>3180</v>
      </c>
      <c r="L849" s="211" t="s">
        <v>3180</v>
      </c>
      <c r="M849" s="211" t="s">
        <v>123</v>
      </c>
      <c r="N849" s="211" t="s">
        <v>14</v>
      </c>
      <c r="O849" s="211">
        <v>21</v>
      </c>
      <c r="P849" s="212" t="s">
        <v>276</v>
      </c>
      <c r="Q849" s="213" t="s">
        <v>108</v>
      </c>
      <c r="R849" s="218">
        <v>1266000</v>
      </c>
      <c r="S849" s="218">
        <f>Product_Name[[#This Row],[Đơn giá
Unit Price]]*Product_Name[[#This Row],[Số lượng
Quantity]]</f>
        <v>26586000</v>
      </c>
      <c r="T849" s="219">
        <v>45003</v>
      </c>
      <c r="U849" s="220">
        <v>45017</v>
      </c>
      <c r="V849" s="221">
        <v>45043</v>
      </c>
      <c r="W849" s="211" t="s">
        <v>2814</v>
      </c>
      <c r="X849" s="211" t="s">
        <v>1932</v>
      </c>
      <c r="Y849" s="220" t="s">
        <v>3179</v>
      </c>
      <c r="Z849" s="222" t="s">
        <v>2087</v>
      </c>
      <c r="AA849" s="216" t="s">
        <v>2647</v>
      </c>
      <c r="AB849" s="227"/>
      <c r="AC849" s="295"/>
    </row>
    <row r="850" spans="1:29" s="71" customFormat="1" ht="15.5" x14ac:dyDescent="0.35">
      <c r="A850" s="211">
        <v>10004</v>
      </c>
      <c r="B850" s="214" t="s">
        <v>3678</v>
      </c>
      <c r="C850" s="211">
        <v>13933</v>
      </c>
      <c r="D850" s="215" t="s">
        <v>110</v>
      </c>
      <c r="E850" s="215" t="s">
        <v>110</v>
      </c>
      <c r="F850" s="211" t="s">
        <v>110</v>
      </c>
      <c r="G850" s="211"/>
      <c r="H850" s="216" t="s">
        <v>3449</v>
      </c>
      <c r="I850" s="217" t="s">
        <v>3214</v>
      </c>
      <c r="J850" s="214" t="s">
        <v>3447</v>
      </c>
      <c r="K850" s="211" t="s">
        <v>3180</v>
      </c>
      <c r="L850" s="211" t="s">
        <v>3180</v>
      </c>
      <c r="M850" s="211" t="s">
        <v>123</v>
      </c>
      <c r="N850" s="211" t="s">
        <v>14</v>
      </c>
      <c r="O850" s="211">
        <v>19</v>
      </c>
      <c r="P850" s="212" t="s">
        <v>276</v>
      </c>
      <c r="Q850" s="213" t="s">
        <v>108</v>
      </c>
      <c r="R850" s="218">
        <v>1469000</v>
      </c>
      <c r="S850" s="218">
        <f>Product_Name[[#This Row],[Đơn giá
Unit Price]]*Product_Name[[#This Row],[Số lượng
Quantity]]</f>
        <v>27911000</v>
      </c>
      <c r="T850" s="219">
        <v>45003</v>
      </c>
      <c r="U850" s="220">
        <v>45017</v>
      </c>
      <c r="V850" s="221">
        <v>45043</v>
      </c>
      <c r="W850" s="211" t="s">
        <v>2814</v>
      </c>
      <c r="X850" s="211" t="s">
        <v>1932</v>
      </c>
      <c r="Y850" s="220" t="s">
        <v>3179</v>
      </c>
      <c r="Z850" s="222" t="s">
        <v>2087</v>
      </c>
      <c r="AA850" s="216" t="s">
        <v>2647</v>
      </c>
      <c r="AB850" s="227"/>
      <c r="AC850" s="295"/>
    </row>
    <row r="851" spans="1:29" s="71" customFormat="1" ht="15.5" x14ac:dyDescent="0.35">
      <c r="A851" s="211">
        <v>10004</v>
      </c>
      <c r="B851" s="214" t="s">
        <v>3678</v>
      </c>
      <c r="C851" s="211">
        <v>13933</v>
      </c>
      <c r="D851" s="215" t="s">
        <v>110</v>
      </c>
      <c r="E851" s="215" t="s">
        <v>110</v>
      </c>
      <c r="F851" s="211" t="s">
        <v>110</v>
      </c>
      <c r="G851" s="211" t="s">
        <v>110</v>
      </c>
      <c r="H851" s="216" t="s">
        <v>3450</v>
      </c>
      <c r="I851" s="217" t="s">
        <v>3457</v>
      </c>
      <c r="J851" s="214" t="s">
        <v>3445</v>
      </c>
      <c r="K851" s="211" t="s">
        <v>3180</v>
      </c>
      <c r="L851" s="211" t="s">
        <v>3180</v>
      </c>
      <c r="M851" s="211" t="s">
        <v>123</v>
      </c>
      <c r="N851" s="211" t="s">
        <v>14</v>
      </c>
      <c r="O851" s="211">
        <v>4</v>
      </c>
      <c r="P851" s="212" t="s">
        <v>276</v>
      </c>
      <c r="Q851" s="213" t="s">
        <v>108</v>
      </c>
      <c r="R851" s="218">
        <v>303000</v>
      </c>
      <c r="S851" s="218">
        <f>Product_Name[[#This Row],[Đơn giá
Unit Price]]*Product_Name[[#This Row],[Số lượng
Quantity]]</f>
        <v>1212000</v>
      </c>
      <c r="T851" s="219">
        <v>45003</v>
      </c>
      <c r="U851" s="220">
        <v>45017</v>
      </c>
      <c r="V851" s="221">
        <v>45043</v>
      </c>
      <c r="W851" s="211" t="s">
        <v>2814</v>
      </c>
      <c r="X851" s="211" t="s">
        <v>1932</v>
      </c>
      <c r="Y851" s="220" t="s">
        <v>3179</v>
      </c>
      <c r="Z851" s="222" t="s">
        <v>2087</v>
      </c>
      <c r="AA851" s="216" t="s">
        <v>2647</v>
      </c>
      <c r="AB851" s="227"/>
      <c r="AC851" s="295"/>
    </row>
    <row r="852" spans="1:29" s="71" customFormat="1" ht="15.5" x14ac:dyDescent="0.35">
      <c r="A852" s="211">
        <v>10004</v>
      </c>
      <c r="B852" s="214" t="s">
        <v>3678</v>
      </c>
      <c r="C852" s="211">
        <v>13933</v>
      </c>
      <c r="D852" s="215" t="s">
        <v>110</v>
      </c>
      <c r="E852" s="215" t="s">
        <v>110</v>
      </c>
      <c r="F852" s="211" t="s">
        <v>110</v>
      </c>
      <c r="G852" s="211" t="s">
        <v>110</v>
      </c>
      <c r="H852" s="216" t="s">
        <v>3451</v>
      </c>
      <c r="I852" s="217" t="s">
        <v>3456</v>
      </c>
      <c r="J852" s="214" t="s">
        <v>3446</v>
      </c>
      <c r="K852" s="211" t="s">
        <v>3180</v>
      </c>
      <c r="L852" s="211" t="s">
        <v>3180</v>
      </c>
      <c r="M852" s="211" t="s">
        <v>123</v>
      </c>
      <c r="N852" s="211" t="s">
        <v>14</v>
      </c>
      <c r="O852" s="211">
        <v>4</v>
      </c>
      <c r="P852" s="212" t="s">
        <v>276</v>
      </c>
      <c r="Q852" s="213" t="s">
        <v>108</v>
      </c>
      <c r="R852" s="218">
        <v>219000</v>
      </c>
      <c r="S852" s="218">
        <f>Product_Name[[#This Row],[Đơn giá
Unit Price]]*Product_Name[[#This Row],[Số lượng
Quantity]]</f>
        <v>876000</v>
      </c>
      <c r="T852" s="219">
        <v>45003</v>
      </c>
      <c r="U852" s="220">
        <v>45017</v>
      </c>
      <c r="V852" s="221">
        <v>45043</v>
      </c>
      <c r="W852" s="211" t="s">
        <v>2814</v>
      </c>
      <c r="X852" s="211" t="s">
        <v>1932</v>
      </c>
      <c r="Y852" s="220" t="s">
        <v>3179</v>
      </c>
      <c r="Z852" s="222" t="s">
        <v>2087</v>
      </c>
      <c r="AA852" s="216" t="s">
        <v>2647</v>
      </c>
      <c r="AB852" s="227"/>
      <c r="AC852" s="295"/>
    </row>
    <row r="853" spans="1:29" s="71" customFormat="1" ht="15.5" x14ac:dyDescent="0.35">
      <c r="A853" s="211">
        <v>10004</v>
      </c>
      <c r="B853" s="214" t="s">
        <v>3678</v>
      </c>
      <c r="C853" s="211">
        <v>13933</v>
      </c>
      <c r="D853" s="215" t="s">
        <v>110</v>
      </c>
      <c r="E853" s="215" t="s">
        <v>110</v>
      </c>
      <c r="F853" s="211" t="s">
        <v>110</v>
      </c>
      <c r="G853" s="211" t="s">
        <v>110</v>
      </c>
      <c r="H853" s="216" t="s">
        <v>3451</v>
      </c>
      <c r="I853" s="217" t="s">
        <v>3456</v>
      </c>
      <c r="J853" s="214" t="s">
        <v>3448</v>
      </c>
      <c r="K853" s="211" t="s">
        <v>3180</v>
      </c>
      <c r="L853" s="211" t="s">
        <v>3180</v>
      </c>
      <c r="M853" s="211" t="s">
        <v>123</v>
      </c>
      <c r="N853" s="211" t="s">
        <v>14</v>
      </c>
      <c r="O853" s="211">
        <v>1</v>
      </c>
      <c r="P853" s="212" t="s">
        <v>276</v>
      </c>
      <c r="Q853" s="213" t="s">
        <v>108</v>
      </c>
      <c r="R853" s="218">
        <v>441000</v>
      </c>
      <c r="S853" s="218">
        <f>Product_Name[[#This Row],[Đơn giá
Unit Price]]*Product_Name[[#This Row],[Số lượng
Quantity]]</f>
        <v>441000</v>
      </c>
      <c r="T853" s="219">
        <v>45003</v>
      </c>
      <c r="U853" s="220">
        <v>45017</v>
      </c>
      <c r="V853" s="221">
        <v>45043</v>
      </c>
      <c r="W853" s="211" t="s">
        <v>2814</v>
      </c>
      <c r="X853" s="211" t="s">
        <v>1932</v>
      </c>
      <c r="Y853" s="220" t="s">
        <v>3179</v>
      </c>
      <c r="Z853" s="222" t="s">
        <v>2087</v>
      </c>
      <c r="AA853" s="216" t="s">
        <v>2647</v>
      </c>
      <c r="AB853" s="227"/>
      <c r="AC853" s="295"/>
    </row>
    <row r="854" spans="1:29" s="71" customFormat="1" ht="15.5" x14ac:dyDescent="0.35">
      <c r="A854" s="211">
        <v>10004</v>
      </c>
      <c r="B854" s="214" t="s">
        <v>3678</v>
      </c>
      <c r="C854" s="211">
        <v>13933</v>
      </c>
      <c r="D854" s="215" t="s">
        <v>110</v>
      </c>
      <c r="E854" s="215" t="s">
        <v>110</v>
      </c>
      <c r="F854" s="211" t="s">
        <v>110</v>
      </c>
      <c r="G854" s="211" t="s">
        <v>110</v>
      </c>
      <c r="H854" s="216" t="s">
        <v>3450</v>
      </c>
      <c r="I854" s="217" t="s">
        <v>3457</v>
      </c>
      <c r="J854" s="214" t="s">
        <v>3458</v>
      </c>
      <c r="K854" s="211" t="s">
        <v>3180</v>
      </c>
      <c r="L854" s="211" t="s">
        <v>3180</v>
      </c>
      <c r="M854" s="211" t="s">
        <v>123</v>
      </c>
      <c r="N854" s="211" t="s">
        <v>14</v>
      </c>
      <c r="O854" s="211">
        <v>1</v>
      </c>
      <c r="P854" s="212" t="s">
        <v>276</v>
      </c>
      <c r="Q854" s="213" t="s">
        <v>108</v>
      </c>
      <c r="R854" s="218">
        <v>488000</v>
      </c>
      <c r="S854" s="218">
        <f>Product_Name[[#This Row],[Đơn giá
Unit Price]]*Product_Name[[#This Row],[Số lượng
Quantity]]</f>
        <v>488000</v>
      </c>
      <c r="T854" s="219">
        <v>45003</v>
      </c>
      <c r="U854" s="220">
        <v>45017</v>
      </c>
      <c r="V854" s="221">
        <v>45043</v>
      </c>
      <c r="W854" s="211" t="s">
        <v>2814</v>
      </c>
      <c r="X854" s="211" t="s">
        <v>1932</v>
      </c>
      <c r="Y854" s="220" t="s">
        <v>3179</v>
      </c>
      <c r="Z854" s="222" t="s">
        <v>2087</v>
      </c>
      <c r="AA854" s="216" t="s">
        <v>2647</v>
      </c>
      <c r="AB854" s="227"/>
      <c r="AC854" s="295"/>
    </row>
    <row r="855" spans="1:29" s="71" customFormat="1" ht="15.5" x14ac:dyDescent="0.35">
      <c r="A855" s="211">
        <v>10004</v>
      </c>
      <c r="B855" s="214" t="s">
        <v>3678</v>
      </c>
      <c r="C855" s="211">
        <v>13933</v>
      </c>
      <c r="D855" s="215" t="s">
        <v>110</v>
      </c>
      <c r="E855" s="215" t="s">
        <v>110</v>
      </c>
      <c r="F855" s="211" t="s">
        <v>110</v>
      </c>
      <c r="G855" s="211" t="s">
        <v>110</v>
      </c>
      <c r="H855" s="216" t="s">
        <v>3451</v>
      </c>
      <c r="I855" s="217" t="s">
        <v>3456</v>
      </c>
      <c r="J855" s="214" t="s">
        <v>3459</v>
      </c>
      <c r="K855" s="211" t="s">
        <v>3180</v>
      </c>
      <c r="L855" s="211" t="s">
        <v>3180</v>
      </c>
      <c r="M855" s="211" t="s">
        <v>123</v>
      </c>
      <c r="N855" s="211" t="s">
        <v>14</v>
      </c>
      <c r="O855" s="211">
        <v>3</v>
      </c>
      <c r="P855" s="212" t="s">
        <v>276</v>
      </c>
      <c r="Q855" s="213" t="s">
        <v>108</v>
      </c>
      <c r="R855" s="218">
        <v>441000</v>
      </c>
      <c r="S855" s="218">
        <f>Product_Name[[#This Row],[Đơn giá
Unit Price]]*Product_Name[[#This Row],[Số lượng
Quantity]]</f>
        <v>1323000</v>
      </c>
      <c r="T855" s="219">
        <v>45003</v>
      </c>
      <c r="U855" s="220">
        <v>45017</v>
      </c>
      <c r="V855" s="221">
        <v>45043</v>
      </c>
      <c r="W855" s="211" t="s">
        <v>2814</v>
      </c>
      <c r="X855" s="211" t="s">
        <v>1932</v>
      </c>
      <c r="Y855" s="220" t="s">
        <v>3179</v>
      </c>
      <c r="Z855" s="222" t="s">
        <v>2087</v>
      </c>
      <c r="AA855" s="216" t="s">
        <v>2647</v>
      </c>
      <c r="AB855" s="227"/>
      <c r="AC855" s="295"/>
    </row>
    <row r="856" spans="1:29" s="71" customFormat="1" ht="15.5" x14ac:dyDescent="0.35">
      <c r="A856" s="211">
        <v>10004</v>
      </c>
      <c r="B856" s="214" t="s">
        <v>3678</v>
      </c>
      <c r="C856" s="211">
        <v>13933</v>
      </c>
      <c r="D856" s="215" t="s">
        <v>110</v>
      </c>
      <c r="E856" s="215" t="s">
        <v>110</v>
      </c>
      <c r="F856" s="211" t="s">
        <v>110</v>
      </c>
      <c r="G856" s="211" t="s">
        <v>110</v>
      </c>
      <c r="H856" s="216" t="s">
        <v>3450</v>
      </c>
      <c r="I856" s="217" t="s">
        <v>3457</v>
      </c>
      <c r="J856" s="214" t="s">
        <v>3460</v>
      </c>
      <c r="K856" s="211" t="s">
        <v>3180</v>
      </c>
      <c r="L856" s="211" t="s">
        <v>3180</v>
      </c>
      <c r="M856" s="211" t="s">
        <v>123</v>
      </c>
      <c r="N856" s="211" t="s">
        <v>14</v>
      </c>
      <c r="O856" s="211">
        <v>2</v>
      </c>
      <c r="P856" s="212" t="s">
        <v>276</v>
      </c>
      <c r="Q856" s="213" t="s">
        <v>108</v>
      </c>
      <c r="R856" s="218">
        <v>512000</v>
      </c>
      <c r="S856" s="218">
        <f>Product_Name[[#This Row],[Đơn giá
Unit Price]]*Product_Name[[#This Row],[Số lượng
Quantity]]</f>
        <v>1024000</v>
      </c>
      <c r="T856" s="219">
        <v>45003</v>
      </c>
      <c r="U856" s="220">
        <v>45017</v>
      </c>
      <c r="V856" s="221">
        <v>45043</v>
      </c>
      <c r="W856" s="211" t="s">
        <v>2814</v>
      </c>
      <c r="X856" s="211" t="s">
        <v>1932</v>
      </c>
      <c r="Y856" s="220" t="s">
        <v>3179</v>
      </c>
      <c r="Z856" s="222" t="s">
        <v>2087</v>
      </c>
      <c r="AA856" s="216" t="s">
        <v>2647</v>
      </c>
      <c r="AB856" s="227"/>
      <c r="AC856" s="295"/>
    </row>
    <row r="857" spans="1:29" s="71" customFormat="1" ht="15.5" x14ac:dyDescent="0.35">
      <c r="A857" s="211">
        <v>10004</v>
      </c>
      <c r="B857" s="214" t="s">
        <v>3678</v>
      </c>
      <c r="C857" s="211">
        <v>13933</v>
      </c>
      <c r="D857" s="215" t="s">
        <v>110</v>
      </c>
      <c r="E857" s="215" t="s">
        <v>110</v>
      </c>
      <c r="F857" s="211" t="s">
        <v>110</v>
      </c>
      <c r="G857" s="211" t="s">
        <v>110</v>
      </c>
      <c r="H857" s="216" t="s">
        <v>3451</v>
      </c>
      <c r="I857" s="217" t="s">
        <v>3456</v>
      </c>
      <c r="J857" s="214" t="s">
        <v>3461</v>
      </c>
      <c r="K857" s="211" t="s">
        <v>3180</v>
      </c>
      <c r="L857" s="211" t="s">
        <v>3180</v>
      </c>
      <c r="M857" s="211" t="s">
        <v>123</v>
      </c>
      <c r="N857" s="211" t="s">
        <v>14</v>
      </c>
      <c r="O857" s="211">
        <v>1</v>
      </c>
      <c r="P857" s="212" t="s">
        <v>276</v>
      </c>
      <c r="Q857" s="213" t="s">
        <v>108</v>
      </c>
      <c r="R857" s="218">
        <v>560000</v>
      </c>
      <c r="S857" s="218">
        <f>Product_Name[[#This Row],[Đơn giá
Unit Price]]*Product_Name[[#This Row],[Số lượng
Quantity]]</f>
        <v>560000</v>
      </c>
      <c r="T857" s="219">
        <v>45003</v>
      </c>
      <c r="U857" s="220">
        <v>45017</v>
      </c>
      <c r="V857" s="221">
        <v>45043</v>
      </c>
      <c r="W857" s="211" t="s">
        <v>2814</v>
      </c>
      <c r="X857" s="211" t="s">
        <v>1932</v>
      </c>
      <c r="Y857" s="220" t="s">
        <v>3179</v>
      </c>
      <c r="Z857" s="222" t="s">
        <v>2087</v>
      </c>
      <c r="AA857" s="216" t="s">
        <v>2647</v>
      </c>
      <c r="AB857" s="227"/>
      <c r="AC857" s="295"/>
    </row>
    <row r="858" spans="1:29" s="71" customFormat="1" ht="15.5" x14ac:dyDescent="0.35">
      <c r="A858" s="211">
        <v>10004</v>
      </c>
      <c r="B858" s="214" t="s">
        <v>3678</v>
      </c>
      <c r="C858" s="211">
        <v>13933</v>
      </c>
      <c r="D858" s="215" t="s">
        <v>110</v>
      </c>
      <c r="E858" s="215" t="s">
        <v>110</v>
      </c>
      <c r="F858" s="211" t="s">
        <v>110</v>
      </c>
      <c r="G858" s="211" t="s">
        <v>110</v>
      </c>
      <c r="H858" s="216" t="s">
        <v>3452</v>
      </c>
      <c r="I858" s="217" t="s">
        <v>3455</v>
      </c>
      <c r="J858" s="214" t="s">
        <v>3462</v>
      </c>
      <c r="K858" s="211" t="s">
        <v>3180</v>
      </c>
      <c r="L858" s="211" t="s">
        <v>3180</v>
      </c>
      <c r="M858" s="211" t="s">
        <v>123</v>
      </c>
      <c r="N858" s="211" t="s">
        <v>14</v>
      </c>
      <c r="O858" s="211">
        <v>400</v>
      </c>
      <c r="P858" s="212" t="s">
        <v>276</v>
      </c>
      <c r="Q858" s="213" t="s">
        <v>108</v>
      </c>
      <c r="R858" s="218">
        <v>10000</v>
      </c>
      <c r="S858" s="218">
        <f>Product_Name[[#This Row],[Đơn giá
Unit Price]]*Product_Name[[#This Row],[Số lượng
Quantity]]</f>
        <v>4000000</v>
      </c>
      <c r="T858" s="219">
        <v>45003</v>
      </c>
      <c r="U858" s="220">
        <v>45017</v>
      </c>
      <c r="V858" s="221">
        <v>45043</v>
      </c>
      <c r="W858" s="211" t="s">
        <v>2814</v>
      </c>
      <c r="X858" s="211" t="s">
        <v>1932</v>
      </c>
      <c r="Y858" s="264" t="s">
        <v>3179</v>
      </c>
      <c r="Z858" s="222" t="s">
        <v>2087</v>
      </c>
      <c r="AA858" s="216" t="s">
        <v>2647</v>
      </c>
      <c r="AB858" s="227"/>
      <c r="AC858" s="295"/>
    </row>
    <row r="859" spans="1:29" s="71" customFormat="1" ht="15.5" x14ac:dyDescent="0.35">
      <c r="A859" s="211">
        <v>10004</v>
      </c>
      <c r="B859" s="214" t="s">
        <v>3678</v>
      </c>
      <c r="C859" s="211">
        <v>13933</v>
      </c>
      <c r="D859" s="215" t="s">
        <v>110</v>
      </c>
      <c r="E859" s="215" t="s">
        <v>110</v>
      </c>
      <c r="F859" s="211" t="s">
        <v>110</v>
      </c>
      <c r="G859" s="211" t="s">
        <v>110</v>
      </c>
      <c r="H859" s="216" t="s">
        <v>3453</v>
      </c>
      <c r="I859" s="217" t="s">
        <v>3454</v>
      </c>
      <c r="J859" s="214" t="s">
        <v>3209</v>
      </c>
      <c r="K859" s="211" t="s">
        <v>3180</v>
      </c>
      <c r="L859" s="211" t="s">
        <v>3180</v>
      </c>
      <c r="M859" s="211" t="s">
        <v>123</v>
      </c>
      <c r="N859" s="211" t="s">
        <v>14</v>
      </c>
      <c r="O859" s="211">
        <v>2000</v>
      </c>
      <c r="P859" s="212" t="s">
        <v>276</v>
      </c>
      <c r="Q859" s="213" t="s">
        <v>108</v>
      </c>
      <c r="R859" s="218">
        <v>0</v>
      </c>
      <c r="S859" s="218">
        <f>Product_Name[[#This Row],[Đơn giá
Unit Price]]*Product_Name[[#This Row],[Số lượng
Quantity]]</f>
        <v>0</v>
      </c>
      <c r="T859" s="219">
        <v>45003</v>
      </c>
      <c r="U859" s="220">
        <v>45017</v>
      </c>
      <c r="V859" s="221">
        <v>45043</v>
      </c>
      <c r="W859" s="211" t="s">
        <v>2814</v>
      </c>
      <c r="X859" s="211" t="s">
        <v>1932</v>
      </c>
      <c r="Y859" s="264" t="s">
        <v>3179</v>
      </c>
      <c r="Z859" s="222" t="s">
        <v>2087</v>
      </c>
      <c r="AA859" s="216" t="s">
        <v>2647</v>
      </c>
      <c r="AB859" s="227"/>
      <c r="AC859" s="295"/>
    </row>
    <row r="860" spans="1:29" s="71" customFormat="1" ht="31" x14ac:dyDescent="0.35">
      <c r="A860" s="215" t="s">
        <v>110</v>
      </c>
      <c r="B860" s="214"/>
      <c r="C860" s="215" t="s">
        <v>110</v>
      </c>
      <c r="D860" s="215">
        <v>4892</v>
      </c>
      <c r="E860" s="215">
        <v>10258</v>
      </c>
      <c r="F860" s="211" t="s">
        <v>3536</v>
      </c>
      <c r="G860" s="211" t="s">
        <v>3554</v>
      </c>
      <c r="H860" s="216" t="s">
        <v>3465</v>
      </c>
      <c r="I860" s="217" t="s">
        <v>3467</v>
      </c>
      <c r="J860" s="211" t="s">
        <v>3466</v>
      </c>
      <c r="K860" s="211" t="s">
        <v>733</v>
      </c>
      <c r="L860" s="211" t="s">
        <v>733</v>
      </c>
      <c r="M860" s="211" t="s">
        <v>796</v>
      </c>
      <c r="N860" s="211" t="s">
        <v>642</v>
      </c>
      <c r="O860" s="211">
        <v>2</v>
      </c>
      <c r="P860" s="212" t="s">
        <v>276</v>
      </c>
      <c r="Q860" s="213" t="s">
        <v>108</v>
      </c>
      <c r="R860" s="218">
        <v>5240000</v>
      </c>
      <c r="S860" s="218">
        <f>Product_Name[[#This Row],[Đơn giá
Unit Price]]*Product_Name[[#This Row],[Số lượng
Quantity]]</f>
        <v>10480000</v>
      </c>
      <c r="T860" s="219">
        <v>45022</v>
      </c>
      <c r="U860" s="220">
        <v>45052</v>
      </c>
      <c r="V860" s="221"/>
      <c r="W860" s="211" t="s">
        <v>2160</v>
      </c>
      <c r="X860" s="211" t="s">
        <v>16</v>
      </c>
      <c r="Y860" s="264" t="s">
        <v>3469</v>
      </c>
      <c r="Z860" s="222" t="s">
        <v>2087</v>
      </c>
      <c r="AA860" s="216" t="s">
        <v>3468</v>
      </c>
      <c r="AB860" s="227">
        <v>45020</v>
      </c>
      <c r="AC860" s="295"/>
    </row>
    <row r="861" spans="1:29" s="71" customFormat="1" ht="15.5" x14ac:dyDescent="0.35">
      <c r="A861" s="211">
        <v>10034</v>
      </c>
      <c r="B861" s="214" t="s">
        <v>3564</v>
      </c>
      <c r="C861" s="211">
        <v>13940</v>
      </c>
      <c r="D861" s="215" t="s">
        <v>110</v>
      </c>
      <c r="E861" s="215" t="s">
        <v>110</v>
      </c>
      <c r="F861" s="211" t="s">
        <v>110</v>
      </c>
      <c r="G861" s="211" t="s">
        <v>110</v>
      </c>
      <c r="H861" s="216" t="s">
        <v>2362</v>
      </c>
      <c r="I861" s="217" t="s">
        <v>2361</v>
      </c>
      <c r="J861" s="211" t="s">
        <v>2363</v>
      </c>
      <c r="K861" s="211" t="s">
        <v>1150</v>
      </c>
      <c r="L861" s="211" t="s">
        <v>218</v>
      </c>
      <c r="M861" s="211" t="s">
        <v>123</v>
      </c>
      <c r="N861" s="211" t="s">
        <v>14</v>
      </c>
      <c r="O861" s="211">
        <v>250</v>
      </c>
      <c r="P861" s="212" t="s">
        <v>47</v>
      </c>
      <c r="Q861" s="213" t="s">
        <v>108</v>
      </c>
      <c r="R861" s="218">
        <v>42000</v>
      </c>
      <c r="S861" s="218">
        <f>Product_Name[[#This Row],[Đơn giá
Unit Price]]*Product_Name[[#This Row],[Số lượng
Quantity]]</f>
        <v>10500000</v>
      </c>
      <c r="T861" s="219">
        <v>45005</v>
      </c>
      <c r="U861" s="220">
        <v>45009</v>
      </c>
      <c r="V861" s="221">
        <v>45023</v>
      </c>
      <c r="W861" s="211" t="s">
        <v>2813</v>
      </c>
      <c r="X861" s="211" t="s">
        <v>16</v>
      </c>
      <c r="Y861" s="264">
        <v>44914</v>
      </c>
      <c r="Z861" s="222" t="s">
        <v>2087</v>
      </c>
      <c r="AA861" s="216" t="s">
        <v>2155</v>
      </c>
      <c r="AB861" s="227" t="s">
        <v>110</v>
      </c>
      <c r="AC861" s="295"/>
    </row>
    <row r="862" spans="1:29" s="71" customFormat="1" ht="77.5" x14ac:dyDescent="0.35">
      <c r="A862" s="211"/>
      <c r="B862" s="214"/>
      <c r="C862" s="211"/>
      <c r="D862" s="215"/>
      <c r="E862" s="215"/>
      <c r="F862" s="211"/>
      <c r="G862" s="211"/>
      <c r="H862" s="216" t="s">
        <v>3474</v>
      </c>
      <c r="I862" s="217" t="s">
        <v>1880</v>
      </c>
      <c r="J862" s="211" t="s">
        <v>3476</v>
      </c>
      <c r="K862" s="211"/>
      <c r="L862" s="211"/>
      <c r="M862" s="211" t="s">
        <v>1944</v>
      </c>
      <c r="N862" s="211" t="s">
        <v>3238</v>
      </c>
      <c r="O862" s="211">
        <v>1</v>
      </c>
      <c r="P862" s="212" t="s">
        <v>1092</v>
      </c>
      <c r="Q862" s="213" t="s">
        <v>108</v>
      </c>
      <c r="R862" s="218"/>
      <c r="S862" s="218">
        <f>Product_Name[[#This Row],[Đơn giá
Unit Price]]*Product_Name[[#This Row],[Số lượng
Quantity]]</f>
        <v>0</v>
      </c>
      <c r="T862" s="219"/>
      <c r="U862" s="220"/>
      <c r="V862" s="221"/>
      <c r="W862" s="211" t="s">
        <v>3198</v>
      </c>
      <c r="X862" s="211" t="s">
        <v>16</v>
      </c>
      <c r="Y862" s="264" t="s">
        <v>3666</v>
      </c>
      <c r="Z862" s="265" t="s">
        <v>3323</v>
      </c>
      <c r="AA862" s="216" t="s">
        <v>2647</v>
      </c>
      <c r="AB862" s="227"/>
      <c r="AC862" s="295"/>
    </row>
    <row r="863" spans="1:29" s="71" customFormat="1" ht="62" x14ac:dyDescent="0.35">
      <c r="A863" s="211"/>
      <c r="B863" s="214"/>
      <c r="C863" s="211"/>
      <c r="D863" s="215"/>
      <c r="E863" s="215"/>
      <c r="F863" s="211"/>
      <c r="G863" s="211"/>
      <c r="H863" s="216" t="s">
        <v>2409</v>
      </c>
      <c r="I863" s="217" t="s">
        <v>3475</v>
      </c>
      <c r="J863" s="211" t="s">
        <v>3477</v>
      </c>
      <c r="K863" s="211"/>
      <c r="L863" s="211"/>
      <c r="M863" s="211" t="s">
        <v>1944</v>
      </c>
      <c r="N863" s="211" t="s">
        <v>3238</v>
      </c>
      <c r="O863" s="211">
        <v>2</v>
      </c>
      <c r="P863" s="212" t="s">
        <v>1092</v>
      </c>
      <c r="Q863" s="213" t="s">
        <v>108</v>
      </c>
      <c r="R863" s="218"/>
      <c r="S863" s="218">
        <f>Product_Name[[#This Row],[Đơn giá
Unit Price]]*Product_Name[[#This Row],[Số lượng
Quantity]]</f>
        <v>0</v>
      </c>
      <c r="T863" s="219"/>
      <c r="U863" s="220"/>
      <c r="V863" s="221"/>
      <c r="W863" s="211" t="s">
        <v>3198</v>
      </c>
      <c r="X863" s="211" t="s">
        <v>16</v>
      </c>
      <c r="Y863" s="264" t="s">
        <v>3666</v>
      </c>
      <c r="Z863" s="265" t="s">
        <v>3324</v>
      </c>
      <c r="AA863" s="216" t="s">
        <v>2647</v>
      </c>
      <c r="AB863" s="227"/>
      <c r="AC863" s="295"/>
    </row>
    <row r="864" spans="1:29" s="71" customFormat="1" ht="31" x14ac:dyDescent="0.35">
      <c r="A864" s="211" t="s">
        <v>110</v>
      </c>
      <c r="B864" s="214"/>
      <c r="C864" s="211" t="s">
        <v>110</v>
      </c>
      <c r="D864" s="215">
        <v>4923</v>
      </c>
      <c r="E864" s="215">
        <v>10351</v>
      </c>
      <c r="F864" s="211" t="s">
        <v>3562</v>
      </c>
      <c r="G864" s="211" t="s">
        <v>3584</v>
      </c>
      <c r="H864" s="216" t="s">
        <v>3561</v>
      </c>
      <c r="I864" s="217" t="s">
        <v>3478</v>
      </c>
      <c r="J864" s="211" t="s">
        <v>3560</v>
      </c>
      <c r="K864" s="211" t="s">
        <v>3557</v>
      </c>
      <c r="L864" s="211" t="s">
        <v>3558</v>
      </c>
      <c r="M864" s="211" t="s">
        <v>796</v>
      </c>
      <c r="N864" s="211" t="s">
        <v>3238</v>
      </c>
      <c r="O864" s="211">
        <v>1</v>
      </c>
      <c r="P864" s="212" t="s">
        <v>276</v>
      </c>
      <c r="Q864" s="211" t="s">
        <v>390</v>
      </c>
      <c r="R864" s="237">
        <v>936.11</v>
      </c>
      <c r="S864" s="237">
        <f>Product_Name[[#This Row],[Đơn giá
Unit Price]]*Product_Name[[#This Row],[Số lượng
Quantity]]</f>
        <v>936.11</v>
      </c>
      <c r="T864" s="219">
        <v>45028</v>
      </c>
      <c r="U864" s="220">
        <v>45065</v>
      </c>
      <c r="V864" s="221"/>
      <c r="W864" s="211" t="s">
        <v>3273</v>
      </c>
      <c r="X864" s="211" t="s">
        <v>16</v>
      </c>
      <c r="Y864" s="264" t="s">
        <v>3479</v>
      </c>
      <c r="Z864" s="222"/>
      <c r="AA864" s="216" t="s">
        <v>3559</v>
      </c>
      <c r="AB864" s="227">
        <v>45023</v>
      </c>
      <c r="AC864" s="295"/>
    </row>
    <row r="865" spans="1:29" s="71" customFormat="1" ht="15.5" x14ac:dyDescent="0.35">
      <c r="A865" s="211">
        <v>10037</v>
      </c>
      <c r="B865" s="214" t="s">
        <v>3539</v>
      </c>
      <c r="C865" s="211">
        <v>14027</v>
      </c>
      <c r="D865" s="215" t="s">
        <v>110</v>
      </c>
      <c r="E865" s="215" t="s">
        <v>110</v>
      </c>
      <c r="F865" s="211" t="s">
        <v>110</v>
      </c>
      <c r="G865" s="211" t="s">
        <v>110</v>
      </c>
      <c r="H865" s="216" t="s">
        <v>2206</v>
      </c>
      <c r="I865" s="217" t="s">
        <v>2207</v>
      </c>
      <c r="J865" s="211" t="s">
        <v>2200</v>
      </c>
      <c r="K865" s="211" t="s">
        <v>2265</v>
      </c>
      <c r="L865" s="211" t="s">
        <v>2265</v>
      </c>
      <c r="M865" s="211" t="s">
        <v>1282</v>
      </c>
      <c r="N865" s="211" t="s">
        <v>14</v>
      </c>
      <c r="O865" s="211">
        <v>250</v>
      </c>
      <c r="P865" s="212" t="s">
        <v>276</v>
      </c>
      <c r="Q865" s="213" t="s">
        <v>108</v>
      </c>
      <c r="R865" s="218">
        <v>795000</v>
      </c>
      <c r="S865" s="218">
        <f>Product_Name[[#This Row],[Đơn giá
Unit Price]]*Product_Name[[#This Row],[Số lượng
Quantity]]</f>
        <v>198750000</v>
      </c>
      <c r="T865" s="219">
        <v>45006</v>
      </c>
      <c r="U865" s="220">
        <v>45019</v>
      </c>
      <c r="V865" s="221">
        <v>45020</v>
      </c>
      <c r="W865" s="211" t="s">
        <v>2814</v>
      </c>
      <c r="X865" s="211" t="s">
        <v>55</v>
      </c>
      <c r="Y865" s="264">
        <v>45005</v>
      </c>
      <c r="Z865" s="222" t="s">
        <v>2087</v>
      </c>
      <c r="AA865" s="216" t="s">
        <v>2155</v>
      </c>
      <c r="AB865" s="227" t="s">
        <v>110</v>
      </c>
      <c r="AC865" s="295"/>
    </row>
    <row r="866" spans="1:29" s="71" customFormat="1" ht="15.5" x14ac:dyDescent="0.35">
      <c r="A866" s="211">
        <v>10037</v>
      </c>
      <c r="B866" s="214" t="s">
        <v>3539</v>
      </c>
      <c r="C866" s="211">
        <v>14027</v>
      </c>
      <c r="D866" s="215" t="s">
        <v>110</v>
      </c>
      <c r="E866" s="215" t="s">
        <v>110</v>
      </c>
      <c r="F866" s="211" t="s">
        <v>110</v>
      </c>
      <c r="G866" s="211" t="s">
        <v>110</v>
      </c>
      <c r="H866" s="216" t="s">
        <v>2208</v>
      </c>
      <c r="I866" s="217" t="s">
        <v>2209</v>
      </c>
      <c r="J866" s="211" t="s">
        <v>2201</v>
      </c>
      <c r="K866" s="211" t="s">
        <v>2265</v>
      </c>
      <c r="L866" s="211" t="s">
        <v>2265</v>
      </c>
      <c r="M866" s="211" t="s">
        <v>1282</v>
      </c>
      <c r="N866" s="211" t="s">
        <v>14</v>
      </c>
      <c r="O866" s="211">
        <v>250</v>
      </c>
      <c r="P866" s="212" t="s">
        <v>276</v>
      </c>
      <c r="Q866" s="213" t="s">
        <v>108</v>
      </c>
      <c r="R866" s="218">
        <v>245000</v>
      </c>
      <c r="S866" s="218">
        <f>Product_Name[[#This Row],[Đơn giá
Unit Price]]*Product_Name[[#This Row],[Số lượng
Quantity]]</f>
        <v>61250000</v>
      </c>
      <c r="T866" s="219">
        <v>45006</v>
      </c>
      <c r="U866" s="220">
        <v>45019</v>
      </c>
      <c r="V866" s="221">
        <v>45020</v>
      </c>
      <c r="W866" s="211" t="s">
        <v>2814</v>
      </c>
      <c r="X866" s="211" t="s">
        <v>55</v>
      </c>
      <c r="Y866" s="264">
        <v>45005</v>
      </c>
      <c r="Z866" s="222" t="s">
        <v>2087</v>
      </c>
      <c r="AA866" s="216" t="s">
        <v>2155</v>
      </c>
      <c r="AB866" s="227" t="s">
        <v>110</v>
      </c>
      <c r="AC866" s="295"/>
    </row>
    <row r="867" spans="1:29" s="71" customFormat="1" ht="15.5" x14ac:dyDescent="0.35">
      <c r="A867" s="211">
        <v>10037</v>
      </c>
      <c r="B867" s="214" t="s">
        <v>3539</v>
      </c>
      <c r="C867" s="211">
        <v>14027</v>
      </c>
      <c r="D867" s="215" t="s">
        <v>110</v>
      </c>
      <c r="E867" s="215" t="s">
        <v>110</v>
      </c>
      <c r="F867" s="211" t="s">
        <v>110</v>
      </c>
      <c r="G867" s="211" t="s">
        <v>110</v>
      </c>
      <c r="H867" s="216" t="s">
        <v>2214</v>
      </c>
      <c r="I867" s="217" t="s">
        <v>2215</v>
      </c>
      <c r="J867" s="211" t="s">
        <v>2204</v>
      </c>
      <c r="K867" s="211" t="s">
        <v>2265</v>
      </c>
      <c r="L867" s="211" t="s">
        <v>2265</v>
      </c>
      <c r="M867" s="211" t="s">
        <v>1282</v>
      </c>
      <c r="N867" s="211" t="s">
        <v>14</v>
      </c>
      <c r="O867" s="211">
        <v>800</v>
      </c>
      <c r="P867" s="212" t="s">
        <v>276</v>
      </c>
      <c r="Q867" s="213" t="s">
        <v>108</v>
      </c>
      <c r="R867" s="218">
        <v>55000</v>
      </c>
      <c r="S867" s="218">
        <f>Product_Name[[#This Row],[Đơn giá
Unit Price]]*Product_Name[[#This Row],[Số lượng
Quantity]]</f>
        <v>44000000</v>
      </c>
      <c r="T867" s="219">
        <v>45006</v>
      </c>
      <c r="U867" s="220">
        <v>45019</v>
      </c>
      <c r="V867" s="221">
        <v>45020</v>
      </c>
      <c r="W867" s="211" t="s">
        <v>2814</v>
      </c>
      <c r="X867" s="211" t="s">
        <v>55</v>
      </c>
      <c r="Y867" s="264">
        <v>45005</v>
      </c>
      <c r="Z867" s="222" t="s">
        <v>2087</v>
      </c>
      <c r="AA867" s="216" t="s">
        <v>2155</v>
      </c>
      <c r="AB867" s="227" t="s">
        <v>110</v>
      </c>
      <c r="AC867" s="295"/>
    </row>
    <row r="868" spans="1:29" s="71" customFormat="1" ht="15.5" x14ac:dyDescent="0.35">
      <c r="A868" s="211">
        <v>10037</v>
      </c>
      <c r="B868" s="214" t="s">
        <v>3539</v>
      </c>
      <c r="C868" s="211">
        <v>14027</v>
      </c>
      <c r="D868" s="215" t="s">
        <v>110</v>
      </c>
      <c r="E868" s="215" t="s">
        <v>110</v>
      </c>
      <c r="F868" s="211" t="s">
        <v>110</v>
      </c>
      <c r="G868" s="211" t="s">
        <v>110</v>
      </c>
      <c r="H868" s="216" t="s">
        <v>2216</v>
      </c>
      <c r="I868" s="217" t="s">
        <v>2217</v>
      </c>
      <c r="J868" s="211" t="s">
        <v>2205</v>
      </c>
      <c r="K868" s="211" t="s">
        <v>2265</v>
      </c>
      <c r="L868" s="211" t="s">
        <v>2265</v>
      </c>
      <c r="M868" s="211" t="s">
        <v>1282</v>
      </c>
      <c r="N868" s="211" t="s">
        <v>14</v>
      </c>
      <c r="O868" s="211">
        <v>1550</v>
      </c>
      <c r="P868" s="212" t="s">
        <v>276</v>
      </c>
      <c r="Q868" s="213" t="s">
        <v>108</v>
      </c>
      <c r="R868" s="218">
        <v>22000</v>
      </c>
      <c r="S868" s="218">
        <f>Product_Name[[#This Row],[Đơn giá
Unit Price]]*Product_Name[[#This Row],[Số lượng
Quantity]]</f>
        <v>34100000</v>
      </c>
      <c r="T868" s="219">
        <v>45006</v>
      </c>
      <c r="U868" s="220">
        <v>45019</v>
      </c>
      <c r="V868" s="221">
        <v>45020</v>
      </c>
      <c r="W868" s="211" t="s">
        <v>2814</v>
      </c>
      <c r="X868" s="211" t="s">
        <v>55</v>
      </c>
      <c r="Y868" s="264">
        <v>45005</v>
      </c>
      <c r="Z868" s="222" t="s">
        <v>2087</v>
      </c>
      <c r="AA868" s="216" t="s">
        <v>2155</v>
      </c>
      <c r="AB868" s="227" t="s">
        <v>110</v>
      </c>
      <c r="AC868" s="295"/>
    </row>
    <row r="869" spans="1:29" s="71" customFormat="1" ht="15.5" x14ac:dyDescent="0.35">
      <c r="A869" s="211">
        <v>10134</v>
      </c>
      <c r="B869" s="214" t="s">
        <v>3599</v>
      </c>
      <c r="C869" s="211">
        <v>14173</v>
      </c>
      <c r="D869" s="215" t="s">
        <v>110</v>
      </c>
      <c r="E869" s="215" t="s">
        <v>110</v>
      </c>
      <c r="F869" s="211" t="s">
        <v>110</v>
      </c>
      <c r="G869" s="211" t="s">
        <v>110</v>
      </c>
      <c r="H869" s="216" t="s">
        <v>2266</v>
      </c>
      <c r="I869" s="217" t="s">
        <v>2267</v>
      </c>
      <c r="J869" s="211" t="s">
        <v>2268</v>
      </c>
      <c r="K869" s="211" t="s">
        <v>1751</v>
      </c>
      <c r="L869" s="211" t="s">
        <v>1751</v>
      </c>
      <c r="M869" s="211" t="s">
        <v>1282</v>
      </c>
      <c r="N869" s="211" t="s">
        <v>14</v>
      </c>
      <c r="O869" s="211">
        <v>10</v>
      </c>
      <c r="P869" s="212" t="s">
        <v>107</v>
      </c>
      <c r="Q869" s="213" t="s">
        <v>108</v>
      </c>
      <c r="R869" s="218">
        <v>1150000</v>
      </c>
      <c r="S869" s="218">
        <v>11500000</v>
      </c>
      <c r="T869" s="219">
        <v>45012</v>
      </c>
      <c r="U869" s="220" t="s">
        <v>3496</v>
      </c>
      <c r="V869" s="221">
        <v>45030</v>
      </c>
      <c r="W869" s="211" t="s">
        <v>2814</v>
      </c>
      <c r="X869" s="211" t="s">
        <v>55</v>
      </c>
      <c r="Y869" s="264" t="s">
        <v>2269</v>
      </c>
      <c r="Z869" s="222" t="s">
        <v>2087</v>
      </c>
      <c r="AA869" s="216" t="s">
        <v>2155</v>
      </c>
      <c r="AB869" s="227" t="s">
        <v>110</v>
      </c>
      <c r="AC869" s="295"/>
    </row>
    <row r="870" spans="1:29" s="71" customFormat="1" ht="15.5" x14ac:dyDescent="0.35">
      <c r="A870" s="211">
        <v>10143</v>
      </c>
      <c r="B870" s="214" t="s">
        <v>3566</v>
      </c>
      <c r="C870" s="211">
        <v>14174</v>
      </c>
      <c r="D870" s="215" t="s">
        <v>110</v>
      </c>
      <c r="E870" s="215" t="s">
        <v>110</v>
      </c>
      <c r="F870" s="211" t="s">
        <v>110</v>
      </c>
      <c r="G870" s="211" t="s">
        <v>110</v>
      </c>
      <c r="H870" s="216" t="s">
        <v>1671</v>
      </c>
      <c r="I870" s="217" t="s">
        <v>1667</v>
      </c>
      <c r="J870" s="211" t="s">
        <v>3069</v>
      </c>
      <c r="K870" s="211" t="s">
        <v>3031</v>
      </c>
      <c r="L870" s="211" t="s">
        <v>3031</v>
      </c>
      <c r="M870" s="211" t="s">
        <v>1282</v>
      </c>
      <c r="N870" s="211" t="s">
        <v>14</v>
      </c>
      <c r="O870" s="211">
        <v>15000</v>
      </c>
      <c r="P870" s="212" t="s">
        <v>276</v>
      </c>
      <c r="Q870" s="213" t="s">
        <v>108</v>
      </c>
      <c r="R870" s="218">
        <v>1233</v>
      </c>
      <c r="S870" s="218">
        <f>Product_Name[[#This Row],[Đơn giá
Unit Price]]*Product_Name[[#This Row],[Số lượng
Quantity]]</f>
        <v>18495000</v>
      </c>
      <c r="T870" s="219">
        <v>45012</v>
      </c>
      <c r="U870" s="220" t="s">
        <v>3496</v>
      </c>
      <c r="V870" s="221">
        <v>45023</v>
      </c>
      <c r="W870" s="211" t="s">
        <v>2813</v>
      </c>
      <c r="X870" s="211" t="s">
        <v>55</v>
      </c>
      <c r="Y870" s="264">
        <v>45012</v>
      </c>
      <c r="Z870" s="222" t="s">
        <v>2087</v>
      </c>
      <c r="AA870" s="216" t="s">
        <v>2155</v>
      </c>
      <c r="AB870" s="227"/>
      <c r="AC870" s="295"/>
    </row>
    <row r="871" spans="1:29" s="71" customFormat="1" ht="15.5" x14ac:dyDescent="0.35">
      <c r="A871" s="211">
        <v>10143</v>
      </c>
      <c r="B871" s="214" t="s">
        <v>3566</v>
      </c>
      <c r="C871" s="211">
        <v>14174</v>
      </c>
      <c r="D871" s="215" t="s">
        <v>110</v>
      </c>
      <c r="E871" s="215" t="s">
        <v>110</v>
      </c>
      <c r="F871" s="211" t="s">
        <v>110</v>
      </c>
      <c r="G871" s="211" t="s">
        <v>110</v>
      </c>
      <c r="H871" s="216" t="s">
        <v>1672</v>
      </c>
      <c r="I871" s="217" t="s">
        <v>1668</v>
      </c>
      <c r="J871" s="211" t="s">
        <v>3070</v>
      </c>
      <c r="K871" s="211" t="s">
        <v>3031</v>
      </c>
      <c r="L871" s="211" t="s">
        <v>3031</v>
      </c>
      <c r="M871" s="211" t="s">
        <v>1282</v>
      </c>
      <c r="N871" s="211" t="s">
        <v>14</v>
      </c>
      <c r="O871" s="211">
        <v>15000</v>
      </c>
      <c r="P871" s="212" t="s">
        <v>276</v>
      </c>
      <c r="Q871" s="213" t="s">
        <v>108</v>
      </c>
      <c r="R871" s="218">
        <v>1746</v>
      </c>
      <c r="S871" s="218">
        <f>Product_Name[[#This Row],[Đơn giá
Unit Price]]*Product_Name[[#This Row],[Số lượng
Quantity]]</f>
        <v>26190000</v>
      </c>
      <c r="T871" s="219">
        <v>45012</v>
      </c>
      <c r="U871" s="220" t="s">
        <v>3496</v>
      </c>
      <c r="V871" s="221">
        <v>45023</v>
      </c>
      <c r="W871" s="211" t="s">
        <v>2813</v>
      </c>
      <c r="X871" s="211" t="s">
        <v>55</v>
      </c>
      <c r="Y871" s="264">
        <v>45012</v>
      </c>
      <c r="Z871" s="222" t="s">
        <v>2087</v>
      </c>
      <c r="AA871" s="216" t="s">
        <v>2155</v>
      </c>
      <c r="AB871" s="227"/>
      <c r="AC871" s="295"/>
    </row>
    <row r="872" spans="1:29" s="71" customFormat="1" ht="31" x14ac:dyDescent="0.35">
      <c r="A872" s="211" t="s">
        <v>110</v>
      </c>
      <c r="B872" s="214"/>
      <c r="C872" s="211" t="s">
        <v>110</v>
      </c>
      <c r="D872" s="215"/>
      <c r="E872" s="215"/>
      <c r="F872" s="213" t="s">
        <v>3680</v>
      </c>
      <c r="G872" s="211"/>
      <c r="H872" s="216" t="s">
        <v>2840</v>
      </c>
      <c r="I872" s="217" t="s">
        <v>2841</v>
      </c>
      <c r="J872" s="211" t="s">
        <v>3524</v>
      </c>
      <c r="K872" s="211" t="s">
        <v>1810</v>
      </c>
      <c r="L872" s="211" t="s">
        <v>1810</v>
      </c>
      <c r="M872" s="211" t="s">
        <v>796</v>
      </c>
      <c r="N872" s="211" t="s">
        <v>642</v>
      </c>
      <c r="O872" s="211">
        <v>48</v>
      </c>
      <c r="P872" s="212" t="s">
        <v>44</v>
      </c>
      <c r="Q872" s="213" t="s">
        <v>390</v>
      </c>
      <c r="R872" s="218">
        <v>656</v>
      </c>
      <c r="S872" s="218">
        <f>Product_Name[[#This Row],[Đơn giá
Unit Price]]*Product_Name[[#This Row],[Số lượng
Quantity]]</f>
        <v>31488</v>
      </c>
      <c r="T872" s="219"/>
      <c r="U872" s="220"/>
      <c r="V872" s="221"/>
      <c r="W872" s="211" t="s">
        <v>2577</v>
      </c>
      <c r="X872" s="211" t="s">
        <v>55</v>
      </c>
      <c r="Y872" s="264" t="s">
        <v>3525</v>
      </c>
      <c r="Z872" s="222" t="s">
        <v>2087</v>
      </c>
      <c r="AA872" s="216" t="s">
        <v>3519</v>
      </c>
      <c r="AB872" s="227">
        <v>45044</v>
      </c>
      <c r="AC872" s="295"/>
    </row>
    <row r="873" spans="1:29" s="71" customFormat="1" ht="31" x14ac:dyDescent="0.35">
      <c r="A873" s="211"/>
      <c r="B873" s="214"/>
      <c r="C873" s="211"/>
      <c r="D873" s="215"/>
      <c r="E873" s="215"/>
      <c r="F873" s="211"/>
      <c r="G873" s="211"/>
      <c r="H873" s="216" t="s">
        <v>3516</v>
      </c>
      <c r="I873" s="217" t="s">
        <v>3517</v>
      </c>
      <c r="J873" s="211" t="s">
        <v>3518</v>
      </c>
      <c r="K873" s="211"/>
      <c r="L873" s="211"/>
      <c r="M873" s="211"/>
      <c r="N873" s="211" t="s">
        <v>14</v>
      </c>
      <c r="O873" s="211">
        <v>48</v>
      </c>
      <c r="P873" s="212" t="s">
        <v>276</v>
      </c>
      <c r="Q873" s="213" t="s">
        <v>108</v>
      </c>
      <c r="R873" s="218"/>
      <c r="S873" s="218"/>
      <c r="T873" s="219"/>
      <c r="U873" s="220"/>
      <c r="V873" s="221"/>
      <c r="W873" s="211" t="s">
        <v>2577</v>
      </c>
      <c r="X873" s="211" t="s">
        <v>55</v>
      </c>
      <c r="Y873" s="264" t="s">
        <v>3525</v>
      </c>
      <c r="Z873" s="222" t="s">
        <v>2087</v>
      </c>
      <c r="AA873" s="216" t="s">
        <v>3519</v>
      </c>
      <c r="AB873" s="227"/>
      <c r="AC873" s="295"/>
    </row>
    <row r="874" spans="1:29" s="71" customFormat="1" ht="62" x14ac:dyDescent="0.35">
      <c r="A874" s="211">
        <v>10194</v>
      </c>
      <c r="B874" s="214"/>
      <c r="C874" s="211">
        <v>14293</v>
      </c>
      <c r="D874" s="215" t="s">
        <v>110</v>
      </c>
      <c r="E874" s="215" t="s">
        <v>110</v>
      </c>
      <c r="F874" s="211" t="s">
        <v>110</v>
      </c>
      <c r="G874" s="211" t="s">
        <v>110</v>
      </c>
      <c r="H874" s="216" t="s">
        <v>324</v>
      </c>
      <c r="I874" s="217" t="s">
        <v>3521</v>
      </c>
      <c r="J874" s="211" t="s">
        <v>325</v>
      </c>
      <c r="K874" s="211" t="s">
        <v>3520</v>
      </c>
      <c r="L874" s="211" t="s">
        <v>231</v>
      </c>
      <c r="M874" s="211" t="s">
        <v>327</v>
      </c>
      <c r="N874" s="211" t="s">
        <v>14</v>
      </c>
      <c r="O874" s="211">
        <v>18400</v>
      </c>
      <c r="P874" s="212" t="s">
        <v>46</v>
      </c>
      <c r="Q874" s="213" t="s">
        <v>108</v>
      </c>
      <c r="R874" s="218">
        <v>63910</v>
      </c>
      <c r="S874" s="218">
        <f>Product_Name[[#This Row],[Đơn giá
Unit Price]]*Product_Name[[#This Row],[Số lượng
Quantity]]</f>
        <v>1175944000</v>
      </c>
      <c r="T874" s="219">
        <v>45016</v>
      </c>
      <c r="U874" s="220">
        <v>45061</v>
      </c>
      <c r="V874" s="221"/>
      <c r="W874" s="211" t="s">
        <v>3198</v>
      </c>
      <c r="X874" s="211" t="s">
        <v>16</v>
      </c>
      <c r="Y874" s="264" t="s">
        <v>2833</v>
      </c>
      <c r="Z874" s="222" t="s">
        <v>328</v>
      </c>
      <c r="AA874" s="224" t="s">
        <v>2881</v>
      </c>
      <c r="AB874" s="227"/>
      <c r="AC874" s="295"/>
    </row>
    <row r="875" spans="1:29" ht="15.5" x14ac:dyDescent="0.35">
      <c r="A875" s="211"/>
      <c r="B875" s="214"/>
      <c r="C875" s="211"/>
      <c r="D875" s="215" t="s">
        <v>110</v>
      </c>
      <c r="E875" s="215" t="s">
        <v>110</v>
      </c>
      <c r="F875" s="215" t="s">
        <v>110</v>
      </c>
      <c r="G875" s="215" t="s">
        <v>110</v>
      </c>
      <c r="H875" s="216" t="s">
        <v>932</v>
      </c>
      <c r="I875" s="217" t="s">
        <v>829</v>
      </c>
      <c r="J875" s="211" t="s">
        <v>827</v>
      </c>
      <c r="K875" s="211" t="s">
        <v>1877</v>
      </c>
      <c r="L875" s="211" t="s">
        <v>162</v>
      </c>
      <c r="M875" s="211" t="s">
        <v>123</v>
      </c>
      <c r="N875" s="211" t="s">
        <v>14</v>
      </c>
      <c r="O875" s="213">
        <v>500</v>
      </c>
      <c r="P875" s="211" t="s">
        <v>37</v>
      </c>
      <c r="Q875" s="213" t="s">
        <v>108</v>
      </c>
      <c r="R875" s="218">
        <v>30000</v>
      </c>
      <c r="S875" s="218">
        <f>Product_Name[[#This Row],[Đơn giá
Unit Price]]*Product_Name[[#This Row],[Số lượng
Quantity]]</f>
        <v>15000000</v>
      </c>
      <c r="T875" s="230"/>
      <c r="U875" s="220"/>
      <c r="V875" s="234"/>
      <c r="W875" s="214" t="s">
        <v>1537</v>
      </c>
      <c r="X875" s="211" t="s">
        <v>16</v>
      </c>
      <c r="Y875" s="220">
        <v>45019</v>
      </c>
      <c r="Z875" s="216" t="s">
        <v>328</v>
      </c>
      <c r="AA875" s="216" t="s">
        <v>2647</v>
      </c>
      <c r="AB875" s="227"/>
      <c r="AC875" s="295"/>
    </row>
    <row r="876" spans="1:29" ht="31" x14ac:dyDescent="0.35">
      <c r="A876" s="278"/>
      <c r="B876" s="279"/>
      <c r="C876" s="278"/>
      <c r="D876" s="280"/>
      <c r="E876" s="280"/>
      <c r="F876" s="278"/>
      <c r="G876" s="278"/>
      <c r="H876" s="281" t="s">
        <v>3541</v>
      </c>
      <c r="I876" s="282" t="s">
        <v>3687</v>
      </c>
      <c r="J876" s="278" t="s">
        <v>3688</v>
      </c>
      <c r="K876" s="278" t="s">
        <v>3689</v>
      </c>
      <c r="L876" s="278" t="s">
        <v>3689</v>
      </c>
      <c r="M876" s="278" t="s">
        <v>1944</v>
      </c>
      <c r="N876" s="212" t="s">
        <v>3238</v>
      </c>
      <c r="O876" s="278">
        <v>1</v>
      </c>
      <c r="P876" s="211" t="s">
        <v>37</v>
      </c>
      <c r="Q876" s="213" t="s">
        <v>108</v>
      </c>
      <c r="R876" s="283">
        <v>187190000</v>
      </c>
      <c r="S876" s="218">
        <f>Product_Name[[#This Row],[Đơn giá
Unit Price]]*Product_Name[[#This Row],[Số lượng
Quantity]]</f>
        <v>187190000</v>
      </c>
      <c r="T876" s="284"/>
      <c r="U876" s="285"/>
      <c r="V876" s="286"/>
      <c r="W876" s="211" t="s">
        <v>2651</v>
      </c>
      <c r="X876" s="211" t="s">
        <v>16</v>
      </c>
      <c r="Y876" s="287" t="s">
        <v>3543</v>
      </c>
      <c r="Z876" s="299" t="s">
        <v>3542</v>
      </c>
      <c r="AA876" s="216" t="s">
        <v>2647</v>
      </c>
      <c r="AB876" s="288"/>
    </row>
    <row r="877" spans="1:29" s="71" customFormat="1" ht="15.5" x14ac:dyDescent="0.35">
      <c r="A877" s="211">
        <v>10320</v>
      </c>
      <c r="B877" s="214"/>
      <c r="C877" s="211">
        <v>14948</v>
      </c>
      <c r="D877" s="215" t="s">
        <v>110</v>
      </c>
      <c r="E877" s="215" t="s">
        <v>110</v>
      </c>
      <c r="F877" s="211" t="s">
        <v>110</v>
      </c>
      <c r="G877" s="211" t="s">
        <v>110</v>
      </c>
      <c r="H877" s="216" t="s">
        <v>1410</v>
      </c>
      <c r="I877" s="217" t="s">
        <v>1408</v>
      </c>
      <c r="J877" s="211" t="s">
        <v>1407</v>
      </c>
      <c r="K877" s="211" t="s">
        <v>1461</v>
      </c>
      <c r="L877" s="211" t="s">
        <v>30</v>
      </c>
      <c r="M877" s="211" t="s">
        <v>795</v>
      </c>
      <c r="N877" s="212" t="s">
        <v>14</v>
      </c>
      <c r="O877" s="211">
        <v>300</v>
      </c>
      <c r="P877" s="212" t="s">
        <v>276</v>
      </c>
      <c r="Q877" s="213" t="s">
        <v>390</v>
      </c>
      <c r="R877" s="237">
        <v>55.6</v>
      </c>
      <c r="S877" s="218">
        <f>Product_Name[[#This Row],[Đơn giá
Unit Price]]*Product_Name[[#This Row],[Số lượng
Quantity]]</f>
        <v>16680</v>
      </c>
      <c r="T877" s="219">
        <v>45027</v>
      </c>
      <c r="U877" s="220">
        <v>45159</v>
      </c>
      <c r="V877" s="221"/>
      <c r="W877" s="211" t="s">
        <v>3198</v>
      </c>
      <c r="X877" s="211" t="s">
        <v>16</v>
      </c>
      <c r="Y877" s="220">
        <v>45023</v>
      </c>
      <c r="Z877" s="222" t="s">
        <v>2087</v>
      </c>
      <c r="AA877" s="216" t="s">
        <v>3563</v>
      </c>
      <c r="AB877" s="227" t="s">
        <v>110</v>
      </c>
      <c r="AC877" s="295"/>
    </row>
    <row r="878" spans="1:29" s="71" customFormat="1" ht="15.5" x14ac:dyDescent="0.35">
      <c r="A878" s="211" t="s">
        <v>110</v>
      </c>
      <c r="B878" s="214"/>
      <c r="C878" s="211" t="s">
        <v>110</v>
      </c>
      <c r="D878" s="215">
        <v>4950</v>
      </c>
      <c r="E878" s="215">
        <v>10424</v>
      </c>
      <c r="F878" s="211" t="s">
        <v>110</v>
      </c>
      <c r="G878" s="211" t="s">
        <v>110</v>
      </c>
      <c r="H878" s="216" t="s">
        <v>3574</v>
      </c>
      <c r="I878" s="217" t="s">
        <v>3575</v>
      </c>
      <c r="J878" s="211" t="s">
        <v>3607</v>
      </c>
      <c r="K878" s="211" t="s">
        <v>3606</v>
      </c>
      <c r="L878" s="211" t="s">
        <v>1281</v>
      </c>
      <c r="M878" s="211" t="s">
        <v>796</v>
      </c>
      <c r="N878" s="212" t="s">
        <v>642</v>
      </c>
      <c r="O878" s="211">
        <v>1</v>
      </c>
      <c r="P878" s="212" t="s">
        <v>44</v>
      </c>
      <c r="Q878" s="213" t="s">
        <v>108</v>
      </c>
      <c r="R878" s="237">
        <v>493000</v>
      </c>
      <c r="S878" s="218">
        <f>Product_Name[[#This Row],[Đơn giá
Unit Price]]*Product_Name[[#This Row],[Số lượng
Quantity]]</f>
        <v>493000</v>
      </c>
      <c r="T878" s="219">
        <v>45034</v>
      </c>
      <c r="U878" s="220">
        <v>45054</v>
      </c>
      <c r="V878" s="221"/>
      <c r="W878" s="211" t="s">
        <v>3601</v>
      </c>
      <c r="X878" s="211" t="s">
        <v>53</v>
      </c>
      <c r="Y878" s="220" t="s">
        <v>3577</v>
      </c>
      <c r="Z878" s="222" t="s">
        <v>3576</v>
      </c>
      <c r="AA878" s="216" t="s">
        <v>3420</v>
      </c>
      <c r="AB878" s="227"/>
      <c r="AC878" s="295"/>
    </row>
    <row r="879" spans="1:29" s="71" customFormat="1" ht="15.5" x14ac:dyDescent="0.35">
      <c r="A879" s="211" t="s">
        <v>110</v>
      </c>
      <c r="B879" s="214"/>
      <c r="C879" s="211" t="s">
        <v>110</v>
      </c>
      <c r="D879" s="215">
        <v>4916</v>
      </c>
      <c r="E879" s="215">
        <v>10357</v>
      </c>
      <c r="F879" s="211"/>
      <c r="G879" s="211"/>
      <c r="H879" s="216" t="s">
        <v>3581</v>
      </c>
      <c r="I879" s="217" t="s">
        <v>3578</v>
      </c>
      <c r="J879" s="211" t="s">
        <v>3579</v>
      </c>
      <c r="K879" s="211" t="s">
        <v>1564</v>
      </c>
      <c r="L879" s="211" t="s">
        <v>1564</v>
      </c>
      <c r="M879" s="211" t="s">
        <v>3582</v>
      </c>
      <c r="N879" s="212" t="s">
        <v>642</v>
      </c>
      <c r="O879" s="211">
        <v>1</v>
      </c>
      <c r="P879" s="212" t="s">
        <v>37</v>
      </c>
      <c r="Q879" s="213" t="s">
        <v>108</v>
      </c>
      <c r="R879" s="237">
        <v>1080000</v>
      </c>
      <c r="S879" s="218">
        <f>Product_Name[[#This Row],[Đơn giá
Unit Price]]*Product_Name[[#This Row],[Số lượng
Quantity]]</f>
        <v>1080000</v>
      </c>
      <c r="T879" s="219">
        <v>45028</v>
      </c>
      <c r="U879" s="220">
        <v>45040</v>
      </c>
      <c r="V879" s="221"/>
      <c r="W879" s="211" t="s">
        <v>3198</v>
      </c>
      <c r="X879" s="211" t="s">
        <v>16</v>
      </c>
      <c r="Y879" s="220">
        <v>45028</v>
      </c>
      <c r="Z879" s="222"/>
      <c r="AA879" s="216" t="s">
        <v>3580</v>
      </c>
      <c r="AB879" s="227"/>
      <c r="AC879" s="295"/>
    </row>
    <row r="880" spans="1:29" ht="31" x14ac:dyDescent="0.35">
      <c r="A880" s="278"/>
      <c r="B880" s="279"/>
      <c r="C880" s="278"/>
      <c r="D880" s="280"/>
      <c r="E880" s="280"/>
      <c r="F880" s="278" t="s">
        <v>3706</v>
      </c>
      <c r="G880" s="278"/>
      <c r="H880" s="281" t="s">
        <v>3590</v>
      </c>
      <c r="I880" s="282" t="s">
        <v>3586</v>
      </c>
      <c r="J880" s="278" t="s">
        <v>3587</v>
      </c>
      <c r="K880" s="278" t="s">
        <v>176</v>
      </c>
      <c r="L880" s="278" t="s">
        <v>176</v>
      </c>
      <c r="M880" s="278" t="s">
        <v>797</v>
      </c>
      <c r="N880" s="212" t="s">
        <v>642</v>
      </c>
      <c r="O880" s="211">
        <v>1</v>
      </c>
      <c r="P880" s="212" t="s">
        <v>37</v>
      </c>
      <c r="Q880" s="213" t="s">
        <v>108</v>
      </c>
      <c r="R880" s="283">
        <v>6740000</v>
      </c>
      <c r="S880" s="283">
        <f>Product_Name[[#This Row],[Đơn giá
Unit Price]]*Product_Name[[#This Row],[Số lượng
Quantity]]</f>
        <v>6740000</v>
      </c>
      <c r="T880" s="284"/>
      <c r="U880" s="285"/>
      <c r="V880" s="286"/>
      <c r="W880" s="278" t="s">
        <v>3664</v>
      </c>
      <c r="X880" s="211" t="s">
        <v>1932</v>
      </c>
      <c r="Y880" s="287" t="s">
        <v>3594</v>
      </c>
      <c r="Z880" s="299" t="s">
        <v>3592</v>
      </c>
      <c r="AA880" s="216" t="s">
        <v>2647</v>
      </c>
      <c r="AB880" s="288">
        <v>45052</v>
      </c>
    </row>
    <row r="881" spans="1:29" ht="31" x14ac:dyDescent="0.35">
      <c r="A881" s="278"/>
      <c r="B881" s="279"/>
      <c r="C881" s="278"/>
      <c r="D881" s="280"/>
      <c r="E881" s="280"/>
      <c r="F881" s="278" t="s">
        <v>3706</v>
      </c>
      <c r="G881" s="278"/>
      <c r="H881" s="281" t="s">
        <v>3591</v>
      </c>
      <c r="I881" s="282" t="s">
        <v>3588</v>
      </c>
      <c r="J881" s="278" t="s">
        <v>3589</v>
      </c>
      <c r="K881" s="278" t="s">
        <v>176</v>
      </c>
      <c r="L881" s="278" t="s">
        <v>176</v>
      </c>
      <c r="M881" s="211" t="s">
        <v>796</v>
      </c>
      <c r="N881" s="211" t="s">
        <v>642</v>
      </c>
      <c r="O881" s="211">
        <v>1</v>
      </c>
      <c r="P881" s="212" t="s">
        <v>37</v>
      </c>
      <c r="Q881" s="213" t="s">
        <v>108</v>
      </c>
      <c r="R881" s="283">
        <v>4300000</v>
      </c>
      <c r="S881" s="283">
        <f>Product_Name[[#This Row],[Đơn giá
Unit Price]]*Product_Name[[#This Row],[Số lượng
Quantity]]</f>
        <v>4300000</v>
      </c>
      <c r="T881" s="284"/>
      <c r="U881" s="285"/>
      <c r="V881" s="286"/>
      <c r="W881" s="278" t="s">
        <v>3664</v>
      </c>
      <c r="X881" s="211" t="s">
        <v>1932</v>
      </c>
      <c r="Y881" s="287" t="s">
        <v>3594</v>
      </c>
      <c r="Z881" s="299" t="s">
        <v>3593</v>
      </c>
      <c r="AA881" s="281" t="s">
        <v>3249</v>
      </c>
      <c r="AB881" s="288">
        <v>45052</v>
      </c>
    </row>
    <row r="882" spans="1:29" ht="31" x14ac:dyDescent="0.35">
      <c r="A882" s="211">
        <v>10352</v>
      </c>
      <c r="B882" s="214" t="s">
        <v>3624</v>
      </c>
      <c r="C882" s="211">
        <v>15033</v>
      </c>
      <c r="D882" s="215" t="s">
        <v>110</v>
      </c>
      <c r="E882" s="215" t="s">
        <v>110</v>
      </c>
      <c r="F882" s="211" t="s">
        <v>110</v>
      </c>
      <c r="G882" s="211" t="s">
        <v>110</v>
      </c>
      <c r="H882" s="216" t="s">
        <v>219</v>
      </c>
      <c r="I882" s="217" t="s">
        <v>2776</v>
      </c>
      <c r="J882" s="211" t="s">
        <v>933</v>
      </c>
      <c r="K882" s="211" t="s">
        <v>210</v>
      </c>
      <c r="L882" s="211" t="s">
        <v>210</v>
      </c>
      <c r="M882" s="211" t="s">
        <v>327</v>
      </c>
      <c r="N882" s="212" t="s">
        <v>14</v>
      </c>
      <c r="O882" s="211">
        <v>2</v>
      </c>
      <c r="P882" s="211" t="s">
        <v>105</v>
      </c>
      <c r="Q882" s="213" t="s">
        <v>108</v>
      </c>
      <c r="R882" s="218">
        <v>345000</v>
      </c>
      <c r="S882" s="218">
        <f>Product_Name[[#This Row],[Đơn giá
Unit Price]]*Product_Name[[#This Row],[Số lượng
Quantity]]</f>
        <v>690000</v>
      </c>
      <c r="T882" s="219">
        <v>45029</v>
      </c>
      <c r="U882" s="220">
        <v>45035</v>
      </c>
      <c r="V882" s="220">
        <v>45035</v>
      </c>
      <c r="W882" s="211" t="s">
        <v>1537</v>
      </c>
      <c r="X882" s="211" t="s">
        <v>16</v>
      </c>
      <c r="Y882" s="264">
        <v>45028</v>
      </c>
      <c r="Z882" s="222" t="s">
        <v>2087</v>
      </c>
      <c r="AA882" s="216" t="s">
        <v>2181</v>
      </c>
      <c r="AB882" s="247" t="s">
        <v>3625</v>
      </c>
      <c r="AC882" s="295"/>
    </row>
    <row r="883" spans="1:29" ht="15.5" x14ac:dyDescent="0.35">
      <c r="A883" s="211">
        <v>10355</v>
      </c>
      <c r="B883" s="214"/>
      <c r="C883" s="211">
        <v>15038</v>
      </c>
      <c r="D883" s="215" t="s">
        <v>110</v>
      </c>
      <c r="E883" s="215" t="s">
        <v>110</v>
      </c>
      <c r="F883" s="211" t="s">
        <v>110</v>
      </c>
      <c r="G883" s="211" t="s">
        <v>110</v>
      </c>
      <c r="H883" s="216" t="s">
        <v>1125</v>
      </c>
      <c r="I883" s="217" t="s">
        <v>1126</v>
      </c>
      <c r="J883" s="211" t="s">
        <v>1151</v>
      </c>
      <c r="K883" s="211" t="s">
        <v>1150</v>
      </c>
      <c r="L883" s="211" t="s">
        <v>218</v>
      </c>
      <c r="M883" s="211" t="s">
        <v>123</v>
      </c>
      <c r="N883" s="211" t="s">
        <v>14</v>
      </c>
      <c r="O883" s="211">
        <v>6</v>
      </c>
      <c r="P883" s="211" t="s">
        <v>107</v>
      </c>
      <c r="Q883" s="226" t="s">
        <v>108</v>
      </c>
      <c r="R883" s="218">
        <v>1971000</v>
      </c>
      <c r="S883" s="218">
        <f>Product_Name[[#This Row],[Đơn giá
Unit Price]]*Product_Name[[#This Row],[Số lượng
Quantity]]</f>
        <v>11826000</v>
      </c>
      <c r="T883" s="219">
        <v>45029</v>
      </c>
      <c r="U883" s="220">
        <v>45036</v>
      </c>
      <c r="V883" s="221"/>
      <c r="W883" s="211" t="s">
        <v>3198</v>
      </c>
      <c r="X883" s="211" t="s">
        <v>16</v>
      </c>
      <c r="Y883" s="220">
        <v>45029</v>
      </c>
      <c r="Z883" s="222" t="s">
        <v>2087</v>
      </c>
      <c r="AA883" s="224" t="s">
        <v>2290</v>
      </c>
      <c r="AB883" s="227" t="s">
        <v>110</v>
      </c>
      <c r="AC883" s="295"/>
    </row>
    <row r="884" spans="1:29" ht="15.5" x14ac:dyDescent="0.35">
      <c r="A884" s="211">
        <v>10470</v>
      </c>
      <c r="B884" s="214"/>
      <c r="C884" s="211">
        <v>15087</v>
      </c>
      <c r="D884" s="215" t="s">
        <v>110</v>
      </c>
      <c r="E884" s="215" t="s">
        <v>110</v>
      </c>
      <c r="F884" s="211" t="s">
        <v>110</v>
      </c>
      <c r="G884" s="211" t="s">
        <v>110</v>
      </c>
      <c r="H884" s="216" t="s">
        <v>421</v>
      </c>
      <c r="I884" s="217" t="s">
        <v>2417</v>
      </c>
      <c r="J884" s="211">
        <v>2608600267</v>
      </c>
      <c r="K884" s="211" t="s">
        <v>2418</v>
      </c>
      <c r="L884" s="211" t="s">
        <v>176</v>
      </c>
      <c r="M884" s="211" t="s">
        <v>123</v>
      </c>
      <c r="N884" s="211" t="s">
        <v>14</v>
      </c>
      <c r="O884" s="211">
        <v>30</v>
      </c>
      <c r="P884" s="211" t="s">
        <v>37</v>
      </c>
      <c r="Q884" s="213" t="s">
        <v>108</v>
      </c>
      <c r="R884" s="218">
        <v>14200</v>
      </c>
      <c r="S884" s="218">
        <f>Product_Name[[#This Row],[Đơn giá
Unit Price]]*Product_Name[[#This Row],[Số lượng
Quantity]]</f>
        <v>426000</v>
      </c>
      <c r="T884" s="219">
        <v>45035</v>
      </c>
      <c r="U884" s="220">
        <v>45050</v>
      </c>
      <c r="V884" s="221"/>
      <c r="W884" s="211" t="s">
        <v>2813</v>
      </c>
      <c r="X884" s="211" t="s">
        <v>16</v>
      </c>
      <c r="Y884" s="220">
        <v>45029</v>
      </c>
      <c r="Z884" s="222" t="s">
        <v>2087</v>
      </c>
      <c r="AA884" s="216" t="s">
        <v>2290</v>
      </c>
      <c r="AB884" s="227" t="s">
        <v>110</v>
      </c>
      <c r="AC884" s="295"/>
    </row>
    <row r="885" spans="1:29" ht="201.5" x14ac:dyDescent="0.35">
      <c r="A885" s="211"/>
      <c r="B885" s="214"/>
      <c r="C885" s="211"/>
      <c r="D885" s="215"/>
      <c r="E885" s="215"/>
      <c r="F885" s="211"/>
      <c r="G885" s="211"/>
      <c r="H885" s="300" t="s">
        <v>3602</v>
      </c>
      <c r="I885" s="217" t="s">
        <v>3600</v>
      </c>
      <c r="J885" s="211" t="s">
        <v>3603</v>
      </c>
      <c r="K885" s="211"/>
      <c r="L885" s="211"/>
      <c r="M885" s="211" t="s">
        <v>796</v>
      </c>
      <c r="N885" s="211" t="s">
        <v>642</v>
      </c>
      <c r="O885" s="211">
        <v>2</v>
      </c>
      <c r="P885" s="211" t="s">
        <v>37</v>
      </c>
      <c r="Q885" s="213" t="s">
        <v>108</v>
      </c>
      <c r="R885" s="218"/>
      <c r="S885" s="218">
        <f>Product_Name[[#This Row],[Đơn giá
Unit Price]]*Product_Name[[#This Row],[Số lượng
Quantity]]</f>
        <v>0</v>
      </c>
      <c r="T885" s="219"/>
      <c r="U885" s="220"/>
      <c r="V885" s="221"/>
      <c r="W885" s="211" t="s">
        <v>3198</v>
      </c>
      <c r="X885" s="211" t="s">
        <v>16</v>
      </c>
      <c r="Y885" s="264" t="s">
        <v>3665</v>
      </c>
      <c r="Z885" s="216"/>
      <c r="AA885" s="216"/>
      <c r="AB885" s="302" t="s">
        <v>3604</v>
      </c>
    </row>
    <row r="886" spans="1:29" ht="31" x14ac:dyDescent="0.35">
      <c r="A886" s="211"/>
      <c r="B886" s="214" t="s">
        <v>3646</v>
      </c>
      <c r="C886" s="211"/>
      <c r="D886" s="215"/>
      <c r="E886" s="215"/>
      <c r="F886" s="211"/>
      <c r="G886" s="211"/>
      <c r="H886" s="216" t="s">
        <v>3612</v>
      </c>
      <c r="I886" s="217" t="s">
        <v>3616</v>
      </c>
      <c r="J886" s="211" t="s">
        <v>3613</v>
      </c>
      <c r="K886" s="211" t="s">
        <v>3618</v>
      </c>
      <c r="L886" s="211"/>
      <c r="M886" s="211" t="s">
        <v>123</v>
      </c>
      <c r="N886" s="211" t="s">
        <v>14</v>
      </c>
      <c r="O886" s="211">
        <v>3</v>
      </c>
      <c r="P886" s="211" t="s">
        <v>37</v>
      </c>
      <c r="Q886" s="226"/>
      <c r="R886" s="218"/>
      <c r="S886" s="218">
        <f>Product_Name[[#This Row],[Đơn giá
Unit Price]]*Product_Name[[#This Row],[Số lượng
Quantity]]</f>
        <v>0</v>
      </c>
      <c r="T886" s="219"/>
      <c r="U886" s="220"/>
      <c r="V886" s="221"/>
      <c r="W886" s="211" t="s">
        <v>2813</v>
      </c>
      <c r="X886" s="211" t="s">
        <v>3621</v>
      </c>
      <c r="Y886" s="264" t="s">
        <v>3620</v>
      </c>
      <c r="Z886" s="222" t="s">
        <v>2087</v>
      </c>
      <c r="AA886" s="224" t="s">
        <v>3623</v>
      </c>
      <c r="AB886" s="227" t="s">
        <v>3617</v>
      </c>
      <c r="AC886" s="295"/>
    </row>
    <row r="887" spans="1:29" ht="31" x14ac:dyDescent="0.35">
      <c r="A887" s="211"/>
      <c r="B887" s="214"/>
      <c r="C887" s="211"/>
      <c r="D887" s="215"/>
      <c r="E887" s="215"/>
      <c r="F887" s="211"/>
      <c r="G887" s="211"/>
      <c r="H887" s="216" t="s">
        <v>3619</v>
      </c>
      <c r="I887" s="217" t="s">
        <v>3615</v>
      </c>
      <c r="J887" s="211" t="s">
        <v>3614</v>
      </c>
      <c r="K887" s="211" t="s">
        <v>3618</v>
      </c>
      <c r="L887" s="211"/>
      <c r="M887" s="211" t="s">
        <v>123</v>
      </c>
      <c r="N887" s="211" t="s">
        <v>14</v>
      </c>
      <c r="O887" s="211">
        <v>3</v>
      </c>
      <c r="P887" s="211" t="s">
        <v>37</v>
      </c>
      <c r="Q887" s="226"/>
      <c r="R887" s="218"/>
      <c r="S887" s="218">
        <f>Product_Name[[#This Row],[Đơn giá
Unit Price]]*Product_Name[[#This Row],[Số lượng
Quantity]]</f>
        <v>0</v>
      </c>
      <c r="T887" s="219"/>
      <c r="U887" s="220"/>
      <c r="V887" s="221"/>
      <c r="W887" s="211" t="s">
        <v>2813</v>
      </c>
      <c r="X887" s="211" t="s">
        <v>3621</v>
      </c>
      <c r="Y887" s="264" t="s">
        <v>3620</v>
      </c>
      <c r="Z887" s="222" t="s">
        <v>2087</v>
      </c>
      <c r="AA887" s="224" t="s">
        <v>3623</v>
      </c>
      <c r="AB887" s="227" t="s">
        <v>3617</v>
      </c>
      <c r="AC887" s="295"/>
    </row>
    <row r="888" spans="1:29" ht="31" x14ac:dyDescent="0.35">
      <c r="A888" s="211" t="s">
        <v>110</v>
      </c>
      <c r="B888" s="214"/>
      <c r="C888" s="211" t="s">
        <v>110</v>
      </c>
      <c r="D888" s="215">
        <v>5017</v>
      </c>
      <c r="E888" s="215">
        <v>10568</v>
      </c>
      <c r="F888" s="211" t="s">
        <v>110</v>
      </c>
      <c r="G888" s="211" t="s">
        <v>110</v>
      </c>
      <c r="H888" s="216" t="s">
        <v>3640</v>
      </c>
      <c r="I888" s="217" t="s">
        <v>3676</v>
      </c>
      <c r="J888" s="211" t="s">
        <v>3637</v>
      </c>
      <c r="K888" s="211" t="s">
        <v>3668</v>
      </c>
      <c r="L888" s="211" t="s">
        <v>99</v>
      </c>
      <c r="M888" s="211" t="s">
        <v>796</v>
      </c>
      <c r="N888" s="211" t="s">
        <v>642</v>
      </c>
      <c r="O888" s="211">
        <v>1</v>
      </c>
      <c r="P888" s="211" t="s">
        <v>37</v>
      </c>
      <c r="Q888" s="226" t="s">
        <v>108</v>
      </c>
      <c r="R888" s="218">
        <v>199000</v>
      </c>
      <c r="S888" s="218">
        <f>Product_Name[[#This Row],[Đơn giá
Unit Price]]*Product_Name[[#This Row],[Số lượng
Quantity]]</f>
        <v>199000</v>
      </c>
      <c r="T888" s="219">
        <v>45042</v>
      </c>
      <c r="U888" s="220">
        <v>45070</v>
      </c>
      <c r="V888" s="221"/>
      <c r="W888" s="211" t="s">
        <v>3419</v>
      </c>
      <c r="X888" s="211" t="s">
        <v>3638</v>
      </c>
      <c r="Y888" s="264" t="s">
        <v>3641</v>
      </c>
      <c r="Z888" s="222"/>
      <c r="AA888" s="224" t="s">
        <v>3639</v>
      </c>
      <c r="AB888" s="227"/>
      <c r="AC888" s="295"/>
    </row>
    <row r="889" spans="1:29" ht="15.5" x14ac:dyDescent="0.35">
      <c r="A889" s="211"/>
      <c r="B889" s="214"/>
      <c r="C889" s="211"/>
      <c r="D889" s="215" t="s">
        <v>110</v>
      </c>
      <c r="E889" s="215" t="s">
        <v>110</v>
      </c>
      <c r="F889" s="211" t="s">
        <v>110</v>
      </c>
      <c r="G889" s="211" t="s">
        <v>110</v>
      </c>
      <c r="H889" s="216" t="s">
        <v>3318</v>
      </c>
      <c r="I889" s="217" t="s">
        <v>3384</v>
      </c>
      <c r="J889" s="211" t="s">
        <v>3317</v>
      </c>
      <c r="K889" s="211" t="s">
        <v>3642</v>
      </c>
      <c r="L889" s="211" t="s">
        <v>3605</v>
      </c>
      <c r="M889" s="211" t="s">
        <v>123</v>
      </c>
      <c r="N889" s="211" t="s">
        <v>14</v>
      </c>
      <c r="O889" s="211">
        <v>250</v>
      </c>
      <c r="P889" s="211" t="s">
        <v>1929</v>
      </c>
      <c r="Q889" s="226" t="s">
        <v>108</v>
      </c>
      <c r="R889" s="218">
        <v>68140</v>
      </c>
      <c r="S889" s="218">
        <f>Product_Name[[#This Row],[Đơn giá
Unit Price]]*Product_Name[[#This Row],[Số lượng
Quantity]]</f>
        <v>17035000</v>
      </c>
      <c r="T889" s="219"/>
      <c r="U889" s="220"/>
      <c r="V889" s="221"/>
      <c r="W889" s="211" t="s">
        <v>2814</v>
      </c>
      <c r="X889" s="211" t="s">
        <v>53</v>
      </c>
      <c r="Y889" s="264">
        <v>45036</v>
      </c>
      <c r="Z889" s="222" t="s">
        <v>2087</v>
      </c>
      <c r="AA889" s="224" t="s">
        <v>2647</v>
      </c>
      <c r="AB889" s="227" t="s">
        <v>110</v>
      </c>
      <c r="AC889" s="295"/>
    </row>
    <row r="890" spans="1:29" ht="16" thickBot="1" x14ac:dyDescent="0.4">
      <c r="A890" s="211"/>
      <c r="B890" s="214"/>
      <c r="C890" s="211"/>
      <c r="D890" s="215" t="s">
        <v>110</v>
      </c>
      <c r="E890" s="215" t="s">
        <v>110</v>
      </c>
      <c r="F890" s="214" t="s">
        <v>110</v>
      </c>
      <c r="G890" s="211" t="s">
        <v>110</v>
      </c>
      <c r="H890" s="216" t="s">
        <v>307</v>
      </c>
      <c r="I890" s="217" t="s">
        <v>2170</v>
      </c>
      <c r="J890" s="211" t="s">
        <v>308</v>
      </c>
      <c r="K890" s="211" t="s">
        <v>176</v>
      </c>
      <c r="L890" s="211" t="s">
        <v>176</v>
      </c>
      <c r="M890" s="211" t="s">
        <v>123</v>
      </c>
      <c r="N890" s="211" t="s">
        <v>14</v>
      </c>
      <c r="O890" s="309">
        <v>20</v>
      </c>
      <c r="P890" s="213" t="s">
        <v>309</v>
      </c>
      <c r="Q890" s="213" t="s">
        <v>108</v>
      </c>
      <c r="R890" s="218">
        <v>13700</v>
      </c>
      <c r="S890" s="218">
        <f>Product_Name[[#This Row],[Đơn giá
Unit Price]]*Product_Name[[#This Row],[Số lượng
Quantity]]</f>
        <v>274000</v>
      </c>
      <c r="T890" s="219"/>
      <c r="U890" s="220"/>
      <c r="V890" s="221"/>
      <c r="W890" s="211" t="s">
        <v>2813</v>
      </c>
      <c r="X890" s="211" t="s">
        <v>16</v>
      </c>
      <c r="Y890" s="220">
        <v>45037</v>
      </c>
      <c r="Z890" s="216" t="s">
        <v>328</v>
      </c>
      <c r="AA890" s="216"/>
      <c r="AB890" s="227"/>
      <c r="AC890" s="295"/>
    </row>
    <row r="891" spans="1:29" ht="31.5" thickTop="1" x14ac:dyDescent="0.35">
      <c r="A891" s="211"/>
      <c r="B891" s="214"/>
      <c r="C891" s="211"/>
      <c r="D891" s="215" t="s">
        <v>110</v>
      </c>
      <c r="E891" s="215" t="s">
        <v>110</v>
      </c>
      <c r="F891" s="211" t="s">
        <v>110</v>
      </c>
      <c r="G891" s="211" t="s">
        <v>110</v>
      </c>
      <c r="H891" s="216" t="s">
        <v>330</v>
      </c>
      <c r="I891" s="217" t="s">
        <v>1994</v>
      </c>
      <c r="J891" s="211" t="s">
        <v>3656</v>
      </c>
      <c r="K891" s="211"/>
      <c r="L891" s="211"/>
      <c r="M891" s="211" t="s">
        <v>327</v>
      </c>
      <c r="N891" s="211" t="s">
        <v>14</v>
      </c>
      <c r="O891" s="211">
        <v>2</v>
      </c>
      <c r="P891" s="211" t="s">
        <v>232</v>
      </c>
      <c r="Q891" s="213" t="s">
        <v>108</v>
      </c>
      <c r="R891" s="218"/>
      <c r="S891" s="218">
        <f>Product_Name[[#This Row],[Đơn giá
Unit Price]]*Product_Name[[#This Row],[Số lượng
Quantity]]</f>
        <v>0</v>
      </c>
      <c r="T891" s="219"/>
      <c r="U891" s="220"/>
      <c r="V891" s="221"/>
      <c r="W891" s="211" t="s">
        <v>2813</v>
      </c>
      <c r="X891" s="211" t="s">
        <v>16</v>
      </c>
      <c r="Y891" s="264" t="s">
        <v>3667</v>
      </c>
      <c r="Z891" s="222" t="s">
        <v>2087</v>
      </c>
      <c r="AA891" s="216" t="s">
        <v>2181</v>
      </c>
      <c r="AB891" s="227"/>
      <c r="AC891" s="295"/>
    </row>
    <row r="892" spans="1:29" ht="31" x14ac:dyDescent="0.35">
      <c r="A892" s="211"/>
      <c r="B892" s="214"/>
      <c r="C892" s="211"/>
      <c r="D892" s="215" t="s">
        <v>110</v>
      </c>
      <c r="E892" s="215" t="s">
        <v>110</v>
      </c>
      <c r="F892" s="211" t="s">
        <v>110</v>
      </c>
      <c r="G892" s="211" t="s">
        <v>110</v>
      </c>
      <c r="H892" s="216" t="s">
        <v>331</v>
      </c>
      <c r="I892" s="217" t="s">
        <v>1996</v>
      </c>
      <c r="J892" s="211" t="s">
        <v>3657</v>
      </c>
      <c r="K892" s="211"/>
      <c r="L892" s="211"/>
      <c r="M892" s="211" t="s">
        <v>327</v>
      </c>
      <c r="N892" s="211" t="s">
        <v>14</v>
      </c>
      <c r="O892" s="211">
        <v>1</v>
      </c>
      <c r="P892" s="211" t="s">
        <v>232</v>
      </c>
      <c r="Q892" s="213" t="s">
        <v>108</v>
      </c>
      <c r="R892" s="218"/>
      <c r="S892" s="218">
        <f>Product_Name[[#This Row],[Đơn giá
Unit Price]]*Product_Name[[#This Row],[Số lượng
Quantity]]</f>
        <v>0</v>
      </c>
      <c r="T892" s="219"/>
      <c r="U892" s="220"/>
      <c r="V892" s="221"/>
      <c r="W892" s="211" t="s">
        <v>2813</v>
      </c>
      <c r="X892" s="211" t="s">
        <v>16</v>
      </c>
      <c r="Y892" s="264" t="s">
        <v>3667</v>
      </c>
      <c r="Z892" s="222" t="s">
        <v>2087</v>
      </c>
      <c r="AA892" s="216" t="s">
        <v>2181</v>
      </c>
      <c r="AB892" s="227"/>
      <c r="AC892" s="295"/>
    </row>
    <row r="893" spans="1:29" ht="31" x14ac:dyDescent="0.35">
      <c r="A893" s="211"/>
      <c r="B893" s="214"/>
      <c r="C893" s="214"/>
      <c r="D893" s="215" t="s">
        <v>110</v>
      </c>
      <c r="E893" s="215" t="s">
        <v>110</v>
      </c>
      <c r="F893" s="214" t="s">
        <v>110</v>
      </c>
      <c r="G893" s="214" t="s">
        <v>110</v>
      </c>
      <c r="H893" s="217" t="s">
        <v>1252</v>
      </c>
      <c r="I893" s="217" t="s">
        <v>1251</v>
      </c>
      <c r="J893" s="214" t="s">
        <v>3658</v>
      </c>
      <c r="K893" s="214"/>
      <c r="L893" s="214"/>
      <c r="M893" s="214" t="s">
        <v>795</v>
      </c>
      <c r="N893" s="214" t="s">
        <v>14</v>
      </c>
      <c r="O893" s="211">
        <v>1</v>
      </c>
      <c r="P893" s="211" t="s">
        <v>232</v>
      </c>
      <c r="Q893" s="223" t="s">
        <v>108</v>
      </c>
      <c r="R893" s="229"/>
      <c r="S893" s="218">
        <f>Product_Name[[#This Row],[Đơn giá
Unit Price]]*Product_Name[[#This Row],[Số lượng
Quantity]]</f>
        <v>0</v>
      </c>
      <c r="T893" s="230"/>
      <c r="U893" s="227"/>
      <c r="V893" s="231"/>
      <c r="W893" s="211" t="s">
        <v>2813</v>
      </c>
      <c r="X893" s="214" t="s">
        <v>16</v>
      </c>
      <c r="Y893" s="264" t="s">
        <v>3667</v>
      </c>
      <c r="Z893" s="222" t="s">
        <v>2087</v>
      </c>
      <c r="AA893" s="216" t="s">
        <v>3662</v>
      </c>
      <c r="AB893" s="227"/>
      <c r="AC893" s="295"/>
    </row>
    <row r="894" spans="1:29" s="71" customFormat="1" ht="31" x14ac:dyDescent="0.35">
      <c r="A894" s="211"/>
      <c r="B894" s="214"/>
      <c r="C894" s="211"/>
      <c r="D894" s="215" t="s">
        <v>110</v>
      </c>
      <c r="E894" s="215" t="s">
        <v>110</v>
      </c>
      <c r="F894" s="211" t="s">
        <v>110</v>
      </c>
      <c r="G894" s="211" t="s">
        <v>110</v>
      </c>
      <c r="H894" s="217" t="s">
        <v>222</v>
      </c>
      <c r="I894" s="217" t="s">
        <v>1377</v>
      </c>
      <c r="J894" s="214" t="s">
        <v>3659</v>
      </c>
      <c r="K894" s="214"/>
      <c r="L894" s="214"/>
      <c r="M894" s="214" t="s">
        <v>327</v>
      </c>
      <c r="N894" s="214" t="s">
        <v>14</v>
      </c>
      <c r="O894" s="211">
        <v>1</v>
      </c>
      <c r="P894" s="211" t="s">
        <v>232</v>
      </c>
      <c r="Q894" s="223" t="s">
        <v>108</v>
      </c>
      <c r="R894" s="229"/>
      <c r="S894" s="218">
        <f>Product_Name[[#This Row],[Đơn giá
Unit Price]]*Product_Name[[#This Row],[Số lượng
Quantity]]</f>
        <v>0</v>
      </c>
      <c r="T894" s="230"/>
      <c r="U894" s="227"/>
      <c r="V894" s="231"/>
      <c r="W894" s="211" t="s">
        <v>2813</v>
      </c>
      <c r="X894" s="214" t="s">
        <v>16</v>
      </c>
      <c r="Y894" s="264" t="s">
        <v>3667</v>
      </c>
      <c r="Z894" s="222" t="s">
        <v>2087</v>
      </c>
      <c r="AA894" s="216" t="s">
        <v>2181</v>
      </c>
      <c r="AB894" s="227"/>
      <c r="AC894" s="295"/>
    </row>
    <row r="895" spans="1:29" ht="31" x14ac:dyDescent="0.35">
      <c r="A895" s="211"/>
      <c r="B895" s="214"/>
      <c r="C895" s="211"/>
      <c r="D895" s="215" t="s">
        <v>110</v>
      </c>
      <c r="E895" s="215" t="s">
        <v>110</v>
      </c>
      <c r="F895" s="214" t="s">
        <v>110</v>
      </c>
      <c r="G895" s="214" t="s">
        <v>110</v>
      </c>
      <c r="H895" s="216" t="s">
        <v>223</v>
      </c>
      <c r="I895" s="217" t="s">
        <v>2481</v>
      </c>
      <c r="J895" s="211" t="s">
        <v>3660</v>
      </c>
      <c r="K895" s="211"/>
      <c r="L895" s="211"/>
      <c r="M895" s="211" t="s">
        <v>327</v>
      </c>
      <c r="N895" s="211" t="s">
        <v>14</v>
      </c>
      <c r="O895" s="211">
        <v>1</v>
      </c>
      <c r="P895" s="211" t="s">
        <v>232</v>
      </c>
      <c r="Q895" s="213" t="s">
        <v>108</v>
      </c>
      <c r="R895" s="218"/>
      <c r="S895" s="218">
        <f>Product_Name[[#This Row],[Đơn giá
Unit Price]]*Product_Name[[#This Row],[Số lượng
Quantity]]</f>
        <v>0</v>
      </c>
      <c r="T895" s="219"/>
      <c r="U895" s="220"/>
      <c r="V895" s="221"/>
      <c r="W895" s="211" t="s">
        <v>2813</v>
      </c>
      <c r="X895" s="211" t="s">
        <v>16</v>
      </c>
      <c r="Y895" s="264" t="s">
        <v>3667</v>
      </c>
      <c r="Z895" s="222" t="s">
        <v>2087</v>
      </c>
      <c r="AA895" s="216" t="s">
        <v>2181</v>
      </c>
      <c r="AB895" s="227"/>
      <c r="AC895" s="295"/>
    </row>
    <row r="896" spans="1:29" s="71" customFormat="1" ht="31" x14ac:dyDescent="0.35">
      <c r="A896" s="223"/>
      <c r="B896" s="223"/>
      <c r="C896" s="223"/>
      <c r="D896" s="215" t="s">
        <v>110</v>
      </c>
      <c r="E896" s="215" t="s">
        <v>110</v>
      </c>
      <c r="F896" s="214" t="s">
        <v>110</v>
      </c>
      <c r="G896" s="214" t="s">
        <v>110</v>
      </c>
      <c r="H896" s="225" t="s">
        <v>1129</v>
      </c>
      <c r="I896" s="217" t="s">
        <v>3663</v>
      </c>
      <c r="J896" s="214" t="s">
        <v>3661</v>
      </c>
      <c r="K896" s="211"/>
      <c r="L896" s="211"/>
      <c r="M896" s="211" t="s">
        <v>795</v>
      </c>
      <c r="N896" s="214" t="s">
        <v>14</v>
      </c>
      <c r="O896" s="211">
        <v>1</v>
      </c>
      <c r="P896" s="211" t="s">
        <v>232</v>
      </c>
      <c r="Q896" s="223" t="s">
        <v>108</v>
      </c>
      <c r="R896" s="229"/>
      <c r="S896" s="218">
        <f>Product_Name[[#This Row],[Đơn giá
Unit Price]]*Product_Name[[#This Row],[Số lượng
Quantity]]</f>
        <v>0</v>
      </c>
      <c r="T896" s="230"/>
      <c r="U896" s="227"/>
      <c r="V896" s="231"/>
      <c r="W896" s="211" t="s">
        <v>2813</v>
      </c>
      <c r="X896" s="214" t="s">
        <v>16</v>
      </c>
      <c r="Y896" s="264" t="s">
        <v>3667</v>
      </c>
      <c r="Z896" s="222" t="s">
        <v>2087</v>
      </c>
      <c r="AA896" s="216" t="s">
        <v>2181</v>
      </c>
      <c r="AB896" s="227"/>
      <c r="AC896" s="295"/>
    </row>
    <row r="897" spans="1:29" ht="15.5" x14ac:dyDescent="0.35">
      <c r="A897" s="211"/>
      <c r="B897" s="214"/>
      <c r="C897" s="211"/>
      <c r="D897" s="215"/>
      <c r="E897" s="215"/>
      <c r="F897" s="211"/>
      <c r="G897" s="211"/>
      <c r="H897" s="217" t="s">
        <v>3670</v>
      </c>
      <c r="I897" s="217" t="s">
        <v>3671</v>
      </c>
      <c r="J897" s="211" t="s">
        <v>3669</v>
      </c>
      <c r="K897" s="211" t="s">
        <v>3672</v>
      </c>
      <c r="L897" s="211" t="s">
        <v>1452</v>
      </c>
      <c r="M897" s="211" t="s">
        <v>63</v>
      </c>
      <c r="N897" s="211" t="s">
        <v>642</v>
      </c>
      <c r="O897" s="211">
        <v>5</v>
      </c>
      <c r="P897" s="211" t="s">
        <v>37</v>
      </c>
      <c r="Q897" s="223" t="s">
        <v>108</v>
      </c>
      <c r="R897" s="218">
        <v>35786000</v>
      </c>
      <c r="S897" s="218">
        <f>Product_Name[[#This Row],[Đơn giá
Unit Price]]*Product_Name[[#This Row],[Số lượng
Quantity]]</f>
        <v>178930000</v>
      </c>
      <c r="T897" s="219"/>
      <c r="U897" s="220"/>
      <c r="V897" s="221"/>
      <c r="W897" s="214" t="s">
        <v>2813</v>
      </c>
      <c r="X897" s="214" t="s">
        <v>16</v>
      </c>
      <c r="Y897" s="264">
        <v>45041</v>
      </c>
      <c r="Z897" s="222" t="s">
        <v>2087</v>
      </c>
      <c r="AA897" s="216" t="s">
        <v>2181</v>
      </c>
      <c r="AB897" s="227"/>
      <c r="AC897" s="295"/>
    </row>
    <row r="898" spans="1:29" s="71" customFormat="1" ht="15.5" x14ac:dyDescent="0.35">
      <c r="A898" s="211">
        <v>10586</v>
      </c>
      <c r="B898" s="214" t="s">
        <v>3703</v>
      </c>
      <c r="C898" s="211">
        <v>15304</v>
      </c>
      <c r="D898" s="215" t="s">
        <v>110</v>
      </c>
      <c r="E898" s="215" t="s">
        <v>110</v>
      </c>
      <c r="F898" s="211" t="s">
        <v>110</v>
      </c>
      <c r="G898" s="211" t="s">
        <v>110</v>
      </c>
      <c r="H898" s="216" t="s">
        <v>3132</v>
      </c>
      <c r="I898" s="217" t="s">
        <v>3134</v>
      </c>
      <c r="J898" s="211" t="s">
        <v>3100</v>
      </c>
      <c r="K898" s="211" t="s">
        <v>3161</v>
      </c>
      <c r="L898" s="211" t="s">
        <v>1751</v>
      </c>
      <c r="M898" s="211" t="s">
        <v>123</v>
      </c>
      <c r="N898" s="212" t="s">
        <v>14</v>
      </c>
      <c r="O898" s="211">
        <v>200</v>
      </c>
      <c r="P898" s="212" t="s">
        <v>1929</v>
      </c>
      <c r="Q898" s="213" t="s">
        <v>108</v>
      </c>
      <c r="R898" s="218">
        <v>22575</v>
      </c>
      <c r="S898" s="218">
        <f>Product_Name[[#This Row],[Đơn giá
Unit Price]]*Product_Name[[#This Row],[Số lượng
Quantity]]</f>
        <v>4515000</v>
      </c>
      <c r="T898" s="219">
        <v>45043</v>
      </c>
      <c r="U898" s="220">
        <v>45050</v>
      </c>
      <c r="V898" s="221">
        <v>45054</v>
      </c>
      <c r="W898" s="211" t="s">
        <v>3198</v>
      </c>
      <c r="X898" s="211" t="s">
        <v>53</v>
      </c>
      <c r="Y898" s="220">
        <v>45042</v>
      </c>
      <c r="Z898" s="222" t="s">
        <v>2087</v>
      </c>
      <c r="AA898" s="216" t="s">
        <v>2647</v>
      </c>
      <c r="AB898" s="227" t="s">
        <v>110</v>
      </c>
      <c r="AC898" s="295"/>
    </row>
    <row r="899" spans="1:29" s="71" customFormat="1" ht="15.5" x14ac:dyDescent="0.35">
      <c r="A899" s="211">
        <v>10586</v>
      </c>
      <c r="B899" s="214" t="s">
        <v>3703</v>
      </c>
      <c r="C899" s="211">
        <v>15304</v>
      </c>
      <c r="D899" s="215" t="s">
        <v>110</v>
      </c>
      <c r="E899" s="215" t="s">
        <v>110</v>
      </c>
      <c r="F899" s="211" t="s">
        <v>110</v>
      </c>
      <c r="G899" s="211" t="s">
        <v>110</v>
      </c>
      <c r="H899" s="216" t="s">
        <v>3132</v>
      </c>
      <c r="I899" s="217" t="s">
        <v>3135</v>
      </c>
      <c r="J899" s="211" t="s">
        <v>3101</v>
      </c>
      <c r="K899" s="211" t="s">
        <v>3161</v>
      </c>
      <c r="L899" s="211" t="s">
        <v>1751</v>
      </c>
      <c r="M899" s="211" t="s">
        <v>123</v>
      </c>
      <c r="N899" s="212" t="s">
        <v>14</v>
      </c>
      <c r="O899" s="211">
        <v>100</v>
      </c>
      <c r="P899" s="212" t="s">
        <v>1929</v>
      </c>
      <c r="Q899" s="213" t="s">
        <v>108</v>
      </c>
      <c r="R899" s="218">
        <v>29412</v>
      </c>
      <c r="S899" s="218">
        <f>Product_Name[[#This Row],[Đơn giá
Unit Price]]*Product_Name[[#This Row],[Số lượng
Quantity]]</f>
        <v>2941200</v>
      </c>
      <c r="T899" s="219">
        <v>45043</v>
      </c>
      <c r="U899" s="220">
        <v>45050</v>
      </c>
      <c r="V899" s="221">
        <v>45054</v>
      </c>
      <c r="W899" s="211" t="s">
        <v>3198</v>
      </c>
      <c r="X899" s="211" t="s">
        <v>53</v>
      </c>
      <c r="Y899" s="220">
        <v>45042</v>
      </c>
      <c r="Z899" s="222" t="s">
        <v>2087</v>
      </c>
      <c r="AA899" s="216" t="s">
        <v>2647</v>
      </c>
      <c r="AB899" s="227" t="s">
        <v>110</v>
      </c>
      <c r="AC899" s="295"/>
    </row>
    <row r="900" spans="1:29" s="71" customFormat="1" ht="15.5" x14ac:dyDescent="0.35">
      <c r="A900" s="211">
        <v>10593</v>
      </c>
      <c r="B900" s="214"/>
      <c r="C900" s="211">
        <v>15306</v>
      </c>
      <c r="D900" s="215" t="s">
        <v>110</v>
      </c>
      <c r="E900" s="215" t="s">
        <v>110</v>
      </c>
      <c r="F900" s="211" t="s">
        <v>110</v>
      </c>
      <c r="G900" s="211" t="s">
        <v>110</v>
      </c>
      <c r="H900" s="216" t="s">
        <v>1566</v>
      </c>
      <c r="I900" s="217" t="s">
        <v>1563</v>
      </c>
      <c r="J900" s="211" t="s">
        <v>1534</v>
      </c>
      <c r="K900" s="211" t="s">
        <v>162</v>
      </c>
      <c r="L900" s="211" t="s">
        <v>162</v>
      </c>
      <c r="M900" s="211" t="s">
        <v>123</v>
      </c>
      <c r="N900" s="212" t="s">
        <v>14</v>
      </c>
      <c r="O900" s="211">
        <v>50</v>
      </c>
      <c r="P900" s="212" t="s">
        <v>37</v>
      </c>
      <c r="Q900" s="213" t="s">
        <v>108</v>
      </c>
      <c r="R900" s="218">
        <v>890000</v>
      </c>
      <c r="S900" s="218">
        <f t="shared" ref="S900" si="7">R900*O900</f>
        <v>44500000</v>
      </c>
      <c r="T900" s="219">
        <v>45044</v>
      </c>
      <c r="U900" s="220">
        <v>45072</v>
      </c>
      <c r="V900" s="221"/>
      <c r="W900" s="211" t="s">
        <v>2814</v>
      </c>
      <c r="X900" s="211" t="s">
        <v>3621</v>
      </c>
      <c r="Y900" s="220">
        <v>45042</v>
      </c>
      <c r="Z900" s="222" t="s">
        <v>328</v>
      </c>
      <c r="AA900" s="216" t="s">
        <v>2056</v>
      </c>
      <c r="AB900" s="227"/>
      <c r="AC900" s="295"/>
    </row>
    <row r="901" spans="1:29" s="71" customFormat="1" ht="31" x14ac:dyDescent="0.35">
      <c r="A901" s="211">
        <v>10619</v>
      </c>
      <c r="B901" s="214" t="s">
        <v>3686</v>
      </c>
      <c r="C901" s="211">
        <v>15310</v>
      </c>
      <c r="D901" s="215" t="s">
        <v>110</v>
      </c>
      <c r="E901" s="215" t="s">
        <v>110</v>
      </c>
      <c r="F901" s="211" t="s">
        <v>110</v>
      </c>
      <c r="G901" s="211" t="s">
        <v>110</v>
      </c>
      <c r="H901" s="217" t="s">
        <v>222</v>
      </c>
      <c r="I901" s="217" t="s">
        <v>1377</v>
      </c>
      <c r="J901" s="214" t="s">
        <v>220</v>
      </c>
      <c r="K901" s="214" t="s">
        <v>321</v>
      </c>
      <c r="L901" s="214" t="s">
        <v>321</v>
      </c>
      <c r="M901" s="214" t="s">
        <v>327</v>
      </c>
      <c r="N901" s="214" t="s">
        <v>14</v>
      </c>
      <c r="O901" s="214">
        <v>2</v>
      </c>
      <c r="P901" s="223" t="s">
        <v>105</v>
      </c>
      <c r="Q901" s="223" t="s">
        <v>108</v>
      </c>
      <c r="R901" s="229">
        <v>120000</v>
      </c>
      <c r="S901" s="229">
        <f>Product_Name[[#This Row],[Đơn giá
Unit Price]]*Product_Name[[#This Row],[Số lượng
Quantity]]</f>
        <v>240000</v>
      </c>
      <c r="T901" s="219">
        <v>45044</v>
      </c>
      <c r="U901" s="227">
        <v>45051</v>
      </c>
      <c r="V901" s="231">
        <v>45051</v>
      </c>
      <c r="W901" s="214" t="s">
        <v>2813</v>
      </c>
      <c r="X901" s="214" t="s">
        <v>16</v>
      </c>
      <c r="Y901" s="220">
        <v>45044</v>
      </c>
      <c r="Z901" s="222" t="s">
        <v>328</v>
      </c>
      <c r="AA901" s="216" t="s">
        <v>2181</v>
      </c>
      <c r="AB901" s="247" t="s">
        <v>3684</v>
      </c>
      <c r="AC901" s="295"/>
    </row>
    <row r="902" spans="1:29" ht="15.5" x14ac:dyDescent="0.35">
      <c r="A902" s="211"/>
      <c r="B902" s="214"/>
      <c r="C902" s="211">
        <v>15456</v>
      </c>
      <c r="D902" s="215" t="s">
        <v>110</v>
      </c>
      <c r="E902" s="215" t="s">
        <v>110</v>
      </c>
      <c r="F902" s="211" t="s">
        <v>110</v>
      </c>
      <c r="G902" s="211" t="s">
        <v>110</v>
      </c>
      <c r="H902" s="216" t="s">
        <v>219</v>
      </c>
      <c r="I902" s="217" t="s">
        <v>2776</v>
      </c>
      <c r="J902" s="211" t="s">
        <v>933</v>
      </c>
      <c r="K902" s="211" t="s">
        <v>210</v>
      </c>
      <c r="L902" s="211" t="s">
        <v>210</v>
      </c>
      <c r="M902" s="211" t="s">
        <v>327</v>
      </c>
      <c r="N902" s="212" t="s">
        <v>14</v>
      </c>
      <c r="O902" s="211">
        <v>2</v>
      </c>
      <c r="P902" s="211" t="s">
        <v>105</v>
      </c>
      <c r="Q902" s="213" t="s">
        <v>108</v>
      </c>
      <c r="R902" s="218">
        <v>345000</v>
      </c>
      <c r="S902" s="218">
        <f>Product_Name[[#This Row],[Đơn giá
Unit Price]]*Product_Name[[#This Row],[Số lượng
Quantity]]</f>
        <v>690000</v>
      </c>
      <c r="T902" s="219">
        <v>45054</v>
      </c>
      <c r="U902" s="220">
        <v>45061</v>
      </c>
      <c r="V902" s="220"/>
      <c r="W902" s="211" t="s">
        <v>1537</v>
      </c>
      <c r="X902" s="211" t="s">
        <v>16</v>
      </c>
      <c r="Y902" s="264">
        <v>45051</v>
      </c>
      <c r="Z902" s="222" t="s">
        <v>2087</v>
      </c>
      <c r="AA902" s="216" t="s">
        <v>2181</v>
      </c>
      <c r="AB902" s="247"/>
      <c r="AC902" s="295"/>
    </row>
    <row r="903" spans="1:29" ht="31" x14ac:dyDescent="0.35">
      <c r="A903" s="211" t="s">
        <v>110</v>
      </c>
      <c r="B903" s="214"/>
      <c r="C903" s="211" t="s">
        <v>110</v>
      </c>
      <c r="D903" s="215"/>
      <c r="E903" s="215"/>
      <c r="F903" s="213" t="s">
        <v>3691</v>
      </c>
      <c r="G903" s="213"/>
      <c r="H903" s="216" t="s">
        <v>3692</v>
      </c>
      <c r="I903" s="217" t="s">
        <v>3693</v>
      </c>
      <c r="J903" s="211" t="s">
        <v>3694</v>
      </c>
      <c r="K903" s="211" t="s">
        <v>1810</v>
      </c>
      <c r="L903" s="211" t="s">
        <v>1810</v>
      </c>
      <c r="M903" s="211" t="s">
        <v>63</v>
      </c>
      <c r="N903" s="211" t="s">
        <v>642</v>
      </c>
      <c r="O903" s="211">
        <v>1</v>
      </c>
      <c r="P903" s="211" t="s">
        <v>44</v>
      </c>
      <c r="Q903" s="213" t="s">
        <v>390</v>
      </c>
      <c r="R903" s="218">
        <v>415385</v>
      </c>
      <c r="S903" s="218">
        <f>Product_Name[[#This Row],[Đơn giá
Unit Price]]*Product_Name[[#This Row],[Số lượng
Quantity]]</f>
        <v>415385</v>
      </c>
      <c r="T903" s="219"/>
      <c r="U903" s="220"/>
      <c r="V903" s="221"/>
      <c r="W903" s="313"/>
      <c r="X903" s="211" t="s">
        <v>16</v>
      </c>
      <c r="Y903" s="313" t="s">
        <v>3704</v>
      </c>
      <c r="Z903" s="216" t="s">
        <v>3699</v>
      </c>
      <c r="AA903" s="216" t="s">
        <v>3700</v>
      </c>
      <c r="AB903" s="227">
        <v>45054</v>
      </c>
      <c r="AC903" s="314" t="s">
        <v>3705</v>
      </c>
    </row>
    <row r="904" spans="1:29" ht="31" x14ac:dyDescent="0.35">
      <c r="A904" s="211" t="s">
        <v>110</v>
      </c>
      <c r="B904" s="214"/>
      <c r="C904" s="211" t="s">
        <v>110</v>
      </c>
      <c r="D904" s="215"/>
      <c r="E904" s="215"/>
      <c r="F904" s="213" t="s">
        <v>3691</v>
      </c>
      <c r="G904" s="213"/>
      <c r="H904" s="216" t="s">
        <v>3696</v>
      </c>
      <c r="I904" s="217" t="s">
        <v>3695</v>
      </c>
      <c r="J904" s="211" t="s">
        <v>3696</v>
      </c>
      <c r="K904" s="211" t="s">
        <v>1810</v>
      </c>
      <c r="L904" s="211" t="s">
        <v>1810</v>
      </c>
      <c r="M904" s="211" t="s">
        <v>63</v>
      </c>
      <c r="N904" s="211" t="s">
        <v>642</v>
      </c>
      <c r="O904" s="211">
        <v>1</v>
      </c>
      <c r="P904" s="211" t="s">
        <v>44</v>
      </c>
      <c r="Q904" s="213" t="s">
        <v>390</v>
      </c>
      <c r="R904" s="218">
        <v>1023077</v>
      </c>
      <c r="S904" s="218">
        <f>Product_Name[[#This Row],[Đơn giá
Unit Price]]*Product_Name[[#This Row],[Số lượng
Quantity]]</f>
        <v>1023077</v>
      </c>
      <c r="T904" s="219"/>
      <c r="U904" s="220"/>
      <c r="V904" s="221"/>
      <c r="W904" s="313"/>
      <c r="X904" s="211" t="s">
        <v>16</v>
      </c>
      <c r="Y904" s="313" t="s">
        <v>3704</v>
      </c>
      <c r="Z904" s="216" t="s">
        <v>3699</v>
      </c>
      <c r="AA904" s="216" t="s">
        <v>3700</v>
      </c>
      <c r="AB904" s="227">
        <v>45054</v>
      </c>
      <c r="AC904" s="314"/>
    </row>
    <row r="905" spans="1:29" ht="31" x14ac:dyDescent="0.35">
      <c r="A905" s="211" t="s">
        <v>110</v>
      </c>
      <c r="B905" s="214"/>
      <c r="C905" s="211" t="s">
        <v>110</v>
      </c>
      <c r="D905" s="215"/>
      <c r="E905" s="215"/>
      <c r="F905" s="213" t="s">
        <v>3691</v>
      </c>
      <c r="G905" s="213"/>
      <c r="H905" s="216" t="s">
        <v>3698</v>
      </c>
      <c r="I905" s="217" t="s">
        <v>1738</v>
      </c>
      <c r="J905" s="211" t="s">
        <v>3697</v>
      </c>
      <c r="K905" s="211" t="s">
        <v>1810</v>
      </c>
      <c r="L905" s="211" t="s">
        <v>1810</v>
      </c>
      <c r="M905" s="211" t="s">
        <v>63</v>
      </c>
      <c r="N905" s="211" t="s">
        <v>642</v>
      </c>
      <c r="O905" s="211">
        <v>1</v>
      </c>
      <c r="P905" s="211" t="s">
        <v>44</v>
      </c>
      <c r="Q905" s="213" t="s">
        <v>390</v>
      </c>
      <c r="R905" s="218">
        <v>173077</v>
      </c>
      <c r="S905" s="218">
        <f>Product_Name[[#This Row],[Đơn giá
Unit Price]]*Product_Name[[#This Row],[Số lượng
Quantity]]</f>
        <v>173077</v>
      </c>
      <c r="T905" s="219"/>
      <c r="U905" s="220"/>
      <c r="V905" s="221"/>
      <c r="W905" s="313"/>
      <c r="X905" s="211" t="s">
        <v>16</v>
      </c>
      <c r="Y905" s="313" t="s">
        <v>3704</v>
      </c>
      <c r="Z905" s="216" t="s">
        <v>3699</v>
      </c>
      <c r="AA905" s="216" t="s">
        <v>3700</v>
      </c>
      <c r="AB905" s="227">
        <v>45054</v>
      </c>
      <c r="AC905" s="314"/>
    </row>
    <row r="906" spans="1:29" ht="31" x14ac:dyDescent="0.35">
      <c r="A906" s="211" t="s">
        <v>110</v>
      </c>
      <c r="B906" s="214"/>
      <c r="C906" s="211" t="s">
        <v>110</v>
      </c>
      <c r="D906" s="215"/>
      <c r="E906" s="215"/>
      <c r="F906" s="213" t="s">
        <v>3691</v>
      </c>
      <c r="G906" s="213"/>
      <c r="H906" s="216" t="s">
        <v>3701</v>
      </c>
      <c r="I906" s="217" t="s">
        <v>1739</v>
      </c>
      <c r="J906" s="211" t="s">
        <v>3702</v>
      </c>
      <c r="K906" s="211" t="s">
        <v>1810</v>
      </c>
      <c r="L906" s="211" t="s">
        <v>1810</v>
      </c>
      <c r="M906" s="211" t="s">
        <v>63</v>
      </c>
      <c r="N906" s="211" t="s">
        <v>642</v>
      </c>
      <c r="O906" s="211">
        <v>1</v>
      </c>
      <c r="P906" s="211" t="s">
        <v>44</v>
      </c>
      <c r="Q906" s="213" t="s">
        <v>390</v>
      </c>
      <c r="R906" s="218">
        <v>130769</v>
      </c>
      <c r="S906" s="218">
        <f>Product_Name[[#This Row],[Đơn giá
Unit Price]]*Product_Name[[#This Row],[Số lượng
Quantity]]</f>
        <v>130769</v>
      </c>
      <c r="T906" s="219"/>
      <c r="U906" s="220"/>
      <c r="V906" s="221"/>
      <c r="W906" s="313"/>
      <c r="X906" s="211" t="s">
        <v>16</v>
      </c>
      <c r="Y906" s="313" t="s">
        <v>3704</v>
      </c>
      <c r="Z906" s="216" t="s">
        <v>3699</v>
      </c>
      <c r="AA906" s="216" t="s">
        <v>3700</v>
      </c>
      <c r="AB906" s="227">
        <v>45054</v>
      </c>
      <c r="AC906" s="314"/>
    </row>
    <row r="907" spans="1:29" s="71" customFormat="1" ht="15.5" x14ac:dyDescent="0.35">
      <c r="A907" s="214"/>
      <c r="B907" s="214"/>
      <c r="C907" s="214"/>
      <c r="D907" s="215"/>
      <c r="E907" s="215"/>
      <c r="F907" s="214"/>
      <c r="G907" s="214"/>
      <c r="H907" s="217" t="s">
        <v>817</v>
      </c>
      <c r="I907" s="217" t="s">
        <v>823</v>
      </c>
      <c r="J907" s="214" t="s">
        <v>809</v>
      </c>
      <c r="K907" s="214" t="s">
        <v>1426</v>
      </c>
      <c r="L907" s="211" t="s">
        <v>99</v>
      </c>
      <c r="M907" s="214" t="s">
        <v>826</v>
      </c>
      <c r="N907" s="214" t="s">
        <v>14</v>
      </c>
      <c r="O907" s="214">
        <v>3</v>
      </c>
      <c r="P907" s="236" t="s">
        <v>44</v>
      </c>
      <c r="Q907" s="223" t="s">
        <v>108</v>
      </c>
      <c r="R907" s="229">
        <v>2140000</v>
      </c>
      <c r="S907" s="229">
        <f>Product_Name[[#This Row],[Đơn giá
Unit Price]]*Product_Name[[#This Row],[Số lượng
Quantity]]</f>
        <v>6420000</v>
      </c>
      <c r="T907" s="230"/>
      <c r="U907" s="227"/>
      <c r="V907" s="231"/>
      <c r="W907" s="214" t="s">
        <v>2814</v>
      </c>
      <c r="X907" s="214" t="s">
        <v>54</v>
      </c>
      <c r="Y907" s="220">
        <v>45054</v>
      </c>
      <c r="Z907" s="216"/>
      <c r="AA907" s="216" t="s">
        <v>2290</v>
      </c>
      <c r="AB907" s="227"/>
      <c r="AC907" s="295"/>
    </row>
    <row r="908" spans="1:29" s="71" customFormat="1" ht="15.5" x14ac:dyDescent="0.35">
      <c r="A908" s="214"/>
      <c r="B908" s="214"/>
      <c r="C908" s="214"/>
      <c r="D908" s="215"/>
      <c r="E908" s="215"/>
      <c r="F908" s="214"/>
      <c r="G908" s="214"/>
      <c r="H908" s="217" t="s">
        <v>817</v>
      </c>
      <c r="I908" s="217" t="s">
        <v>823</v>
      </c>
      <c r="J908" s="214" t="s">
        <v>810</v>
      </c>
      <c r="K908" s="214" t="s">
        <v>1426</v>
      </c>
      <c r="L908" s="211" t="s">
        <v>99</v>
      </c>
      <c r="M908" s="214" t="s">
        <v>826</v>
      </c>
      <c r="N908" s="214" t="s">
        <v>14</v>
      </c>
      <c r="O908" s="214">
        <v>3</v>
      </c>
      <c r="P908" s="236" t="s">
        <v>44</v>
      </c>
      <c r="Q908" s="223" t="s">
        <v>108</v>
      </c>
      <c r="R908" s="229">
        <v>1200000</v>
      </c>
      <c r="S908" s="229">
        <f>Product_Name[[#This Row],[Đơn giá
Unit Price]]*Product_Name[[#This Row],[Số lượng
Quantity]]</f>
        <v>3600000</v>
      </c>
      <c r="T908" s="230"/>
      <c r="U908" s="227"/>
      <c r="V908" s="231"/>
      <c r="W908" s="214" t="s">
        <v>2814</v>
      </c>
      <c r="X908" s="214" t="s">
        <v>54</v>
      </c>
      <c r="Y908" s="220">
        <v>45054</v>
      </c>
      <c r="Z908" s="216"/>
      <c r="AA908" s="216" t="s">
        <v>2290</v>
      </c>
      <c r="AB908" s="227"/>
      <c r="AC908" s="295"/>
    </row>
    <row r="909" spans="1:29" ht="15.5" x14ac:dyDescent="0.35">
      <c r="A909" s="211"/>
      <c r="B909" s="214"/>
      <c r="C909" s="211">
        <v>15460</v>
      </c>
      <c r="D909" s="215" t="s">
        <v>110</v>
      </c>
      <c r="E909" s="215" t="s">
        <v>110</v>
      </c>
      <c r="F909" s="211" t="s">
        <v>110</v>
      </c>
      <c r="G909" s="211" t="s">
        <v>110</v>
      </c>
      <c r="H909" s="216" t="s">
        <v>2466</v>
      </c>
      <c r="I909" s="217" t="s">
        <v>2467</v>
      </c>
      <c r="J909" s="211" t="s">
        <v>2465</v>
      </c>
      <c r="K909" s="211" t="s">
        <v>2451</v>
      </c>
      <c r="L909" s="211" t="s">
        <v>2515</v>
      </c>
      <c r="M909" s="211" t="s">
        <v>2516</v>
      </c>
      <c r="N909" s="211" t="s">
        <v>14</v>
      </c>
      <c r="O909" s="211">
        <v>5</v>
      </c>
      <c r="P909" s="211" t="s">
        <v>37</v>
      </c>
      <c r="Q909" s="226" t="s">
        <v>108</v>
      </c>
      <c r="R909" s="218">
        <v>298000</v>
      </c>
      <c r="S909" s="218">
        <f>Product_Name[[#This Row],[Đơn giá
Unit Price]]*Product_Name[[#This Row],[Số lượng
Quantity]]</f>
        <v>1490000</v>
      </c>
      <c r="T909" s="219">
        <v>45054</v>
      </c>
      <c r="U909" s="220">
        <v>45061</v>
      </c>
      <c r="V909" s="221"/>
      <c r="W909" s="211" t="s">
        <v>2814</v>
      </c>
      <c r="X909" s="211" t="s">
        <v>16</v>
      </c>
      <c r="Y909" s="220">
        <v>45054</v>
      </c>
      <c r="Z909" s="222" t="s">
        <v>2087</v>
      </c>
      <c r="AA909" s="216" t="s">
        <v>2181</v>
      </c>
      <c r="AB909" s="227" t="s">
        <v>110</v>
      </c>
      <c r="AC909" s="295"/>
    </row>
    <row r="910" spans="1:29" s="71" customFormat="1" ht="15.5" x14ac:dyDescent="0.35">
      <c r="A910" s="211" t="s">
        <v>110</v>
      </c>
      <c r="B910" s="214"/>
      <c r="C910" s="211" t="s">
        <v>110</v>
      </c>
      <c r="D910" s="215"/>
      <c r="E910" s="215"/>
      <c r="F910" s="211"/>
      <c r="G910" s="211"/>
      <c r="H910" s="216" t="s">
        <v>785</v>
      </c>
      <c r="I910" s="217" t="s">
        <v>1006</v>
      </c>
      <c r="J910" s="211" t="s">
        <v>794</v>
      </c>
      <c r="K910" s="211" t="s">
        <v>1281</v>
      </c>
      <c r="L910" s="211" t="s">
        <v>1281</v>
      </c>
      <c r="M910" s="211" t="s">
        <v>797</v>
      </c>
      <c r="N910" s="212" t="s">
        <v>642</v>
      </c>
      <c r="O910" s="211">
        <v>3</v>
      </c>
      <c r="P910" s="212" t="s">
        <v>276</v>
      </c>
      <c r="Q910" s="213" t="s">
        <v>108</v>
      </c>
      <c r="R910" s="218">
        <v>1920000</v>
      </c>
      <c r="S910" s="218">
        <f>Product_Name[[#This Row],[Đơn giá
Unit Price]]*Product_Name[[#This Row],[Số lượng
Quantity]]</f>
        <v>5760000</v>
      </c>
      <c r="T910" s="219"/>
      <c r="U910" s="220"/>
      <c r="V910" s="221"/>
      <c r="W910" s="214" t="s">
        <v>1537</v>
      </c>
      <c r="X910" s="211" t="s">
        <v>16</v>
      </c>
      <c r="Y910" s="220">
        <v>45054</v>
      </c>
      <c r="Z910" s="216"/>
      <c r="AA910" s="216" t="s">
        <v>3708</v>
      </c>
      <c r="AB910" s="227"/>
      <c r="AC910" s="295"/>
    </row>
    <row r="911" spans="1:29" ht="15.5" x14ac:dyDescent="0.35">
      <c r="A911" s="315"/>
      <c r="B911" s="316"/>
      <c r="C911" s="315"/>
      <c r="D911" s="317"/>
      <c r="E911" s="317"/>
      <c r="F911" s="315"/>
      <c r="G911" s="315"/>
      <c r="H911" s="318"/>
      <c r="I911" s="319"/>
      <c r="J911" s="315"/>
      <c r="K911" s="315"/>
      <c r="L911" s="315"/>
      <c r="M911" s="315"/>
      <c r="N911" s="320"/>
      <c r="O911" s="315"/>
      <c r="P911" s="315"/>
      <c r="Q911" s="321"/>
      <c r="R911" s="322"/>
      <c r="S911" s="322">
        <f>Product_Name[[#This Row],[Đơn giá
Unit Price]]*Product_Name[[#This Row],[Số lượng
Quantity]]</f>
        <v>0</v>
      </c>
      <c r="T911" s="323"/>
      <c r="U911" s="324"/>
      <c r="V911" s="325"/>
      <c r="W911" s="315"/>
      <c r="X911" s="315"/>
      <c r="Y911" s="326"/>
      <c r="Z911" s="318"/>
      <c r="AA911" s="318"/>
      <c r="AB911" s="327"/>
    </row>
    <row r="912" spans="1:29" ht="15.5" x14ac:dyDescent="0.35">
      <c r="A912" s="315"/>
      <c r="B912" s="316"/>
      <c r="C912" s="315"/>
      <c r="D912" s="317"/>
      <c r="E912" s="317"/>
      <c r="F912" s="315"/>
      <c r="G912" s="315"/>
      <c r="H912" s="318"/>
      <c r="I912" s="319"/>
      <c r="J912" s="315"/>
      <c r="K912" s="315"/>
      <c r="L912" s="315"/>
      <c r="M912" s="315"/>
      <c r="N912" s="320"/>
      <c r="O912" s="315"/>
      <c r="P912" s="315"/>
      <c r="Q912" s="321"/>
      <c r="R912" s="322"/>
      <c r="S912" s="322">
        <f>Product_Name[[#This Row],[Đơn giá
Unit Price]]*Product_Name[[#This Row],[Số lượng
Quantity]]</f>
        <v>0</v>
      </c>
      <c r="T912" s="323"/>
      <c r="U912" s="324"/>
      <c r="V912" s="325"/>
      <c r="W912" s="315"/>
      <c r="X912" s="315"/>
      <c r="Y912" s="326"/>
      <c r="Z912" s="318"/>
      <c r="AA912" s="318"/>
      <c r="AB912" s="327"/>
    </row>
    <row r="913" spans="1:28" ht="15.5" x14ac:dyDescent="0.35">
      <c r="A913" s="328"/>
      <c r="B913" s="329"/>
      <c r="C913" s="328"/>
      <c r="D913" s="330"/>
      <c r="E913" s="330"/>
      <c r="F913" s="328"/>
      <c r="G913" s="328"/>
      <c r="H913" s="331"/>
      <c r="I913" s="332"/>
      <c r="J913" s="328"/>
      <c r="K913" s="328"/>
      <c r="L913" s="328"/>
      <c r="M913" s="328"/>
      <c r="N913" s="333"/>
      <c r="O913" s="328"/>
      <c r="P913" s="328"/>
      <c r="Q913" s="334"/>
      <c r="R913" s="335"/>
      <c r="S913" s="335">
        <f>Product_Name[[#This Row],[Đơn giá
Unit Price]]*Product_Name[[#This Row],[Số lượng
Quantity]]</f>
        <v>0</v>
      </c>
      <c r="T913" s="336"/>
      <c r="U913" s="337"/>
      <c r="V913" s="338"/>
      <c r="W913" s="328"/>
      <c r="X913" s="328"/>
      <c r="Y913" s="339"/>
      <c r="Z913" s="331"/>
      <c r="AA913" s="331"/>
      <c r="AB913" s="340"/>
    </row>
  </sheetData>
  <mergeCells count="1">
    <mergeCell ref="AC903:AC906"/>
  </mergeCells>
  <conditionalFormatting sqref="A232:I232 AB232 A270:I270 AB270 A340:I340 AB340 A354:I354 AB354 AA147:AB149 Z147:Z150 A412:R412 AA412:AB412 AA406 AA404:AB405 Q414:R414 A423:O423 O424:O428 AA414:AB414 AA415:AA420 T407:T410 A414:O414 A435:K435 H424:M428 O436 X423:Y428 R436 AB215 AB423 A272:Z272 AB272 T436:V436 R423:R428 T423:V423 T414 T412:X412 A436:C436 H436:M436 T424:T428 A424:C429 U424:V429 AA424:AA428 AB469:AB471 T469:Y471 Y488 AA488:AB488 D489:G489 E485 F486:L487 A387:Z388 AB387:AB388 AB390 A402:Z403 AB402:AB403 Y436:AB436 A415:R420 N216:AB216 N215:Z215 A341:AB344 A372:L374 N372:AB373 N374:AA374 A389:AB389 A404:R406 A488:V488 T415:Y420 A502:K505 AB437:AB440 A485:C487 A215:L216 L411 L459 L479 M502:V505 AB375:AB376 A147:Y148 AB345:AB346 H485:L485 M485:P487 Z649:AB649 A499:AB499 Z568:AB572 Z573:AC573 Y579:AB589 D581:V581 D582:N582 P582:S582 O579:O582 D583:S588 S404:S440 X579:X588 A578:V579 X578:AB578 W591:W592 A650:V652 X650:AB652 A507:AB507 K354:Z354 A401:I401 K401:AB401 A509:I509 A539:I539 K539:V539 A113:I113 K113:AB113 A149:I149 K149:Y149 K232:Z232 K270:Z270 K340:Z340 A581:C588 T582:V588 A580:N580 P580:V580 AA700:AB700 A699:N699 B695 H695:V695 D695:E695 X700:Y700 O699:V700 Y728 AA728 H728:V728 D728:E729 U729:V729 A762:S762 D763:S767 Z806:AB806 O812:P813 AB812:AB813 Q807:X808 S814 A808:C808 Y812:Z813 AB802:AB805 W800:AB801 W802:AA802 A800:V802 A763:C763 A764:A767 C764:C767 A773:L774 N795:V795 A345:Z346 A377:AB386 A390:Z390 W407 W480:W482 Q485:AB485 X502:AB505 W501:W505 K509:AB509 A538:V538 W538:AB539 A574:AB576 A698:V698 X698:AB699 W698:W700 W708 W831:W835 W843 W847 W711:W712 O773:AB774 A508:V508 X508:AB508 X526:AB530 A536:V536 X536:AB536 A670:V670 X670:AB670 X695:AB695 A792:V792 X792:AB792 A114:AB146 A188:AB214 A217:AB231 A233:AB269 A271:AB271 A347:AB353 T404:Y406 W441:W442 W460:W461 W466:W467 W489:AB490 A491:AB494 W630:W631 A671:AB690 W691:W693 W824 A375:Z376 A391:AB400 V414:Y414 T435:AB435 R486:AB487 A510:AB511 A653:AB669 A513:AB522 A512:V512 X512:AB512 A525:AB525 A523:V524 X523:AB524 A563:AB567 A562:V562 X562:AB562 A775:V775 X775:AB775 X795:AB795 Q848:Q859 S830 A796:C796 H796:AB796 A768:AB772 A700:L700 A795:L795 A577:G577 J577:AB577 A568:Y573 A805:X806 A273:AB339 L495 L500:L505 A526:V530 A531:AB535 A537:AB537 A540:AB561 M589:X589 M590:AB590 A589:L590 A696:AB697 L705 L707 L711 L714:L715 L727 A776:AB778 A797:AB799 A807:P807 L861 L883 A779:K779 M779:AB779 A803:J804 M803:X804 A68:AB112 A67:K67 M67:AB67 L649 A730:AB761 H808:P808 L810 L815:L820 L836 L869 H812:L813 R812:W813 T762:AB767 A812:C813 A780:AB791 A5:AB66 A355:AB371 A793:AB794 Z803:AA805 Z807:AA808 A150:AB186">
    <cfRule type="expression" dxfId="850" priority="2374">
      <formula>IF($V5="",FALSE,TRUE)</formula>
    </cfRule>
    <cfRule type="expression" dxfId="849" priority="2376">
      <formula>IF($T5="",FALSE,TRUE)</formula>
    </cfRule>
  </conditionalFormatting>
  <conditionalFormatting sqref="AA354 AA340 AA270 AA232">
    <cfRule type="expression" dxfId="848" priority="2363">
      <formula>IF($V232="",FALSE,TRUE)</formula>
    </cfRule>
    <cfRule type="expression" dxfId="847" priority="2364">
      <formula>IF($T232="",FALSE,TRUE)</formula>
    </cfRule>
  </conditionalFormatting>
  <conditionalFormatting sqref="X407:Y409 J410:K410 Y410 O408:R409 AA407:AB407 F408:L409 H407:R407 A410:G410 U410:W410 A407:C409 U407:V409 AA410:AB410 AB408:AB409 M410:R410">
    <cfRule type="expression" dxfId="846" priority="2361">
      <formula>IF($V407="",FALSE,TRUE)</formula>
    </cfRule>
    <cfRule type="expression" dxfId="845" priority="2362">
      <formula>IF($T407="",FALSE,TRUE)</formula>
    </cfRule>
  </conditionalFormatting>
  <conditionalFormatting sqref="Z407:Z410">
    <cfRule type="expression" dxfId="844" priority="2357">
      <formula>IF($V407="",FALSE,TRUE)</formula>
    </cfRule>
    <cfRule type="expression" dxfId="843" priority="2358">
      <formula>IF($T407="",FALSE,TRUE)</formula>
    </cfRule>
  </conditionalFormatting>
  <conditionalFormatting sqref="Z405:Z406">
    <cfRule type="expression" dxfId="842" priority="2351">
      <formula>IF($V405="",FALSE,TRUE)</formula>
    </cfRule>
    <cfRule type="expression" dxfId="841" priority="2352">
      <formula>IF($T405="",FALSE,TRUE)</formula>
    </cfRule>
  </conditionalFormatting>
  <conditionalFormatting sqref="N408:N409">
    <cfRule type="expression" dxfId="840" priority="2347">
      <formula>IF($V408="",FALSE,TRUE)</formula>
    </cfRule>
    <cfRule type="expression" dxfId="839" priority="2348">
      <formula>IF($T408="",FALSE,TRUE)</formula>
    </cfRule>
  </conditionalFormatting>
  <conditionalFormatting sqref="W408:W409">
    <cfRule type="expression" dxfId="838" priority="2343">
      <formula>IF($V408="",FALSE,TRUE)</formula>
    </cfRule>
    <cfRule type="expression" dxfId="837" priority="2344">
      <formula>IF($T408="",FALSE,TRUE)</formula>
    </cfRule>
  </conditionalFormatting>
  <conditionalFormatting sqref="AB374">
    <cfRule type="expression" dxfId="836" priority="2341">
      <formula>IF($V374="",FALSE,TRUE)</formula>
    </cfRule>
    <cfRule type="expression" dxfId="835" priority="2342">
      <formula>IF($T374="",FALSE,TRUE)</formula>
    </cfRule>
  </conditionalFormatting>
  <conditionalFormatting sqref="H410:I410">
    <cfRule type="expression" dxfId="834" priority="2339">
      <formula>IF($V410="",FALSE,TRUE)</formula>
    </cfRule>
    <cfRule type="expression" dxfId="833" priority="2340">
      <formula>IF($T410="",FALSE,TRUE)</formula>
    </cfRule>
  </conditionalFormatting>
  <conditionalFormatting sqref="X410">
    <cfRule type="expression" dxfId="832" priority="2337">
      <formula>IF($V410="",FALSE,TRUE)</formula>
    </cfRule>
    <cfRule type="expression" dxfId="831" priority="2338">
      <formula>IF($T410="",FALSE,TRUE)</formula>
    </cfRule>
  </conditionalFormatting>
  <conditionalFormatting sqref="A411:K411 U411:AB411 Z412 N411:R411">
    <cfRule type="expression" dxfId="830" priority="2335">
      <formula>IF($V411="",FALSE,TRUE)</formula>
    </cfRule>
    <cfRule type="expression" dxfId="829" priority="2336">
      <formula>IF($T411="",FALSE,TRUE)</formula>
    </cfRule>
  </conditionalFormatting>
  <conditionalFormatting sqref="Y412">
    <cfRule type="expression" dxfId="828" priority="2327">
      <formula>IF($V412="",FALSE,TRUE)</formula>
    </cfRule>
    <cfRule type="expression" dxfId="827" priority="2328">
      <formula>IF($T412="",FALSE,TRUE)</formula>
    </cfRule>
  </conditionalFormatting>
  <conditionalFormatting sqref="AA413:AB413 A413:L413 U414 T413:Y413 N413:R413 W430 W468 W472:W473 W508 W526:W530 W536 W670 W695 W709 W716 W792 W836 W842 W860">
    <cfRule type="expression" dxfId="826" priority="2325">
      <formula>IF($V413="",FALSE,TRUE)</formula>
    </cfRule>
    <cfRule type="expression" dxfId="825" priority="2326">
      <formula>IF($T413="",FALSE,TRUE)</formula>
    </cfRule>
  </conditionalFormatting>
  <conditionalFormatting sqref="Z413">
    <cfRule type="expression" dxfId="824" priority="2323">
      <formula>IF($V413="",FALSE,TRUE)</formula>
    </cfRule>
    <cfRule type="expression" dxfId="823" priority="2324">
      <formula>IF($T413="",FALSE,TRUE)</formula>
    </cfRule>
  </conditionalFormatting>
  <conditionalFormatting sqref="D408:E409">
    <cfRule type="expression" dxfId="822" priority="2321">
      <formula>IF($V408="",FALSE,TRUE)</formula>
    </cfRule>
    <cfRule type="expression" dxfId="821" priority="2322">
      <formula>IF($T408="",FALSE,TRUE)</formula>
    </cfRule>
  </conditionalFormatting>
  <conditionalFormatting sqref="D407:E407">
    <cfRule type="expression" dxfId="820" priority="2319">
      <formula>IF($V407="",FALSE,TRUE)</formula>
    </cfRule>
    <cfRule type="expression" dxfId="819" priority="2320">
      <formula>IF($T407="",FALSE,TRUE)</formula>
    </cfRule>
  </conditionalFormatting>
  <conditionalFormatting sqref="F407:G407">
    <cfRule type="expression" dxfId="818" priority="2317">
      <formula>IF($V407="",FALSE,TRUE)</formula>
    </cfRule>
    <cfRule type="expression" dxfId="817" priority="2318">
      <formula>IF($T407="",FALSE,TRUE)</formula>
    </cfRule>
  </conditionalFormatting>
  <conditionalFormatting sqref="Z414:Z420">
    <cfRule type="expression" dxfId="816" priority="2315">
      <formula>IF($V414="",FALSE,TRUE)</formula>
    </cfRule>
    <cfRule type="expression" dxfId="815" priority="2316">
      <formula>IF($T414="",FALSE,TRUE)</formula>
    </cfRule>
  </conditionalFormatting>
  <conditionalFormatting sqref="AB406">
    <cfRule type="expression" dxfId="814" priority="2313">
      <formula>IF($V406="",FALSE,TRUE)</formula>
    </cfRule>
    <cfRule type="expression" dxfId="813" priority="2314">
      <formula>IF($T406="",FALSE,TRUE)</formula>
    </cfRule>
  </conditionalFormatting>
  <conditionalFormatting sqref="A187:K187 N187:AB187">
    <cfRule type="expression" dxfId="812" priority="2311">
      <formula>IF($V187="",FALSE,TRUE)</formula>
    </cfRule>
    <cfRule type="expression" dxfId="811" priority="2312">
      <formula>IF($T187="",FALSE,TRUE)</formula>
    </cfRule>
  </conditionalFormatting>
  <conditionalFormatting sqref="P414">
    <cfRule type="expression" dxfId="810" priority="2309">
      <formula>IF($V414="",FALSE,TRUE)</formula>
    </cfRule>
    <cfRule type="expression" dxfId="809" priority="2310">
      <formula>IF($T414="",FALSE,TRUE)</formula>
    </cfRule>
  </conditionalFormatting>
  <conditionalFormatting sqref="Z404">
    <cfRule type="expression" dxfId="808" priority="2307">
      <formula>IF($V404="",FALSE,TRUE)</formula>
    </cfRule>
    <cfRule type="expression" dxfId="807" priority="2308">
      <formula>IF($T404="",FALSE,TRUE)</formula>
    </cfRule>
  </conditionalFormatting>
  <conditionalFormatting sqref="A421:L421 AA421:AB421 T421:Y421 N421:R421">
    <cfRule type="expression" dxfId="806" priority="2303">
      <formula>IF($V421="",FALSE,TRUE)</formula>
    </cfRule>
    <cfRule type="expression" dxfId="805" priority="2304">
      <formula>IF($T421="",FALSE,TRUE)</formula>
    </cfRule>
  </conditionalFormatting>
  <conditionalFormatting sqref="Z421:Z422">
    <cfRule type="expression" dxfId="804" priority="2301">
      <formula>IF($V421="",FALSE,TRUE)</formula>
    </cfRule>
    <cfRule type="expression" dxfId="803" priority="2302">
      <formula>IF($T421="",FALSE,TRUE)</formula>
    </cfRule>
  </conditionalFormatting>
  <conditionalFormatting sqref="A422:J422 P423:Q423 AB422 Q424:Q428 T422:Y422 N422:R422">
    <cfRule type="expression" dxfId="802" priority="2299">
      <formula>IF($V422="",FALSE,TRUE)</formula>
    </cfRule>
    <cfRule type="expression" dxfId="801" priority="2300">
      <formula>IF($T422="",FALSE,TRUE)</formula>
    </cfRule>
  </conditionalFormatting>
  <conditionalFormatting sqref="P424:P428">
    <cfRule type="expression" dxfId="800" priority="2297">
      <formula>IF($V424="",FALSE,TRUE)</formula>
    </cfRule>
    <cfRule type="expression" dxfId="799" priority="2298">
      <formula>IF($T424="",FALSE,TRUE)</formula>
    </cfRule>
  </conditionalFormatting>
  <conditionalFormatting sqref="N424:N428">
    <cfRule type="expression" dxfId="798" priority="2295">
      <formula>IF($V424="",FALSE,TRUE)</formula>
    </cfRule>
    <cfRule type="expression" dxfId="797" priority="2296">
      <formula>IF($T424="",FALSE,TRUE)</formula>
    </cfRule>
  </conditionalFormatting>
  <conditionalFormatting sqref="AC415:AC420">
    <cfRule type="expression" dxfId="796" priority="2291">
      <formula>IF($V415="",FALSE,TRUE)</formula>
    </cfRule>
    <cfRule type="expression" dxfId="795" priority="2292">
      <formula>IF($T415="",FALSE,TRUE)</formula>
    </cfRule>
  </conditionalFormatting>
  <conditionalFormatting sqref="AB415:AB420">
    <cfRule type="expression" dxfId="794" priority="2289">
      <formula>IF($V415="",FALSE,TRUE)</formula>
    </cfRule>
    <cfRule type="expression" dxfId="793" priority="2290">
      <formula>IF($T415="",FALSE,TRUE)</formula>
    </cfRule>
  </conditionalFormatting>
  <conditionalFormatting sqref="T411">
    <cfRule type="expression" dxfId="792" priority="2287">
      <formula>IF($V411="",FALSE,TRUE)</formula>
    </cfRule>
    <cfRule type="expression" dxfId="791" priority="2288">
      <formula>IF($T411="",FALSE,TRUE)</formula>
    </cfRule>
  </conditionalFormatting>
  <conditionalFormatting sqref="W423:W428 W512 W523:W524 W562 W775 W795">
    <cfRule type="expression" dxfId="790" priority="2277">
      <formula>IF($V423="",FALSE,TRUE)</formula>
    </cfRule>
    <cfRule type="expression" dxfId="789" priority="2278">
      <formula>IF($T423="",FALSE,TRUE)</formula>
    </cfRule>
  </conditionalFormatting>
  <conditionalFormatting sqref="P435:P436">
    <cfRule type="expression" dxfId="788" priority="2238">
      <formula>IF($V435="",FALSE,TRUE)</formula>
    </cfRule>
    <cfRule type="expression" dxfId="787" priority="2239">
      <formula>IF($T435="",FALSE,TRUE)</formula>
    </cfRule>
  </conditionalFormatting>
  <conditionalFormatting sqref="Q435:Q436">
    <cfRule type="expression" dxfId="786" priority="2236">
      <formula>IF($V435="",FALSE,TRUE)</formula>
    </cfRule>
    <cfRule type="expression" dxfId="785" priority="2237">
      <formula>IF($T435="",FALSE,TRUE)</formula>
    </cfRule>
  </conditionalFormatting>
  <conditionalFormatting sqref="N435">
    <cfRule type="expression" dxfId="784" priority="2207">
      <formula>IF($V435="",FALSE,TRUE)</formula>
    </cfRule>
    <cfRule type="expression" dxfId="783" priority="2208">
      <formula>IF($T435="",FALSE,TRUE)</formula>
    </cfRule>
  </conditionalFormatting>
  <conditionalFormatting sqref="R435">
    <cfRule type="expression" dxfId="782" priority="2209">
      <formula>IF($V435="",FALSE,TRUE)</formula>
    </cfRule>
    <cfRule type="expression" dxfId="781" priority="2210">
      <formula>IF($T435="",FALSE,TRUE)</formula>
    </cfRule>
  </conditionalFormatting>
  <conditionalFormatting sqref="L435 O435">
    <cfRule type="expression" dxfId="780" priority="2213">
      <formula>IF($V435="",FALSE,TRUE)</formula>
    </cfRule>
    <cfRule type="expression" dxfId="779" priority="2214">
      <formula>IF($T435="",FALSE,TRUE)</formula>
    </cfRule>
  </conditionalFormatting>
  <conditionalFormatting sqref="O429:O434 A432:M432 R429:R431 X430:AB431 X429:Y429 R433:R434 T429 T430:V434 B430 H429:M429 D430:E430 D434:J434 AA429 A434:B434 X433:AB434 X432:Z432 AB432 H430:L430 A433:J433 L433 A431:I431 K431:M431 M434">
    <cfRule type="expression" dxfId="778" priority="2205">
      <formula>IF($V429="",FALSE,TRUE)</formula>
    </cfRule>
    <cfRule type="expression" dxfId="777" priority="2206">
      <formula>IF($T429="",FALSE,TRUE)</formula>
    </cfRule>
  </conditionalFormatting>
  <conditionalFormatting sqref="Q429:Q434">
    <cfRule type="expression" dxfId="776" priority="2203">
      <formula>IF($V429="",FALSE,TRUE)</formula>
    </cfRule>
    <cfRule type="expression" dxfId="775" priority="2204">
      <formula>IF($T429="",FALSE,TRUE)</formula>
    </cfRule>
  </conditionalFormatting>
  <conditionalFormatting sqref="P429:P434">
    <cfRule type="expression" dxfId="774" priority="2201">
      <formula>IF($V429="",FALSE,TRUE)</formula>
    </cfRule>
    <cfRule type="expression" dxfId="773" priority="2202">
      <formula>IF($T429="",FALSE,TRUE)</formula>
    </cfRule>
  </conditionalFormatting>
  <conditionalFormatting sqref="N429 N431:N434">
    <cfRule type="expression" dxfId="772" priority="2199">
      <formula>IF($V429="",FALSE,TRUE)</formula>
    </cfRule>
    <cfRule type="expression" dxfId="771" priority="2200">
      <formula>IF($T429="",FALSE,TRUE)</formula>
    </cfRule>
  </conditionalFormatting>
  <conditionalFormatting sqref="W429 W431 W433:W434">
    <cfRule type="expression" dxfId="770" priority="2197">
      <formula>IF($V429="",FALSE,TRUE)</formula>
    </cfRule>
    <cfRule type="expression" dxfId="769" priority="2198">
      <formula>IF($T429="",FALSE,TRUE)</formula>
    </cfRule>
  </conditionalFormatting>
  <conditionalFormatting sqref="F424:G430">
    <cfRule type="expression" dxfId="768" priority="2195">
      <formula>IF($V424="",FALSE,TRUE)</formula>
    </cfRule>
    <cfRule type="expression" dxfId="767" priority="2196">
      <formula>IF($T424="",FALSE,TRUE)</formula>
    </cfRule>
  </conditionalFormatting>
  <conditionalFormatting sqref="N436">
    <cfRule type="expression" dxfId="766" priority="2193">
      <formula>IF($V436="",FALSE,TRUE)</formula>
    </cfRule>
    <cfRule type="expression" dxfId="765" priority="2194">
      <formula>IF($T436="",FALSE,TRUE)</formula>
    </cfRule>
  </conditionalFormatting>
  <conditionalFormatting sqref="X436">
    <cfRule type="expression" dxfId="764" priority="2191">
      <formula>IF($V436="",FALSE,TRUE)</formula>
    </cfRule>
    <cfRule type="expression" dxfId="763" priority="2192">
      <formula>IF($T436="",FALSE,TRUE)</formula>
    </cfRule>
  </conditionalFormatting>
  <conditionalFormatting sqref="AB424:AB429">
    <cfRule type="expression" dxfId="762" priority="2189">
      <formula>IF($V424="",FALSE,TRUE)</formula>
    </cfRule>
    <cfRule type="expression" dxfId="761" priority="2190">
      <formula>IF($T424="",FALSE,TRUE)</formula>
    </cfRule>
  </conditionalFormatting>
  <conditionalFormatting sqref="A437:L437 T437:Z437 N437:R437">
    <cfRule type="expression" dxfId="760" priority="2187">
      <formula>IF($V437="",FALSE,TRUE)</formula>
    </cfRule>
    <cfRule type="expression" dxfId="759" priority="2188">
      <formula>IF($T437="",FALSE,TRUE)</formula>
    </cfRule>
  </conditionalFormatting>
  <conditionalFormatting sqref="D424:E429">
    <cfRule type="expression" dxfId="758" priority="2183">
      <formula>IF($V424="",FALSE,TRUE)</formula>
    </cfRule>
    <cfRule type="expression" dxfId="757" priority="2184">
      <formula>IF($T424="",FALSE,TRUE)</formula>
    </cfRule>
  </conditionalFormatting>
  <conditionalFormatting sqref="Z423:Z429">
    <cfRule type="expression" dxfId="756" priority="2171">
      <formula>IF($V423="",FALSE,TRUE)</formula>
    </cfRule>
    <cfRule type="expression" dxfId="755" priority="2172">
      <formula>IF($T423="",FALSE,TRUE)</formula>
    </cfRule>
  </conditionalFormatting>
  <conditionalFormatting sqref="R432">
    <cfRule type="expression" dxfId="754" priority="2163">
      <formula>IF($V432="",FALSE,TRUE)</formula>
    </cfRule>
    <cfRule type="expression" dxfId="753" priority="2164">
      <formula>IF($T432="",FALSE,TRUE)</formula>
    </cfRule>
  </conditionalFormatting>
  <conditionalFormatting sqref="Z443">
    <cfRule type="expression" dxfId="752" priority="2157">
      <formula>IF($V443="",FALSE,TRUE)</formula>
    </cfRule>
    <cfRule type="expression" dxfId="751" priority="2158">
      <formula>IF($T443="",FALSE,TRUE)</formula>
    </cfRule>
  </conditionalFormatting>
  <conditionalFormatting sqref="A430">
    <cfRule type="expression" dxfId="750" priority="2149">
      <formula>IF($V430="",FALSE,TRUE)</formula>
    </cfRule>
    <cfRule type="expression" dxfId="749" priority="2150">
      <formula>IF($T430="",FALSE,TRUE)</formula>
    </cfRule>
  </conditionalFormatting>
  <conditionalFormatting sqref="C430">
    <cfRule type="expression" dxfId="748" priority="2147">
      <formula>IF($V430="",FALSE,TRUE)</formula>
    </cfRule>
    <cfRule type="expression" dxfId="747" priority="2148">
      <formula>IF($T430="",FALSE,TRUE)</formula>
    </cfRule>
  </conditionalFormatting>
  <conditionalFormatting sqref="L422">
    <cfRule type="expression" dxfId="746" priority="2145">
      <formula>IF($V422="",FALSE,TRUE)</formula>
    </cfRule>
    <cfRule type="expression" dxfId="745" priority="2146">
      <formula>IF($T422="",FALSE,TRUE)</formula>
    </cfRule>
  </conditionalFormatting>
  <conditionalFormatting sqref="K422">
    <cfRule type="expression" dxfId="744" priority="2143">
      <formula>IF($V422="",FALSE,TRUE)</formula>
    </cfRule>
    <cfRule type="expression" dxfId="743" priority="2144">
      <formula>IF($T422="",FALSE,TRUE)</formula>
    </cfRule>
  </conditionalFormatting>
  <conditionalFormatting sqref="C434">
    <cfRule type="expression" dxfId="742" priority="2141">
      <formula>IF($V434="",FALSE,TRUE)</formula>
    </cfRule>
    <cfRule type="expression" dxfId="741" priority="2142">
      <formula>IF($T434="",FALSE,TRUE)</formula>
    </cfRule>
  </conditionalFormatting>
  <conditionalFormatting sqref="N430">
    <cfRule type="expression" dxfId="740" priority="2137">
      <formula>IF($V430="",FALSE,TRUE)</formula>
    </cfRule>
    <cfRule type="expression" dxfId="739" priority="2138">
      <formula>IF($T430="",FALSE,TRUE)</formula>
    </cfRule>
  </conditionalFormatting>
  <conditionalFormatting sqref="A443:L443 AA443:AB443 N443:Y443">
    <cfRule type="expression" dxfId="738" priority="2131">
      <formula>IF($V443="",FALSE,TRUE)</formula>
    </cfRule>
    <cfRule type="expression" dxfId="737" priority="2132">
      <formula>IF($T443="",FALSE,TRUE)</formula>
    </cfRule>
  </conditionalFormatting>
  <conditionalFormatting sqref="W436">
    <cfRule type="expression" dxfId="736" priority="2121">
      <formula>IF($V436="",FALSE,TRUE)</formula>
    </cfRule>
    <cfRule type="expression" dxfId="735" priority="2122">
      <formula>IF($T436="",FALSE,TRUE)</formula>
    </cfRule>
  </conditionalFormatting>
  <conditionalFormatting sqref="D436:G436">
    <cfRule type="expression" dxfId="734" priority="2119">
      <formula>IF($V436="",FALSE,TRUE)</formula>
    </cfRule>
    <cfRule type="expression" dxfId="733" priority="2120">
      <formula>IF($T436="",FALSE,TRUE)</formula>
    </cfRule>
  </conditionalFormatting>
  <conditionalFormatting sqref="Z453:Z458">
    <cfRule type="expression" dxfId="732" priority="2111">
      <formula>IF($V453="",FALSE,TRUE)</formula>
    </cfRule>
    <cfRule type="expression" dxfId="731" priority="2112">
      <formula>IF($T453="",FALSE,TRUE)</formula>
    </cfRule>
  </conditionalFormatting>
  <conditionalFormatting sqref="Y453:Y458">
    <cfRule type="expression" dxfId="730" priority="2105">
      <formula>IF($V453="",FALSE,TRUE)</formula>
    </cfRule>
    <cfRule type="expression" dxfId="729" priority="2106">
      <formula>IF($T453="",FALSE,TRUE)</formula>
    </cfRule>
  </conditionalFormatting>
  <conditionalFormatting sqref="O453:O457 A453:C453 H453:M457 X453:X457 R453:R457 AA453:AA457 C454:C458 A454:A458 B454:B457 S453:V458">
    <cfRule type="expression" dxfId="728" priority="2099">
      <formula>IF($V453="",FALSE,TRUE)</formula>
    </cfRule>
    <cfRule type="expression" dxfId="727" priority="2100">
      <formula>IF($T453="",FALSE,TRUE)</formula>
    </cfRule>
  </conditionalFormatting>
  <conditionalFormatting sqref="Q453:Q457">
    <cfRule type="expression" dxfId="726" priority="2097">
      <formula>IF($V453="",FALSE,TRUE)</formula>
    </cfRule>
    <cfRule type="expression" dxfId="725" priority="2098">
      <formula>IF($T453="",FALSE,TRUE)</formula>
    </cfRule>
  </conditionalFormatting>
  <conditionalFormatting sqref="P453:P457">
    <cfRule type="expression" dxfId="724" priority="2095">
      <formula>IF($V453="",FALSE,TRUE)</formula>
    </cfRule>
    <cfRule type="expression" dxfId="723" priority="2096">
      <formula>IF($T453="",FALSE,TRUE)</formula>
    </cfRule>
  </conditionalFormatting>
  <conditionalFormatting sqref="N453:N457">
    <cfRule type="expression" dxfId="722" priority="2093">
      <formula>IF($V453="",FALSE,TRUE)</formula>
    </cfRule>
    <cfRule type="expression" dxfId="721" priority="2094">
      <formula>IF($T453="",FALSE,TRUE)</formula>
    </cfRule>
  </conditionalFormatting>
  <conditionalFormatting sqref="W453:W457">
    <cfRule type="expression" dxfId="720" priority="2091">
      <formula>IF($V453="",FALSE,TRUE)</formula>
    </cfRule>
    <cfRule type="expression" dxfId="719" priority="2092">
      <formula>IF($T453="",FALSE,TRUE)</formula>
    </cfRule>
  </conditionalFormatting>
  <conditionalFormatting sqref="O458 B458 R458 X458 H458:M458 AA458">
    <cfRule type="expression" dxfId="718" priority="2089">
      <formula>IF($V458="",FALSE,TRUE)</formula>
    </cfRule>
    <cfRule type="expression" dxfId="717" priority="2090">
      <formula>IF($T458="",FALSE,TRUE)</formula>
    </cfRule>
  </conditionalFormatting>
  <conditionalFormatting sqref="Q458">
    <cfRule type="expression" dxfId="716" priority="2087">
      <formula>IF($V458="",FALSE,TRUE)</formula>
    </cfRule>
    <cfRule type="expression" dxfId="715" priority="2088">
      <formula>IF($T458="",FALSE,TRUE)</formula>
    </cfRule>
  </conditionalFormatting>
  <conditionalFormatting sqref="P458">
    <cfRule type="expression" dxfId="714" priority="2085">
      <formula>IF($V458="",FALSE,TRUE)</formula>
    </cfRule>
    <cfRule type="expression" dxfId="713" priority="2086">
      <formula>IF($T458="",FALSE,TRUE)</formula>
    </cfRule>
  </conditionalFormatting>
  <conditionalFormatting sqref="N458">
    <cfRule type="expression" dxfId="712" priority="2083">
      <formula>IF($V458="",FALSE,TRUE)</formula>
    </cfRule>
    <cfRule type="expression" dxfId="711" priority="2084">
      <formula>IF($T458="",FALSE,TRUE)</formula>
    </cfRule>
  </conditionalFormatting>
  <conditionalFormatting sqref="W458">
    <cfRule type="expression" dxfId="710" priority="2081">
      <formula>IF($V458="",FALSE,TRUE)</formula>
    </cfRule>
    <cfRule type="expression" dxfId="709" priority="2082">
      <formula>IF($T458="",FALSE,TRUE)</formula>
    </cfRule>
  </conditionalFormatting>
  <conditionalFormatting sqref="F453:G458">
    <cfRule type="expression" dxfId="708" priority="2079">
      <formula>IF($V453="",FALSE,TRUE)</formula>
    </cfRule>
    <cfRule type="expression" dxfId="707" priority="2080">
      <formula>IF($T453="",FALSE,TRUE)</formula>
    </cfRule>
  </conditionalFormatting>
  <conditionalFormatting sqref="AB453:AB458">
    <cfRule type="expression" dxfId="706" priority="2077">
      <formula>IF($V453="",FALSE,TRUE)</formula>
    </cfRule>
    <cfRule type="expression" dxfId="705" priority="2078">
      <formula>IF($T453="",FALSE,TRUE)</formula>
    </cfRule>
  </conditionalFormatting>
  <conditionalFormatting sqref="D453:E458">
    <cfRule type="expression" dxfId="704" priority="2075">
      <formula>IF($V453="",FALSE,TRUE)</formula>
    </cfRule>
    <cfRule type="expression" dxfId="703" priority="2076">
      <formula>IF($T453="",FALSE,TRUE)</formula>
    </cfRule>
  </conditionalFormatting>
  <conditionalFormatting sqref="Z441:Z442">
    <cfRule type="expression" dxfId="702" priority="2055">
      <formula>IF($V441="",FALSE,TRUE)</formula>
    </cfRule>
    <cfRule type="expression" dxfId="701" priority="2056">
      <formula>IF($T441="",FALSE,TRUE)</formula>
    </cfRule>
  </conditionalFormatting>
  <conditionalFormatting sqref="AA441:AB442 A441:E442 H441:L442 N441:V442 X441:Y442">
    <cfRule type="expression" dxfId="700" priority="2053">
      <formula>IF($V441="",FALSE,TRUE)</formula>
    </cfRule>
    <cfRule type="expression" dxfId="699" priority="2054">
      <formula>IF($T441="",FALSE,TRUE)</formula>
    </cfRule>
  </conditionalFormatting>
  <conditionalFormatting sqref="Z444:Z452">
    <cfRule type="expression" dxfId="698" priority="1993">
      <formula>IF($V444="",FALSE,TRUE)</formula>
    </cfRule>
    <cfRule type="expression" dxfId="697" priority="1994">
      <formula>IF($T444="",FALSE,TRUE)</formula>
    </cfRule>
  </conditionalFormatting>
  <conditionalFormatting sqref="AA444:AB444 A444:Y452 AB445:AB452">
    <cfRule type="expression" dxfId="696" priority="1991">
      <formula>IF($V444="",FALSE,TRUE)</formula>
    </cfRule>
    <cfRule type="expression" dxfId="695" priority="1992">
      <formula>IF($T444="",FALSE,TRUE)</formula>
    </cfRule>
  </conditionalFormatting>
  <conditionalFormatting sqref="H439:L440 T438:AA438 X439:AA440 A439:C440 T439:V440 A438:L438 N438:R440">
    <cfRule type="expression" dxfId="694" priority="1983">
      <formula>IF($V438="",FALSE,TRUE)</formula>
    </cfRule>
    <cfRule type="expression" dxfId="693" priority="1984">
      <formula>IF($T438="",FALSE,TRUE)</formula>
    </cfRule>
  </conditionalFormatting>
  <conditionalFormatting sqref="Z459:Z462">
    <cfRule type="expression" dxfId="692" priority="1959">
      <formula>IF($V459="",FALSE,TRUE)</formula>
    </cfRule>
    <cfRule type="expression" dxfId="691" priority="1960">
      <formula>IF($T459="",FALSE,TRUE)</formula>
    </cfRule>
  </conditionalFormatting>
  <conditionalFormatting sqref="Y459:Y462">
    <cfRule type="expression" dxfId="690" priority="1957">
      <formula>IF($V459="",FALSE,TRUE)</formula>
    </cfRule>
    <cfRule type="expression" dxfId="689" priority="1958">
      <formula>IF($T459="",FALSE,TRUE)</formula>
    </cfRule>
  </conditionalFormatting>
  <conditionalFormatting sqref="O459:O460 O462 B459:B460 B462 H460:L460 H462:M462 X459:X460 R459:R460 R462 V459:V460 V462 AA459:AA460 C459:C462 A459:A462 X462 S459:U462 H459:K459">
    <cfRule type="expression" dxfId="688" priority="1955">
      <formula>IF($V459="",FALSE,TRUE)</formula>
    </cfRule>
    <cfRule type="expression" dxfId="687" priority="1956">
      <formula>IF($T459="",FALSE,TRUE)</formula>
    </cfRule>
  </conditionalFormatting>
  <conditionalFormatting sqref="Q459:Q462">
    <cfRule type="expression" dxfId="686" priority="1953">
      <formula>IF($V459="",FALSE,TRUE)</formula>
    </cfRule>
    <cfRule type="expression" dxfId="685" priority="1954">
      <formula>IF($T459="",FALSE,TRUE)</formula>
    </cfRule>
  </conditionalFormatting>
  <conditionalFormatting sqref="P459:P460 P462">
    <cfRule type="expression" dxfId="684" priority="1951">
      <formula>IF($V459="",FALSE,TRUE)</formula>
    </cfRule>
    <cfRule type="expression" dxfId="683" priority="1952">
      <formula>IF($T459="",FALSE,TRUE)</formula>
    </cfRule>
  </conditionalFormatting>
  <conditionalFormatting sqref="N459:N460 N462">
    <cfRule type="expression" dxfId="682" priority="1949">
      <formula>IF($V459="",FALSE,TRUE)</formula>
    </cfRule>
    <cfRule type="expression" dxfId="681" priority="1950">
      <formula>IF($T459="",FALSE,TRUE)</formula>
    </cfRule>
  </conditionalFormatting>
  <conditionalFormatting sqref="W459">
    <cfRule type="expression" dxfId="680" priority="1947">
      <formula>IF($V459="",FALSE,TRUE)</formula>
    </cfRule>
    <cfRule type="expression" dxfId="679" priority="1948">
      <formula>IF($T459="",FALSE,TRUE)</formula>
    </cfRule>
  </conditionalFormatting>
  <conditionalFormatting sqref="O461 B461 R461 V461 X461 H461:L461 AA461">
    <cfRule type="expression" dxfId="678" priority="1945">
      <formula>IF($V461="",FALSE,TRUE)</formula>
    </cfRule>
    <cfRule type="expression" dxfId="677" priority="1946">
      <formula>IF($T461="",FALSE,TRUE)</formula>
    </cfRule>
  </conditionalFormatting>
  <conditionalFormatting sqref="P461">
    <cfRule type="expression" dxfId="676" priority="1941">
      <formula>IF($V461="",FALSE,TRUE)</formula>
    </cfRule>
    <cfRule type="expression" dxfId="675" priority="1942">
      <formula>IF($T461="",FALSE,TRUE)</formula>
    </cfRule>
  </conditionalFormatting>
  <conditionalFormatting sqref="N461">
    <cfRule type="expression" dxfId="674" priority="1939">
      <formula>IF($V461="",FALSE,TRUE)</formula>
    </cfRule>
    <cfRule type="expression" dxfId="673" priority="1940">
      <formula>IF($T461="",FALSE,TRUE)</formula>
    </cfRule>
  </conditionalFormatting>
  <conditionalFormatting sqref="F459:G462">
    <cfRule type="expression" dxfId="672" priority="1935">
      <formula>IF($V459="",FALSE,TRUE)</formula>
    </cfRule>
    <cfRule type="expression" dxfId="671" priority="1936">
      <formula>IF($T459="",FALSE,TRUE)</formula>
    </cfRule>
  </conditionalFormatting>
  <conditionalFormatting sqref="AB459:AB462">
    <cfRule type="expression" dxfId="670" priority="1933">
      <formula>IF($V459="",FALSE,TRUE)</formula>
    </cfRule>
    <cfRule type="expression" dxfId="669" priority="1934">
      <formula>IF($T459="",FALSE,TRUE)</formula>
    </cfRule>
  </conditionalFormatting>
  <conditionalFormatting sqref="D459:E462">
    <cfRule type="expression" dxfId="668" priority="1931">
      <formula>IF($V459="",FALSE,TRUE)</formula>
    </cfRule>
    <cfRule type="expression" dxfId="667" priority="1932">
      <formula>IF($T459="",FALSE,TRUE)</formula>
    </cfRule>
  </conditionalFormatting>
  <conditionalFormatting sqref="Z463:Z467">
    <cfRule type="expression" dxfId="666" priority="1913">
      <formula>IF($V463="",FALSE,TRUE)</formula>
    </cfRule>
    <cfRule type="expression" dxfId="665" priority="1914">
      <formula>IF($T463="",FALSE,TRUE)</formula>
    </cfRule>
  </conditionalFormatting>
  <conditionalFormatting sqref="Y463:Y466">
    <cfRule type="expression" dxfId="664" priority="1911">
      <formula>IF($V463="",FALSE,TRUE)</formula>
    </cfRule>
    <cfRule type="expression" dxfId="663" priority="1912">
      <formula>IF($T463="",FALSE,TRUE)</formula>
    </cfRule>
  </conditionalFormatting>
  <conditionalFormatting sqref="O463:O466 A463:C466 R463:V466 AA463 X463:X466 H463:M464 H465:L466 AA465:AA466">
    <cfRule type="expression" dxfId="662" priority="1909">
      <formula>IF($V463="",FALSE,TRUE)</formula>
    </cfRule>
    <cfRule type="expression" dxfId="661" priority="1910">
      <formula>IF($T463="",FALSE,TRUE)</formula>
    </cfRule>
  </conditionalFormatting>
  <conditionalFormatting sqref="Q463:Q466">
    <cfRule type="expression" dxfId="660" priority="1907">
      <formula>IF($V463="",FALSE,TRUE)</formula>
    </cfRule>
    <cfRule type="expression" dxfId="659" priority="1908">
      <formula>IF($T463="",FALSE,TRUE)</formula>
    </cfRule>
  </conditionalFormatting>
  <conditionalFormatting sqref="P463:P466">
    <cfRule type="expression" dxfId="658" priority="1905">
      <formula>IF($V463="",FALSE,TRUE)</formula>
    </cfRule>
    <cfRule type="expression" dxfId="657" priority="1906">
      <formula>IF($T463="",FALSE,TRUE)</formula>
    </cfRule>
  </conditionalFormatting>
  <conditionalFormatting sqref="N463:N465">
    <cfRule type="expression" dxfId="656" priority="1903">
      <formula>IF($V463="",FALSE,TRUE)</formula>
    </cfRule>
    <cfRule type="expression" dxfId="655" priority="1904">
      <formula>IF($T463="",FALSE,TRUE)</formula>
    </cfRule>
  </conditionalFormatting>
  <conditionalFormatting sqref="W463:W465">
    <cfRule type="expression" dxfId="654" priority="1901">
      <formula>IF($V463="",FALSE,TRUE)</formula>
    </cfRule>
    <cfRule type="expression" dxfId="653" priority="1902">
      <formula>IF($T463="",FALSE,TRUE)</formula>
    </cfRule>
  </conditionalFormatting>
  <conditionalFormatting sqref="F463:G466">
    <cfRule type="expression" dxfId="652" priority="1899">
      <formula>IF($V463="",FALSE,TRUE)</formula>
    </cfRule>
    <cfRule type="expression" dxfId="651" priority="1900">
      <formula>IF($T463="",FALSE,TRUE)</formula>
    </cfRule>
  </conditionalFormatting>
  <conditionalFormatting sqref="AB463:AB466">
    <cfRule type="expression" dxfId="650" priority="1897">
      <formula>IF($V463="",FALSE,TRUE)</formula>
    </cfRule>
    <cfRule type="expression" dxfId="649" priority="1898">
      <formula>IF($T463="",FALSE,TRUE)</formula>
    </cfRule>
  </conditionalFormatting>
  <conditionalFormatting sqref="D463:E466">
    <cfRule type="expression" dxfId="648" priority="1895">
      <formula>IF($V463="",FALSE,TRUE)</formula>
    </cfRule>
    <cfRule type="expression" dxfId="647" priority="1896">
      <formula>IF($T463="",FALSE,TRUE)</formula>
    </cfRule>
  </conditionalFormatting>
  <conditionalFormatting sqref="D439:G440 F441:G442">
    <cfRule type="expression" dxfId="646" priority="1887">
      <formula>IF($V439="",FALSE,TRUE)</formula>
    </cfRule>
    <cfRule type="expression" dxfId="645" priority="1888">
      <formula>IF($T439="",FALSE,TRUE)</formula>
    </cfRule>
  </conditionalFormatting>
  <conditionalFormatting sqref="W439:W440">
    <cfRule type="expression" dxfId="644" priority="1885">
      <formula>IF($V439="",FALSE,TRUE)</formula>
    </cfRule>
    <cfRule type="expression" dxfId="643" priority="1886">
      <formula>IF($T439="",FALSE,TRUE)</formula>
    </cfRule>
  </conditionalFormatting>
  <conditionalFormatting sqref="A467:C467 H467:V467 AA467:AB467 X467:Y467">
    <cfRule type="expression" dxfId="642" priority="1883">
      <formula>IF($V467="",FALSE,TRUE)</formula>
    </cfRule>
    <cfRule type="expression" dxfId="641" priority="1884">
      <formula>IF($T467="",FALSE,TRUE)</formula>
    </cfRule>
  </conditionalFormatting>
  <conditionalFormatting sqref="D467:G467">
    <cfRule type="expression" dxfId="640" priority="1881">
      <formula>IF($V467="",FALSE,TRUE)</formula>
    </cfRule>
    <cfRule type="expression" dxfId="639" priority="1882">
      <formula>IF($T467="",FALSE,TRUE)</formula>
    </cfRule>
  </conditionalFormatting>
  <conditionalFormatting sqref="N466">
    <cfRule type="expression" dxfId="638" priority="1875">
      <formula>IF($V466="",FALSE,TRUE)</formula>
    </cfRule>
    <cfRule type="expression" dxfId="637" priority="1876">
      <formula>IF($T466="",FALSE,TRUE)</formula>
    </cfRule>
  </conditionalFormatting>
  <conditionalFormatting sqref="A469:L471 N469:R471">
    <cfRule type="expression" dxfId="636" priority="1867">
      <formula>IF($V469="",FALSE,TRUE)</formula>
    </cfRule>
    <cfRule type="expression" dxfId="635" priority="1868">
      <formula>IF($T469="",FALSE,TRUE)</formula>
    </cfRule>
  </conditionalFormatting>
  <conditionalFormatting sqref="S469:S471">
    <cfRule type="expression" dxfId="634" priority="1865">
      <formula>IF($V469="",FALSE,TRUE)</formula>
    </cfRule>
    <cfRule type="expression" dxfId="633" priority="1866">
      <formula>IF($T469="",FALSE,TRUE)</formula>
    </cfRule>
  </conditionalFormatting>
  <conditionalFormatting sqref="Z469:Z473">
    <cfRule type="expression" dxfId="632" priority="1863">
      <formula>IF($V469="",FALSE,TRUE)</formula>
    </cfRule>
    <cfRule type="expression" dxfId="631" priority="1864">
      <formula>IF($T469="",FALSE,TRUE)</formula>
    </cfRule>
  </conditionalFormatting>
  <conditionalFormatting sqref="AA469:AA471">
    <cfRule type="expression" dxfId="630" priority="1861">
      <formula>IF($V469="",FALSE,TRUE)</formula>
    </cfRule>
    <cfRule type="expression" dxfId="629" priority="1862">
      <formula>IF($T469="",FALSE,TRUE)</formula>
    </cfRule>
  </conditionalFormatting>
  <conditionalFormatting sqref="Z468">
    <cfRule type="expression" dxfId="628" priority="1855">
      <formula>IF($V468="",FALSE,TRUE)</formula>
    </cfRule>
    <cfRule type="expression" dxfId="627" priority="1856">
      <formula>IF($T468="",FALSE,TRUE)</formula>
    </cfRule>
  </conditionalFormatting>
  <conditionalFormatting sqref="Y468">
    <cfRule type="expression" dxfId="626" priority="1853">
      <formula>IF($V468="",FALSE,TRUE)</formula>
    </cfRule>
    <cfRule type="expression" dxfId="625" priority="1854">
      <formula>IF($T468="",FALSE,TRUE)</formula>
    </cfRule>
  </conditionalFormatting>
  <conditionalFormatting sqref="O468 A468:B468 R468:V468 AA468 X468 H468:L468">
    <cfRule type="expression" dxfId="624" priority="1851">
      <formula>IF($V468="",FALSE,TRUE)</formula>
    </cfRule>
    <cfRule type="expression" dxfId="623" priority="1852">
      <formula>IF($T468="",FALSE,TRUE)</formula>
    </cfRule>
  </conditionalFormatting>
  <conditionalFormatting sqref="Q468">
    <cfRule type="expression" dxfId="622" priority="1849">
      <formula>IF($V468="",FALSE,TRUE)</formula>
    </cfRule>
    <cfRule type="expression" dxfId="621" priority="1850">
      <formula>IF($T468="",FALSE,TRUE)</formula>
    </cfRule>
  </conditionalFormatting>
  <conditionalFormatting sqref="M468">
    <cfRule type="expression" dxfId="620" priority="1839">
      <formula>IF($V468="",FALSE,TRUE)</formula>
    </cfRule>
    <cfRule type="expression" dxfId="619" priority="1840">
      <formula>IF($T468="",FALSE,TRUE)</formula>
    </cfRule>
  </conditionalFormatting>
  <conditionalFormatting sqref="N468">
    <cfRule type="expression" dxfId="618" priority="1837">
      <formula>IF($V468="",FALSE,TRUE)</formula>
    </cfRule>
    <cfRule type="expression" dxfId="617" priority="1838">
      <formula>IF($T468="",FALSE,TRUE)</formula>
    </cfRule>
  </conditionalFormatting>
  <conditionalFormatting sqref="C468">
    <cfRule type="expression" dxfId="616" priority="1833">
      <formula>IF($V468="",FALSE,TRUE)</formula>
    </cfRule>
    <cfRule type="expression" dxfId="615" priority="1834">
      <formula>IF($T468="",FALSE,TRUE)</formula>
    </cfRule>
  </conditionalFormatting>
  <conditionalFormatting sqref="F468:G468">
    <cfRule type="expression" dxfId="614" priority="1831">
      <formula>IF($V468="",FALSE,TRUE)</formula>
    </cfRule>
    <cfRule type="expression" dxfId="613" priority="1832">
      <formula>IF($T468="",FALSE,TRUE)</formula>
    </cfRule>
  </conditionalFormatting>
  <conditionalFormatting sqref="D468:E468">
    <cfRule type="expression" dxfId="612" priority="1829">
      <formula>IF($V468="",FALSE,TRUE)</formula>
    </cfRule>
    <cfRule type="expression" dxfId="611" priority="1830">
      <formula>IF($T468="",FALSE,TRUE)</formula>
    </cfRule>
  </conditionalFormatting>
  <conditionalFormatting sqref="D474:G479 A472:V473 X472:Y473">
    <cfRule type="expression" dxfId="610" priority="1827">
      <formula>IF($V472="",FALSE,TRUE)</formula>
    </cfRule>
    <cfRule type="expression" dxfId="609" priority="1828">
      <formula>IF($T472="",FALSE,TRUE)</formula>
    </cfRule>
  </conditionalFormatting>
  <conditionalFormatting sqref="Z474:Z477">
    <cfRule type="expression" dxfId="608" priority="1819">
      <formula>IF($V474="",FALSE,TRUE)</formula>
    </cfRule>
    <cfRule type="expression" dxfId="607" priority="1820">
      <formula>IF($T474="",FALSE,TRUE)</formula>
    </cfRule>
  </conditionalFormatting>
  <conditionalFormatting sqref="AB476:AB477 A474:C477 H474:Y477 Q478:Q479 A478">
    <cfRule type="expression" dxfId="606" priority="1817">
      <formula>IF($V474="",FALSE,TRUE)</formula>
    </cfRule>
    <cfRule type="expression" dxfId="605" priority="1818">
      <formula>IF($T474="",FALSE,TRUE)</formula>
    </cfRule>
  </conditionalFormatting>
  <conditionalFormatting sqref="S483">
    <cfRule type="expression" dxfId="604" priority="1809">
      <formula>IF($V483="",FALSE,TRUE)</formula>
    </cfRule>
    <cfRule type="expression" dxfId="603" priority="1810">
      <formula>IF($T483="",FALSE,TRUE)</formula>
    </cfRule>
  </conditionalFormatting>
  <conditionalFormatting sqref="O483 A483:I483 R483 X483:AB483 T483:V483 K483:M483">
    <cfRule type="expression" dxfId="602" priority="1807">
      <formula>IF($V483="",FALSE,TRUE)</formula>
    </cfRule>
    <cfRule type="expression" dxfId="601" priority="1808">
      <formula>IF($T483="",FALSE,TRUE)</formula>
    </cfRule>
  </conditionalFormatting>
  <conditionalFormatting sqref="Q483">
    <cfRule type="expression" dxfId="600" priority="1805">
      <formula>IF($V483="",FALSE,TRUE)</formula>
    </cfRule>
    <cfRule type="expression" dxfId="599" priority="1806">
      <formula>IF($T483="",FALSE,TRUE)</formula>
    </cfRule>
  </conditionalFormatting>
  <conditionalFormatting sqref="P483">
    <cfRule type="expression" dxfId="598" priority="1803">
      <formula>IF($V483="",FALSE,TRUE)</formula>
    </cfRule>
    <cfRule type="expression" dxfId="597" priority="1804">
      <formula>IF($T483="",FALSE,TRUE)</formula>
    </cfRule>
  </conditionalFormatting>
  <conditionalFormatting sqref="N483">
    <cfRule type="expression" dxfId="596" priority="1801">
      <formula>IF($V483="",FALSE,TRUE)</formula>
    </cfRule>
    <cfRule type="expression" dxfId="595" priority="1802">
      <formula>IF($T483="",FALSE,TRUE)</formula>
    </cfRule>
  </conditionalFormatting>
  <conditionalFormatting sqref="W483">
    <cfRule type="expression" dxfId="594" priority="1799">
      <formula>IF($V483="",FALSE,TRUE)</formula>
    </cfRule>
    <cfRule type="expression" dxfId="593" priority="1800">
      <formula>IF($T483="",FALSE,TRUE)</formula>
    </cfRule>
  </conditionalFormatting>
  <conditionalFormatting sqref="A484:L484 N484:Z484 AB484">
    <cfRule type="expression" dxfId="592" priority="1797">
      <formula>IF($V484="",FALSE,TRUE)</formula>
    </cfRule>
    <cfRule type="expression" dxfId="591" priority="1798">
      <formula>IF($T484="",FALSE,TRUE)</formula>
    </cfRule>
  </conditionalFormatting>
  <conditionalFormatting sqref="P468">
    <cfRule type="expression" dxfId="590" priority="1791">
      <formula>IF($V468="",FALSE,TRUE)</formula>
    </cfRule>
    <cfRule type="expression" dxfId="589" priority="1792">
      <formula>IF($T468="",FALSE,TRUE)</formula>
    </cfRule>
  </conditionalFormatting>
  <conditionalFormatting sqref="W488:X488">
    <cfRule type="expression" dxfId="588" priority="1775">
      <formula>IF($V488="",FALSE,TRUE)</formula>
    </cfRule>
    <cfRule type="expression" dxfId="587" priority="1776">
      <formula>IF($T488="",FALSE,TRUE)</formula>
    </cfRule>
  </conditionalFormatting>
  <conditionalFormatting sqref="Z488">
    <cfRule type="expression" dxfId="586" priority="1773">
      <formula>IF($V488="",FALSE,TRUE)</formula>
    </cfRule>
    <cfRule type="expression" dxfId="585" priority="1774">
      <formula>IF($T488="",FALSE,TRUE)</formula>
    </cfRule>
  </conditionalFormatting>
  <conditionalFormatting sqref="Q486:Q487">
    <cfRule type="expression" dxfId="584" priority="1771">
      <formula>IF($V486="",FALSE,TRUE)</formula>
    </cfRule>
    <cfRule type="expression" dxfId="583" priority="1772">
      <formula>IF($T486="",FALSE,TRUE)</formula>
    </cfRule>
  </conditionalFormatting>
  <conditionalFormatting sqref="A489:C490 H490:L490 R489:V489 H489:K489 M489:P489 N490:V490">
    <cfRule type="expression" dxfId="582" priority="1725">
      <formula>IF($V489="",FALSE,TRUE)</formula>
    </cfRule>
    <cfRule type="expression" dxfId="581" priority="1726">
      <formula>IF($T489="",FALSE,TRUE)</formula>
    </cfRule>
  </conditionalFormatting>
  <conditionalFormatting sqref="D490:G490">
    <cfRule type="expression" dxfId="580" priority="1719">
      <formula>IF($V490="",FALSE,TRUE)</formula>
    </cfRule>
    <cfRule type="expression" dxfId="579" priority="1720">
      <formula>IF($T490="",FALSE,TRUE)</formula>
    </cfRule>
  </conditionalFormatting>
  <conditionalFormatting sqref="Q489">
    <cfRule type="expression" dxfId="578" priority="1709">
      <formula>IF($V489="",FALSE,TRUE)</formula>
    </cfRule>
    <cfRule type="expression" dxfId="577" priority="1710">
      <formula>IF($T489="",FALSE,TRUE)</formula>
    </cfRule>
  </conditionalFormatting>
  <conditionalFormatting sqref="F485:G485">
    <cfRule type="expression" dxfId="576" priority="1707">
      <formula>IF($V485="",FALSE,TRUE)</formula>
    </cfRule>
    <cfRule type="expression" dxfId="575" priority="1708">
      <formula>IF($T485="",FALSE,TRUE)</formula>
    </cfRule>
  </conditionalFormatting>
  <conditionalFormatting sqref="F480:G482">
    <cfRule type="expression" dxfId="574" priority="1701">
      <formula>IF($V480="",FALSE,TRUE)</formula>
    </cfRule>
    <cfRule type="expression" dxfId="573" priority="1702">
      <formula>IF($T480="",FALSE,TRUE)</formula>
    </cfRule>
  </conditionalFormatting>
  <conditionalFormatting sqref="Z478:Z482">
    <cfRule type="expression" dxfId="572" priority="1699">
      <formula>IF($V478="",FALSE,TRUE)</formula>
    </cfRule>
    <cfRule type="expression" dxfId="571" priority="1700">
      <formula>IF($T478="",FALSE,TRUE)</formula>
    </cfRule>
  </conditionalFormatting>
  <conditionalFormatting sqref="AA478:AB482 H478:L478 R478:Y479 N478:P479 B478:C478 A479:C482 N480:V482 H480:J482 H479:K479 L480:L482 X480:Y482">
    <cfRule type="expression" dxfId="570" priority="1697">
      <formula>IF($V478="",FALSE,TRUE)</formula>
    </cfRule>
    <cfRule type="expression" dxfId="569" priority="1698">
      <formula>IF($T478="",FALSE,TRUE)</formula>
    </cfRule>
  </conditionalFormatting>
  <conditionalFormatting sqref="L489">
    <cfRule type="expression" dxfId="568" priority="1655">
      <formula>IF($V489="",FALSE,TRUE)</formula>
    </cfRule>
    <cfRule type="expression" dxfId="567" priority="1656">
      <formula>IF($T489="",FALSE,TRUE)</formula>
    </cfRule>
  </conditionalFormatting>
  <conditionalFormatting sqref="D480:D482">
    <cfRule type="expression" dxfId="566" priority="1651">
      <formula>IF($V480="",FALSE,TRUE)</formula>
    </cfRule>
    <cfRule type="expression" dxfId="565" priority="1652">
      <formula>IF($T480="",FALSE,TRUE)</formula>
    </cfRule>
  </conditionalFormatting>
  <conditionalFormatting sqref="E480:E482">
    <cfRule type="expression" dxfId="564" priority="1649">
      <formula>IF($V480="",FALSE,TRUE)</formula>
    </cfRule>
    <cfRule type="expression" dxfId="563" priority="1650">
      <formula>IF($T480="",FALSE,TRUE)</formula>
    </cfRule>
  </conditionalFormatting>
  <conditionalFormatting sqref="D485:D487">
    <cfRule type="expression" dxfId="562" priority="1647">
      <formula>IF($V485="",FALSE,TRUE)</formula>
    </cfRule>
    <cfRule type="expression" dxfId="561" priority="1648">
      <formula>IF($T485="",FALSE,TRUE)</formula>
    </cfRule>
  </conditionalFormatting>
  <conditionalFormatting sqref="E486:E487">
    <cfRule type="expression" dxfId="560" priority="1645">
      <formula>IF($V486="",FALSE,TRUE)</formula>
    </cfRule>
    <cfRule type="expression" dxfId="559" priority="1646">
      <formula>IF($T486="",FALSE,TRUE)</formula>
    </cfRule>
  </conditionalFormatting>
  <conditionalFormatting sqref="AA272">
    <cfRule type="expression" dxfId="558" priority="1643">
      <formula>IF($V272="",FALSE,TRUE)</formula>
    </cfRule>
    <cfRule type="expression" dxfId="557" priority="1644">
      <formula>IF($T272="",FALSE,TRUE)</formula>
    </cfRule>
  </conditionalFormatting>
  <conditionalFormatting sqref="AA375 AA345">
    <cfRule type="expression" dxfId="556" priority="1641">
      <formula>IF($V345="",FALSE,TRUE)</formula>
    </cfRule>
    <cfRule type="expression" dxfId="555" priority="1642">
      <formula>IF($T345="",FALSE,TRUE)</formula>
    </cfRule>
  </conditionalFormatting>
  <conditionalFormatting sqref="AA402:AA403 AA390 AA387:AA388">
    <cfRule type="expression" dxfId="554" priority="1639">
      <formula>IF($V387="",FALSE,TRUE)</formula>
    </cfRule>
    <cfRule type="expression" dxfId="553" priority="1640">
      <formula>IF($T387="",FALSE,TRUE)</formula>
    </cfRule>
  </conditionalFormatting>
  <conditionalFormatting sqref="AA422:AA423 AA408:AA409">
    <cfRule type="expression" dxfId="552" priority="1637">
      <formula>IF($V408="",FALSE,TRUE)</formula>
    </cfRule>
    <cfRule type="expression" dxfId="551" priority="1638">
      <formula>IF($T408="",FALSE,TRUE)</formula>
    </cfRule>
  </conditionalFormatting>
  <conditionalFormatting sqref="AA462 AA432">
    <cfRule type="expression" dxfId="550" priority="1635">
      <formula>IF($V432="",FALSE,TRUE)</formula>
    </cfRule>
    <cfRule type="expression" dxfId="549" priority="1636">
      <formula>IF($T432="",FALSE,TRUE)</formula>
    </cfRule>
  </conditionalFormatting>
  <conditionalFormatting sqref="AA445:AA452">
    <cfRule type="expression" dxfId="548" priority="1633">
      <formula>IF($V445="",FALSE,TRUE)</formula>
    </cfRule>
    <cfRule type="expression" dxfId="547" priority="1634">
      <formula>IF($T445="",FALSE,TRUE)</formula>
    </cfRule>
  </conditionalFormatting>
  <conditionalFormatting sqref="AA472:AA477">
    <cfRule type="expression" dxfId="546" priority="1631">
      <formula>IF($V472="",FALSE,TRUE)</formula>
    </cfRule>
    <cfRule type="expression" dxfId="545" priority="1632">
      <formula>IF($T472="",FALSE,TRUE)</formula>
    </cfRule>
  </conditionalFormatting>
  <conditionalFormatting sqref="AB472:AB475 AB468">
    <cfRule type="expression" dxfId="544" priority="1629">
      <formula>IF($V468="",FALSE,TRUE)</formula>
    </cfRule>
    <cfRule type="expression" dxfId="543" priority="1630">
      <formula>IF($T468="",FALSE,TRUE)</formula>
    </cfRule>
  </conditionalFormatting>
  <conditionalFormatting sqref="A495:K495 N495:AB495">
    <cfRule type="expression" dxfId="542" priority="1621">
      <formula>IF($V495="",FALSE,TRUE)</formula>
    </cfRule>
    <cfRule type="expression" dxfId="541" priority="1622">
      <formula>IF($T495="",FALSE,TRUE)</formula>
    </cfRule>
  </conditionalFormatting>
  <conditionalFormatting sqref="A497:AB498 A496:C496 H496:AB496 L779 L803:L804">
    <cfRule type="expression" dxfId="540" priority="1615">
      <formula>IF($V496="",FALSE,TRUE)</formula>
    </cfRule>
    <cfRule type="expression" dxfId="539" priority="1616">
      <formula>IF($T496="",FALSE,TRUE)</formula>
    </cfRule>
  </conditionalFormatting>
  <conditionalFormatting sqref="M495 M480:M482 M465:M466 M461 M441:M442 M438 M435 M430 M408:M409 M187">
    <cfRule type="expression" dxfId="538" priority="1591">
      <formula>IF($V187="",FALSE,TRUE)</formula>
    </cfRule>
    <cfRule type="expression" dxfId="537" priority="1592">
      <formula>IF($T187="",FALSE,TRUE)</formula>
    </cfRule>
  </conditionalFormatting>
  <conditionalFormatting sqref="M490 M484 M478:M479 M469:M471 M459:M460 M443 M439:M440 M437 M433 M421:M422 M413 M411 M372:M374 M215:M216">
    <cfRule type="expression" dxfId="536" priority="1589">
      <formula>IF($V215="",FALSE,TRUE)</formula>
    </cfRule>
    <cfRule type="expression" dxfId="535" priority="1590">
      <formula>IF($T215="",FALSE,TRUE)</formula>
    </cfRule>
  </conditionalFormatting>
  <conditionalFormatting sqref="A506:AB506">
    <cfRule type="expression" dxfId="534" priority="1503">
      <formula>IF($V506="",FALSE,TRUE)</formula>
    </cfRule>
    <cfRule type="expression" dxfId="533" priority="1504">
      <formula>IF($T506="",FALSE,TRUE)</formula>
    </cfRule>
  </conditionalFormatting>
  <conditionalFormatting sqref="A500:K501 M500:V501 X500:AB501">
    <cfRule type="expression" dxfId="532" priority="1399">
      <formula>IF($V500="",FALSE,TRUE)</formula>
    </cfRule>
    <cfRule type="expression" dxfId="531" priority="1400">
      <formula>IF($T500="",FALSE,TRUE)</formula>
    </cfRule>
  </conditionalFormatting>
  <conditionalFormatting sqref="A649:K649 X649:Y649 M649:V649">
    <cfRule type="expression" dxfId="530" priority="1373">
      <formula>IF($V649="",FALSE,TRUE)</formula>
    </cfRule>
    <cfRule type="expression" dxfId="529" priority="1374">
      <formula>IF($T649="",FALSE,TRUE)</formula>
    </cfRule>
  </conditionalFormatting>
  <conditionalFormatting sqref="K433">
    <cfRule type="expression" dxfId="528" priority="1349">
      <formula>IF($V433="",FALSE,TRUE)</formula>
    </cfRule>
    <cfRule type="expression" dxfId="527" priority="1350">
      <formula>IF($T433="",FALSE,TRUE)</formula>
    </cfRule>
  </conditionalFormatting>
  <conditionalFormatting sqref="K480:K482">
    <cfRule type="expression" dxfId="526" priority="1347">
      <formula>IF($V480="",FALSE,TRUE)</formula>
    </cfRule>
    <cfRule type="expression" dxfId="525" priority="1348">
      <formula>IF($T480="",FALSE,TRUE)</formula>
    </cfRule>
  </conditionalFormatting>
  <conditionalFormatting sqref="L410">
    <cfRule type="expression" dxfId="524" priority="1343">
      <formula>IF($V410="",FALSE,TRUE)</formula>
    </cfRule>
    <cfRule type="expression" dxfId="523" priority="1344">
      <formula>IF($T410="",FALSE,TRUE)</formula>
    </cfRule>
  </conditionalFormatting>
  <conditionalFormatting sqref="L187">
    <cfRule type="expression" dxfId="522" priority="1341">
      <formula>IF($V187="",FALSE,TRUE)</formula>
    </cfRule>
    <cfRule type="expression" dxfId="521" priority="1342">
      <formula>IF($T187="",FALSE,TRUE)</formula>
    </cfRule>
  </conditionalFormatting>
  <conditionalFormatting sqref="D496:G496">
    <cfRule type="expression" dxfId="520" priority="1313">
      <formula>IF($V496="",FALSE,TRUE)</formula>
    </cfRule>
    <cfRule type="expression" dxfId="519" priority="1314">
      <formula>IF($T496="",FALSE,TRUE)</formula>
    </cfRule>
  </conditionalFormatting>
  <conditionalFormatting sqref="AA437 AA376 AA215">
    <cfRule type="expression" dxfId="518" priority="1305">
      <formula>IF($V215="",FALSE,TRUE)</formula>
    </cfRule>
    <cfRule type="expression" dxfId="517" priority="1306">
      <formula>IF($T215="",FALSE,TRUE)</formula>
    </cfRule>
  </conditionalFormatting>
  <conditionalFormatting sqref="AA484 AA464">
    <cfRule type="expression" dxfId="516" priority="1303">
      <formula>IF($V464="",FALSE,TRUE)</formula>
    </cfRule>
    <cfRule type="expression" dxfId="515" priority="1304">
      <formula>IF($T464="",FALSE,TRUE)</formula>
    </cfRule>
  </conditionalFormatting>
  <conditionalFormatting sqref="AA346">
    <cfRule type="expression" dxfId="514" priority="1195">
      <formula>IF($V346="",FALSE,TRUE)</formula>
    </cfRule>
    <cfRule type="expression" dxfId="513" priority="1196">
      <formula>IF($T346="",FALSE,TRUE)</formula>
    </cfRule>
  </conditionalFormatting>
  <conditionalFormatting sqref="A593:AB629 A591:V592 X591:AB592 A633:AB633 A635:AB643 A634:V634 X634:AB634 A646:AB647 A644:V645 X644:AB645 A648:V648 X648:AB648 A630:V632 X630:AB632">
    <cfRule type="expression" dxfId="512" priority="923">
      <formula>IF($V591="",FALSE,TRUE)</formula>
    </cfRule>
    <cfRule type="expression" dxfId="511" priority="924">
      <formula>IF($T591="",FALSE,TRUE)</formula>
    </cfRule>
  </conditionalFormatting>
  <conditionalFormatting sqref="W578:W588">
    <cfRule type="expression" dxfId="510" priority="901">
      <formula>IF($V578="",FALSE,TRUE)</formula>
    </cfRule>
    <cfRule type="expression" dxfId="509" priority="902">
      <formula>IF($T578="",FALSE,TRUE)</formula>
    </cfRule>
  </conditionalFormatting>
  <conditionalFormatting sqref="W648:W652 W644:W645 W634 W632">
    <cfRule type="expression" dxfId="508" priority="899">
      <formula>IF($V632="",FALSE,TRUE)</formula>
    </cfRule>
    <cfRule type="expression" dxfId="507" priority="900">
      <formula>IF($T632="",FALSE,TRUE)</formula>
    </cfRule>
  </conditionalFormatting>
  <conditionalFormatting sqref="A692:V692 X692:Z692 AB692">
    <cfRule type="expression" dxfId="506" priority="897">
      <formula>IF($V692="",FALSE,TRUE)</formula>
    </cfRule>
    <cfRule type="expression" dxfId="505" priority="898">
      <formula>IF($T692="",FALSE,TRUE)</formula>
    </cfRule>
  </conditionalFormatting>
  <conditionalFormatting sqref="A693:V693 G694:G695 X693:AB693">
    <cfRule type="expression" dxfId="504" priority="895">
      <formula>IF($V693="",FALSE,TRUE)</formula>
    </cfRule>
    <cfRule type="expression" dxfId="503" priority="896">
      <formula>IF($T693="",FALSE,TRUE)</formula>
    </cfRule>
  </conditionalFormatting>
  <conditionalFormatting sqref="J539 J509 J483 J431 J401 J354">
    <cfRule type="expression" dxfId="502" priority="893">
      <formula>IF($V354="",FALSE,TRUE)</formula>
    </cfRule>
    <cfRule type="expression" dxfId="501" priority="894">
      <formula>IF($T354="",FALSE,TRUE)</formula>
    </cfRule>
  </conditionalFormatting>
  <conditionalFormatting sqref="J340 J270 J232 J149 J113">
    <cfRule type="expression" dxfId="500" priority="891">
      <formula>IF($V113="",FALSE,TRUE)</formula>
    </cfRule>
    <cfRule type="expression" dxfId="499" priority="892">
      <formula>IF($T113="",FALSE,TRUE)</formula>
    </cfRule>
  </conditionalFormatting>
  <conditionalFormatting sqref="A694:F694 H694:AB694 F695">
    <cfRule type="expression" dxfId="498" priority="889">
      <formula>IF($V694="",FALSE,TRUE)</formula>
    </cfRule>
    <cfRule type="expression" dxfId="497" priority="890">
      <formula>IF($T694="",FALSE,TRUE)</formula>
    </cfRule>
  </conditionalFormatting>
  <conditionalFormatting sqref="A691:V691 X691:AB691">
    <cfRule type="expression" dxfId="496" priority="887">
      <formula>IF($V691="",FALSE,TRUE)</formula>
    </cfRule>
    <cfRule type="expression" dxfId="495" priority="888">
      <formula>IF($T691="",FALSE,TRUE)</formula>
    </cfRule>
  </conditionalFormatting>
  <conditionalFormatting sqref="A701:V701 P703:S704 X701:AB704 Y705 AB705 D702:S702 D703:N704 A702:C704 T702:V704">
    <cfRule type="expression" dxfId="494" priority="881">
      <formula>IF($V701="",FALSE,TRUE)</formula>
    </cfRule>
    <cfRule type="expression" dxfId="493" priority="882">
      <formula>IF($T701="",FALSE,TRUE)</formula>
    </cfRule>
  </conditionalFormatting>
  <conditionalFormatting sqref="W701:W704">
    <cfRule type="expression" dxfId="492" priority="879">
      <formula>IF($V701="",FALSE,TRUE)</formula>
    </cfRule>
    <cfRule type="expression" dxfId="491" priority="880">
      <formula>IF($T701="",FALSE,TRUE)</formula>
    </cfRule>
  </conditionalFormatting>
  <conditionalFormatting sqref="A705:K705 Z705 M705:X705">
    <cfRule type="expression" dxfId="490" priority="877">
      <formula>IF($V705="",FALSE,TRUE)</formula>
    </cfRule>
    <cfRule type="expression" dxfId="489" priority="878">
      <formula>IF($T705="",FALSE,TRUE)</formula>
    </cfRule>
  </conditionalFormatting>
  <conditionalFormatting sqref="AA705">
    <cfRule type="expression" dxfId="488" priority="875">
      <formula>IF($V705="",FALSE,TRUE)</formula>
    </cfRule>
    <cfRule type="expression" dxfId="487" priority="876">
      <formula>IF($T705="",FALSE,TRUE)</formula>
    </cfRule>
  </conditionalFormatting>
  <conditionalFormatting sqref="O703:O704">
    <cfRule type="expression" dxfId="486" priority="863">
      <formula>IF($V703="",FALSE,TRUE)</formula>
    </cfRule>
    <cfRule type="expression" dxfId="485" priority="864">
      <formula>IF($T703="",FALSE,TRUE)</formula>
    </cfRule>
  </conditionalFormatting>
  <conditionalFormatting sqref="Z700">
    <cfRule type="expression" dxfId="484" priority="823">
      <formula>IF($V700="",FALSE,TRUE)</formula>
    </cfRule>
    <cfRule type="expression" dxfId="483" priority="824">
      <formula>IF($T700="",FALSE,TRUE)</formula>
    </cfRule>
  </conditionalFormatting>
  <conditionalFormatting sqref="M700:N700">
    <cfRule type="expression" dxfId="482" priority="821">
      <formula>IF($V700="",FALSE,TRUE)</formula>
    </cfRule>
    <cfRule type="expression" dxfId="481" priority="822">
      <formula>IF($T700="",FALSE,TRUE)</formula>
    </cfRule>
  </conditionalFormatting>
  <conditionalFormatting sqref="A695">
    <cfRule type="expression" dxfId="480" priority="795">
      <formula>IF($V695="",FALSE,TRUE)</formula>
    </cfRule>
    <cfRule type="expression" dxfId="479" priority="796">
      <formula>IF($T695="",FALSE,TRUE)</formula>
    </cfRule>
  </conditionalFormatting>
  <conditionalFormatting sqref="C695">
    <cfRule type="expression" dxfId="478" priority="793">
      <formula>IF($V695="",FALSE,TRUE)</formula>
    </cfRule>
    <cfRule type="expression" dxfId="477" priority="794">
      <formula>IF($T695="",FALSE,TRUE)</formula>
    </cfRule>
  </conditionalFormatting>
  <conditionalFormatting sqref="Y706:Y727 AB706:AB729">
    <cfRule type="expression" dxfId="476" priority="765">
      <formula>IF($V706="",FALSE,TRUE)</formula>
    </cfRule>
    <cfRule type="expression" dxfId="475" priority="766">
      <formula>IF($T706="",FALSE,TRUE)</formula>
    </cfRule>
  </conditionalFormatting>
  <conditionalFormatting sqref="Z706:Z728 F728:G729 A717:X726 A706:X706 A710:X710 A713:X713 A712:V712 X711:X712 A708:V709 X708:X709 A716:V716 X714:X716 A707:K707 M707:X707 A711:K711 M711:V711 A714:K715 M714:V715 A727:K727 M727:X727">
    <cfRule type="expression" dxfId="474" priority="763">
      <formula>IF($V706="",FALSE,TRUE)</formula>
    </cfRule>
    <cfRule type="expression" dxfId="473" priority="764">
      <formula>IF($T706="",FALSE,TRUE)</formula>
    </cfRule>
  </conditionalFormatting>
  <conditionalFormatting sqref="AA706:AA727">
    <cfRule type="expression" dxfId="472" priority="761">
      <formula>IF($V706="",FALSE,TRUE)</formula>
    </cfRule>
    <cfRule type="expression" dxfId="471" priority="762">
      <formula>IF($T706="",FALSE,TRUE)</formula>
    </cfRule>
  </conditionalFormatting>
  <conditionalFormatting sqref="X728">
    <cfRule type="expression" dxfId="470" priority="759">
      <formula>IF($V728="",FALSE,TRUE)</formula>
    </cfRule>
    <cfRule type="expression" dxfId="469" priority="760">
      <formula>IF($T728="",FALSE,TRUE)</formula>
    </cfRule>
  </conditionalFormatting>
  <conditionalFormatting sqref="Y729 AA729 H729:T729">
    <cfRule type="expression" dxfId="468" priority="733">
      <formula>IF($V729="",FALSE,TRUE)</formula>
    </cfRule>
    <cfRule type="expression" dxfId="467" priority="734">
      <formula>IF($T729="",FALSE,TRUE)</formula>
    </cfRule>
  </conditionalFormatting>
  <conditionalFormatting sqref="Z729">
    <cfRule type="expression" dxfId="466" priority="731">
      <formula>IF($V729="",FALSE,TRUE)</formula>
    </cfRule>
    <cfRule type="expression" dxfId="465" priority="732">
      <formula>IF($T729="",FALSE,TRUE)</formula>
    </cfRule>
  </conditionalFormatting>
  <conditionalFormatting sqref="W728:W729">
    <cfRule type="expression" dxfId="464" priority="727">
      <formula>IF($V728="",FALSE,TRUE)</formula>
    </cfRule>
    <cfRule type="expression" dxfId="463" priority="728">
      <formula>IF($T728="",FALSE,TRUE)</formula>
    </cfRule>
  </conditionalFormatting>
  <conditionalFormatting sqref="A728:C729">
    <cfRule type="expression" dxfId="462" priority="725">
      <formula>IF($V728="",FALSE,TRUE)</formula>
    </cfRule>
    <cfRule type="expression" dxfId="461" priority="726">
      <formula>IF($T728="",FALSE,TRUE)</formula>
    </cfRule>
  </conditionalFormatting>
  <conditionalFormatting sqref="W714:W715">
    <cfRule type="expression" dxfId="460" priority="739">
      <formula>IF($V714="",FALSE,TRUE)</formula>
    </cfRule>
    <cfRule type="expression" dxfId="459" priority="740">
      <formula>IF($T714="",FALSE,TRUE)</formula>
    </cfRule>
  </conditionalFormatting>
  <conditionalFormatting sqref="X729">
    <cfRule type="expression" dxfId="458" priority="729">
      <formula>IF($V729="",FALSE,TRUE)</formula>
    </cfRule>
    <cfRule type="expression" dxfId="457" priority="730">
      <formula>IF($T729="",FALSE,TRUE)</formula>
    </cfRule>
  </conditionalFormatting>
  <conditionalFormatting sqref="D808:E808">
    <cfRule type="expression" dxfId="456" priority="613">
      <formula>IF($V808="",FALSE,TRUE)</formula>
    </cfRule>
    <cfRule type="expression" dxfId="455" priority="614">
      <formula>IF($T808="",FALSE,TRUE)</formula>
    </cfRule>
  </conditionalFormatting>
  <conditionalFormatting sqref="F808:G808">
    <cfRule type="expression" dxfId="454" priority="609">
      <formula>IF($V808="",FALSE,TRUE)</formula>
    </cfRule>
    <cfRule type="expression" dxfId="453" priority="610">
      <formula>IF($T808="",FALSE,TRUE)</formula>
    </cfRule>
  </conditionalFormatting>
  <conditionalFormatting sqref="Y803:Y808">
    <cfRule type="expression" dxfId="452" priority="583">
      <formula>IF($V803="",FALSE,TRUE)</formula>
    </cfRule>
    <cfRule type="expression" dxfId="451" priority="584">
      <formula>IF($T803="",FALSE,TRUE)</formula>
    </cfRule>
  </conditionalFormatting>
  <conditionalFormatting sqref="A809:AB809 T810">
    <cfRule type="expression" dxfId="450" priority="581">
      <formula>IF($V809="",FALSE,TRUE)</formula>
    </cfRule>
    <cfRule type="expression" dxfId="449" priority="582">
      <formula>IF($T809="",FALSE,TRUE)</formula>
    </cfRule>
  </conditionalFormatting>
  <conditionalFormatting sqref="A810:K810 U810:AA810 S811 M810:S810 D811:G813">
    <cfRule type="expression" dxfId="448" priority="579">
      <formula>IF($V810="",FALSE,TRUE)</formula>
    </cfRule>
    <cfRule type="expression" dxfId="447" priority="580">
      <formula>IF($T810="",FALSE,TRUE)</formula>
    </cfRule>
  </conditionalFormatting>
  <conditionalFormatting sqref="A811:C811 T811:Z811 M812:N813 Q812:Q813 H811:R811">
    <cfRule type="expression" dxfId="446" priority="577">
      <formula>IF($V811="",FALSE,TRUE)</formula>
    </cfRule>
    <cfRule type="expression" dxfId="445" priority="578">
      <formula>IF($T811="",FALSE,TRUE)</formula>
    </cfRule>
  </conditionalFormatting>
  <conditionalFormatting sqref="AA811">
    <cfRule type="expression" dxfId="444" priority="575">
      <formula>IF($V811="",FALSE,TRUE)</formula>
    </cfRule>
    <cfRule type="expression" dxfId="443" priority="576">
      <formula>IF($T811="",FALSE,TRUE)</formula>
    </cfRule>
  </conditionalFormatting>
  <conditionalFormatting sqref="X812:X813">
    <cfRule type="expression" dxfId="442" priority="573">
      <formula>IF($V812="",FALSE,TRUE)</formula>
    </cfRule>
    <cfRule type="expression" dxfId="441" priority="574">
      <formula>IF($T812="",FALSE,TRUE)</formula>
    </cfRule>
  </conditionalFormatting>
  <conditionalFormatting sqref="AA812:AA813">
    <cfRule type="expression" dxfId="440" priority="569">
      <formula>IF($V812="",FALSE,TRUE)</formula>
    </cfRule>
    <cfRule type="expression" dxfId="439" priority="570">
      <formula>IF($T812="",FALSE,TRUE)</formula>
    </cfRule>
  </conditionalFormatting>
  <conditionalFormatting sqref="O814 R814 T814:V814 D814:J814 A814:B814 X814:AB814 M814">
    <cfRule type="expression" dxfId="438" priority="559">
      <formula>IF($V814="",FALSE,TRUE)</formula>
    </cfRule>
    <cfRule type="expression" dxfId="437" priority="560">
      <formula>IF($T814="",FALSE,TRUE)</formula>
    </cfRule>
  </conditionalFormatting>
  <conditionalFormatting sqref="Q814">
    <cfRule type="expression" dxfId="436" priority="557">
      <formula>IF($V814="",FALSE,TRUE)</formula>
    </cfRule>
    <cfRule type="expression" dxfId="435" priority="558">
      <formula>IF($T814="",FALSE,TRUE)</formula>
    </cfRule>
  </conditionalFormatting>
  <conditionalFormatting sqref="P814">
    <cfRule type="expression" dxfId="434" priority="555">
      <formula>IF($V814="",FALSE,TRUE)</formula>
    </cfRule>
    <cfRule type="expression" dxfId="433" priority="556">
      <formula>IF($T814="",FALSE,TRUE)</formula>
    </cfRule>
  </conditionalFormatting>
  <conditionalFormatting sqref="N814">
    <cfRule type="expression" dxfId="432" priority="553">
      <formula>IF($V814="",FALSE,TRUE)</formula>
    </cfRule>
    <cfRule type="expression" dxfId="431" priority="554">
      <formula>IF($T814="",FALSE,TRUE)</formula>
    </cfRule>
  </conditionalFormatting>
  <conditionalFormatting sqref="W814">
    <cfRule type="expression" dxfId="430" priority="551">
      <formula>IF($V814="",FALSE,TRUE)</formula>
    </cfRule>
    <cfRule type="expression" dxfId="429" priority="552">
      <formula>IF($T814="",FALSE,TRUE)</formula>
    </cfRule>
  </conditionalFormatting>
  <conditionalFormatting sqref="C814">
    <cfRule type="expression" dxfId="428" priority="549">
      <formula>IF($V814="",FALSE,TRUE)</formula>
    </cfRule>
    <cfRule type="expression" dxfId="427" priority="550">
      <formula>IF($T814="",FALSE,TRUE)</formula>
    </cfRule>
  </conditionalFormatting>
  <conditionalFormatting sqref="D821:G823 A815:K820 M815:AA820">
    <cfRule type="expression" dxfId="426" priority="543">
      <formula>IF($V815="",FALSE,TRUE)</formula>
    </cfRule>
    <cfRule type="expression" dxfId="425" priority="544">
      <formula>IF($T815="",FALSE,TRUE)</formula>
    </cfRule>
  </conditionalFormatting>
  <conditionalFormatting sqref="Z824">
    <cfRule type="expression" dxfId="424" priority="533">
      <formula>IF($V824="",FALSE,TRUE)</formula>
    </cfRule>
    <cfRule type="expression" dxfId="423" priority="534">
      <formula>IF($T824="",FALSE,TRUE)</formula>
    </cfRule>
  </conditionalFormatting>
  <conditionalFormatting sqref="A824:C824 H824:V824 AA824:AB824 S825 X824:Y824">
    <cfRule type="expression" dxfId="422" priority="531">
      <formula>IF($V824="",FALSE,TRUE)</formula>
    </cfRule>
    <cfRule type="expression" dxfId="421" priority="532">
      <formula>IF($T824="",FALSE,TRUE)</formula>
    </cfRule>
  </conditionalFormatting>
  <conditionalFormatting sqref="D824:G825">
    <cfRule type="expression" dxfId="420" priority="529">
      <formula>IF($V824="",FALSE,TRUE)</formula>
    </cfRule>
    <cfRule type="expression" dxfId="419" priority="530">
      <formula>IF($T824="",FALSE,TRUE)</formula>
    </cfRule>
  </conditionalFormatting>
  <conditionalFormatting sqref="AB807">
    <cfRule type="expression" dxfId="418" priority="481">
      <formula>IF($V807="",FALSE,TRUE)</formula>
    </cfRule>
    <cfRule type="expression" dxfId="417" priority="482">
      <formula>IF($T807="",FALSE,TRUE)</formula>
    </cfRule>
  </conditionalFormatting>
  <conditionalFormatting sqref="AB808">
    <cfRule type="expression" dxfId="416" priority="479">
      <formula>IF($V808="",FALSE,TRUE)</formula>
    </cfRule>
    <cfRule type="expression" dxfId="415" priority="480">
      <formula>IF($T808="",FALSE,TRUE)</formula>
    </cfRule>
  </conditionalFormatting>
  <conditionalFormatting sqref="AB810:AB811">
    <cfRule type="expression" dxfId="414" priority="477">
      <formula>IF($V810="",FALSE,TRUE)</formula>
    </cfRule>
    <cfRule type="expression" dxfId="413" priority="478">
      <formula>IF($T810="",FALSE,TRUE)</formula>
    </cfRule>
  </conditionalFormatting>
  <conditionalFormatting sqref="AB815:AB823">
    <cfRule type="expression" dxfId="412" priority="475">
      <formula>IF($V815="",FALSE,TRUE)</formula>
    </cfRule>
    <cfRule type="expression" dxfId="411" priority="476">
      <formula>IF($T815="",FALSE,TRUE)</formula>
    </cfRule>
  </conditionalFormatting>
  <conditionalFormatting sqref="B765:B766">
    <cfRule type="expression" dxfId="410" priority="3534">
      <formula>IF($V764="",FALSE,TRUE)</formula>
    </cfRule>
    <cfRule type="expression" dxfId="409" priority="3535">
      <formula>IF($T764="",FALSE,TRUE)</formula>
    </cfRule>
  </conditionalFormatting>
  <conditionalFormatting sqref="B764">
    <cfRule type="expression" dxfId="408" priority="467">
      <formula>IF($V764="",FALSE,TRUE)</formula>
    </cfRule>
    <cfRule type="expression" dxfId="407" priority="468">
      <formula>IF($T764="",FALSE,TRUE)</formula>
    </cfRule>
  </conditionalFormatting>
  <conditionalFormatting sqref="O821:P823 H821:L823 Y821:Z823 R821:V823 A821:C823">
    <cfRule type="expression" dxfId="406" priority="465">
      <formula>IF($V821="",FALSE,TRUE)</formula>
    </cfRule>
    <cfRule type="expression" dxfId="405" priority="466">
      <formula>IF($T821="",FALSE,TRUE)</formula>
    </cfRule>
  </conditionalFormatting>
  <conditionalFormatting sqref="M821:N823 Q821:Q823">
    <cfRule type="expression" dxfId="404" priority="459">
      <formula>IF($V821="",FALSE,TRUE)</formula>
    </cfRule>
    <cfRule type="expression" dxfId="403" priority="460">
      <formula>IF($T821="",FALSE,TRUE)</formula>
    </cfRule>
  </conditionalFormatting>
  <conditionalFormatting sqref="X821:X823">
    <cfRule type="expression" dxfId="402" priority="457">
      <formula>IF($V821="",FALSE,TRUE)</formula>
    </cfRule>
    <cfRule type="expression" dxfId="401" priority="458">
      <formula>IF($T821="",FALSE,TRUE)</formula>
    </cfRule>
  </conditionalFormatting>
  <conditionalFormatting sqref="AA821:AA823">
    <cfRule type="expression" dxfId="400" priority="455">
      <formula>IF($V821="",FALSE,TRUE)</formula>
    </cfRule>
    <cfRule type="expression" dxfId="399" priority="456">
      <formula>IF($T821="",FALSE,TRUE)</formula>
    </cfRule>
  </conditionalFormatting>
  <conditionalFormatting sqref="Z825">
    <cfRule type="expression" dxfId="398" priority="453">
      <formula>IF($V825="",FALSE,TRUE)</formula>
    </cfRule>
    <cfRule type="expression" dxfId="397" priority="454">
      <formula>IF($T825="",FALSE,TRUE)</formula>
    </cfRule>
  </conditionalFormatting>
  <conditionalFormatting sqref="A825:C825 H825:R825 AB825 T825:V825 X825:Y825">
    <cfRule type="expression" dxfId="396" priority="451">
      <formula>IF($V825="",FALSE,TRUE)</formula>
    </cfRule>
    <cfRule type="expression" dxfId="395" priority="452">
      <formula>IF($T825="",FALSE,TRUE)</formula>
    </cfRule>
  </conditionalFormatting>
  <conditionalFormatting sqref="W821:W823">
    <cfRule type="expression" dxfId="394" priority="445">
      <formula>IF($V821="",FALSE,TRUE)</formula>
    </cfRule>
    <cfRule type="expression" dxfId="393" priority="446">
      <formula>IF($T821="",FALSE,TRUE)</formula>
    </cfRule>
  </conditionalFormatting>
  <conditionalFormatting sqref="W825">
    <cfRule type="expression" dxfId="392" priority="433">
      <formula>IF($V825="",FALSE,TRUE)</formula>
    </cfRule>
    <cfRule type="expression" dxfId="391" priority="434">
      <formula>IF($T825="",FALSE,TRUE)</formula>
    </cfRule>
  </conditionalFormatting>
  <conditionalFormatting sqref="S826:S829 S831:S841">
    <cfRule type="expression" dxfId="390" priority="431">
      <formula>IF($V826="",FALSE,TRUE)</formula>
    </cfRule>
    <cfRule type="expression" dxfId="389" priority="432">
      <formula>IF($T826="",FALSE,TRUE)</formula>
    </cfRule>
  </conditionalFormatting>
  <conditionalFormatting sqref="D826:G826 D828:G841">
    <cfRule type="expression" dxfId="388" priority="429">
      <formula>IF($V826="",FALSE,TRUE)</formula>
    </cfRule>
    <cfRule type="expression" dxfId="387" priority="430">
      <formula>IF($T826="",FALSE,TRUE)</formula>
    </cfRule>
  </conditionalFormatting>
  <conditionalFormatting sqref="Z826:Z841">
    <cfRule type="expression" dxfId="386" priority="427">
      <formula>IF($V826="",FALSE,TRUE)</formula>
    </cfRule>
    <cfRule type="expression" dxfId="385" priority="428">
      <formula>IF($T826="",FALSE,TRUE)</formula>
    </cfRule>
  </conditionalFormatting>
  <conditionalFormatting sqref="X826:Y841 H826:R835 AA827:AB841 C842 AB826 H837:R841 H836:K836 M836:R836 A826:C841 T826:V841">
    <cfRule type="expression" dxfId="384" priority="425">
      <formula>IF($V826="",FALSE,TRUE)</formula>
    </cfRule>
    <cfRule type="expression" dxfId="383" priority="426">
      <formula>IF($T826="",FALSE,TRUE)</formula>
    </cfRule>
  </conditionalFormatting>
  <conditionalFormatting sqref="W826 W837:W841 W828:W830">
    <cfRule type="expression" dxfId="382" priority="423">
      <formula>IF($V826="",FALSE,TRUE)</formula>
    </cfRule>
    <cfRule type="expression" dxfId="381" priority="424">
      <formula>IF($T826="",FALSE,TRUE)</formula>
    </cfRule>
  </conditionalFormatting>
  <conditionalFormatting sqref="M773:N774">
    <cfRule type="expression" dxfId="380" priority="401">
      <formula>IF($V773="",FALSE,TRUE)</formula>
    </cfRule>
    <cfRule type="expression" dxfId="379" priority="402">
      <formula>IF($T773="",FALSE,TRUE)</formula>
    </cfRule>
  </conditionalFormatting>
  <conditionalFormatting sqref="S842:S847">
    <cfRule type="expression" dxfId="378" priority="389">
      <formula>IF($V842="",FALSE,TRUE)</formula>
    </cfRule>
    <cfRule type="expression" dxfId="377" priority="390">
      <formula>IF($T842="",FALSE,TRUE)</formula>
    </cfRule>
  </conditionalFormatting>
  <conditionalFormatting sqref="D842:G859">
    <cfRule type="expression" dxfId="376" priority="387">
      <formula>IF($V842="",FALSE,TRUE)</formula>
    </cfRule>
    <cfRule type="expression" dxfId="375" priority="388">
      <formula>IF($T842="",FALSE,TRUE)</formula>
    </cfRule>
  </conditionalFormatting>
  <conditionalFormatting sqref="Z842:Z847">
    <cfRule type="expression" dxfId="374" priority="385">
      <formula>IF($V842="",FALSE,TRUE)</formula>
    </cfRule>
    <cfRule type="expression" dxfId="373" priority="386">
      <formula>IF($T842="",FALSE,TRUE)</formula>
    </cfRule>
  </conditionalFormatting>
  <conditionalFormatting sqref="AA842:AB843 X842:Y847 A843:C847 T842:V847 B842 H842:R847 AA847:AB847 AB844:AB846">
    <cfRule type="expression" dxfId="372" priority="383">
      <formula>IF($V842="",FALSE,TRUE)</formula>
    </cfRule>
    <cfRule type="expression" dxfId="371" priority="384">
      <formula>IF($T842="",FALSE,TRUE)</formula>
    </cfRule>
  </conditionalFormatting>
  <conditionalFormatting sqref="W844">
    <cfRule type="expression" dxfId="370" priority="381">
      <formula>IF($V844="",FALSE,TRUE)</formula>
    </cfRule>
    <cfRule type="expression" dxfId="369" priority="382">
      <formula>IF($T844="",FALSE,TRUE)</formula>
    </cfRule>
  </conditionalFormatting>
  <conditionalFormatting sqref="R848:AB848 O848:P857 R849:S857 W849:AB857 H848:L857 A848:A859 C848:C859 T849:V859">
    <cfRule type="expression" dxfId="368" priority="379">
      <formula>IF($V848="",FALSE,TRUE)</formula>
    </cfRule>
    <cfRule type="expression" dxfId="367" priority="380">
      <formula>IF($T848="",FALSE,TRUE)</formula>
    </cfRule>
  </conditionalFormatting>
  <conditionalFormatting sqref="R858:S858 O858:P858 W858:AB858 H858:L858">
    <cfRule type="expression" dxfId="366" priority="377">
      <formula>IF($V858="",FALSE,TRUE)</formula>
    </cfRule>
    <cfRule type="expression" dxfId="365" priority="378">
      <formula>IF($T858="",FALSE,TRUE)</formula>
    </cfRule>
  </conditionalFormatting>
  <conditionalFormatting sqref="R859:S859 O859:P859 W859:AB859 H859:L859">
    <cfRule type="expression" dxfId="364" priority="375">
      <formula>IF($V859="",FALSE,TRUE)</formula>
    </cfRule>
    <cfRule type="expression" dxfId="363" priority="376">
      <formula>IF($T859="",FALSE,TRUE)</formula>
    </cfRule>
  </conditionalFormatting>
  <conditionalFormatting sqref="M848:N859">
    <cfRule type="expression" dxfId="362" priority="371">
      <formula>IF($V848="",FALSE,TRUE)</formula>
    </cfRule>
    <cfRule type="expression" dxfId="361" priority="372">
      <formula>IF($T848="",FALSE,TRUE)</formula>
    </cfRule>
  </conditionalFormatting>
  <conditionalFormatting sqref="M795">
    <cfRule type="expression" dxfId="360" priority="369">
      <formula>IF($V795="",FALSE,TRUE)</formula>
    </cfRule>
    <cfRule type="expression" dxfId="359" priority="370">
      <formula>IF($T795="",FALSE,TRUE)</formula>
    </cfRule>
  </conditionalFormatting>
  <conditionalFormatting sqref="W500 W462 W432">
    <cfRule type="expression" dxfId="358" priority="365">
      <formula>IF($V432="",FALSE,TRUE)</formula>
    </cfRule>
    <cfRule type="expression" dxfId="357" priority="366">
      <formula>IF($T432="",FALSE,TRUE)</formula>
    </cfRule>
  </conditionalFormatting>
  <conditionalFormatting sqref="W845:W846">
    <cfRule type="expression" dxfId="356" priority="363">
      <formula>IF($V845="",FALSE,TRUE)</formula>
    </cfRule>
    <cfRule type="expression" dxfId="355" priority="364">
      <formula>IF($T845="",FALSE,TRUE)</formula>
    </cfRule>
  </conditionalFormatting>
  <conditionalFormatting sqref="Q865:Q871">
    <cfRule type="expression" dxfId="354" priority="341">
      <formula>IF($V865="",FALSE,TRUE)</formula>
    </cfRule>
    <cfRule type="expression" dxfId="353" priority="342">
      <formula>IF($T865="",FALSE,TRUE)</formula>
    </cfRule>
  </conditionalFormatting>
  <conditionalFormatting sqref="D865:G868">
    <cfRule type="expression" dxfId="352" priority="339">
      <formula>IF($V865="",FALSE,TRUE)</formula>
    </cfRule>
    <cfRule type="expression" dxfId="351" priority="340">
      <formula>IF($T865="",FALSE,TRUE)</formula>
    </cfRule>
  </conditionalFormatting>
  <conditionalFormatting sqref="T865:U871 C865:C871">
    <cfRule type="expression" dxfId="350" priority="337">
      <formula>IF($V865="",FALSE,TRUE)</formula>
    </cfRule>
    <cfRule type="expression" dxfId="349" priority="338">
      <formula>IF($T865="",FALSE,TRUE)</formula>
    </cfRule>
  </conditionalFormatting>
  <conditionalFormatting sqref="R865:S868 O865:P868 H865:L868 A865:B868 V865:AB868">
    <cfRule type="expression" dxfId="348" priority="335">
      <formula>IF($V865="",FALSE,TRUE)</formula>
    </cfRule>
    <cfRule type="expression" dxfId="347" priority="336">
      <formula>IF($T865="",FALSE,TRUE)</formula>
    </cfRule>
  </conditionalFormatting>
  <conditionalFormatting sqref="M865:N868">
    <cfRule type="expression" dxfId="346" priority="333">
      <formula>IF($V865="",FALSE,TRUE)</formula>
    </cfRule>
    <cfRule type="expression" dxfId="345" priority="334">
      <formula>IF($T865="",FALSE,TRUE)</formula>
    </cfRule>
  </conditionalFormatting>
  <conditionalFormatting sqref="D869:G871">
    <cfRule type="expression" dxfId="344" priority="331">
      <formula>IF($V869="",FALSE,TRUE)</formula>
    </cfRule>
    <cfRule type="expression" dxfId="343" priority="332">
      <formula>IF($T869="",FALSE,TRUE)</formula>
    </cfRule>
  </conditionalFormatting>
  <conditionalFormatting sqref="R869:S871 H870:L871 O869:P871 A869:B871 V869:AB871 H869:K869">
    <cfRule type="expression" dxfId="342" priority="329">
      <formula>IF($V869="",FALSE,TRUE)</formula>
    </cfRule>
    <cfRule type="expression" dxfId="341" priority="330">
      <formula>IF($T869="",FALSE,TRUE)</formula>
    </cfRule>
  </conditionalFormatting>
  <conditionalFormatting sqref="M869:N871">
    <cfRule type="expression" dxfId="340" priority="327">
      <formula>IF($V869="",FALSE,TRUE)</formula>
    </cfRule>
    <cfRule type="expression" dxfId="339" priority="328">
      <formula>IF($T869="",FALSE,TRUE)</formula>
    </cfRule>
  </conditionalFormatting>
  <conditionalFormatting sqref="Q872:Q874">
    <cfRule type="expression" dxfId="338" priority="323">
      <formula>IF($V872="",FALSE,TRUE)</formula>
    </cfRule>
    <cfRule type="expression" dxfId="337" priority="324">
      <formula>IF($T872="",FALSE,TRUE)</formula>
    </cfRule>
  </conditionalFormatting>
  <conditionalFormatting sqref="T872:U874 C873:C874">
    <cfRule type="expression" dxfId="336" priority="321">
      <formula>IF($V872="",FALSE,TRUE)</formula>
    </cfRule>
    <cfRule type="expression" dxfId="335" priority="322">
      <formula>IF($T872="",FALSE,TRUE)</formula>
    </cfRule>
  </conditionalFormatting>
  <conditionalFormatting sqref="D873:G874 D872:E872 G872">
    <cfRule type="expression" dxfId="334" priority="319">
      <formula>IF($V872="",FALSE,TRUE)</formula>
    </cfRule>
    <cfRule type="expression" dxfId="333" priority="320">
      <formula>IF($T872="",FALSE,TRUE)</formula>
    </cfRule>
  </conditionalFormatting>
  <conditionalFormatting sqref="R872:S874 A873:B874 O872:P874 V872:AB874 H872:L874 S875:S876">
    <cfRule type="expression" dxfId="332" priority="317">
      <formula>IF($V872="",FALSE,TRUE)</formula>
    </cfRule>
    <cfRule type="expression" dxfId="331" priority="318">
      <formula>IF($T872="",FALSE,TRUE)</formula>
    </cfRule>
  </conditionalFormatting>
  <conditionalFormatting sqref="M873:N874">
    <cfRule type="expression" dxfId="330" priority="315">
      <formula>IF($V873="",FALSE,TRUE)</formula>
    </cfRule>
    <cfRule type="expression" dxfId="329" priority="316">
      <formula>IF($T873="",FALSE,TRUE)</formula>
    </cfRule>
  </conditionalFormatting>
  <conditionalFormatting sqref="D827:G827 D796:G796">
    <cfRule type="expression" dxfId="328" priority="313">
      <formula>IF($V796="",FALSE,TRUE)</formula>
    </cfRule>
    <cfRule type="expression" dxfId="327" priority="314">
      <formula>IF($T796="",FALSE,TRUE)</formula>
    </cfRule>
  </conditionalFormatting>
  <conditionalFormatting sqref="AA875:AA876">
    <cfRule type="expression" dxfId="326" priority="307">
      <formula>IF($V875="",FALSE,TRUE)</formula>
    </cfRule>
    <cfRule type="expression" dxfId="325" priority="308">
      <formula>IF($T875="",FALSE,TRUE)</formula>
    </cfRule>
  </conditionalFormatting>
  <conditionalFormatting sqref="AB875 D875:R875 P876:Q876 X876 T875:Z875">
    <cfRule type="expression" dxfId="324" priority="309">
      <formula>IF($V875="",FALSE,TRUE)</formula>
    </cfRule>
    <cfRule type="expression" dxfId="323" priority="310">
      <formula>IF($T875="",FALSE,TRUE)</formula>
    </cfRule>
  </conditionalFormatting>
  <conditionalFormatting sqref="C875">
    <cfRule type="expression" dxfId="322" priority="305">
      <formula>IF($V875="",FALSE,TRUE)</formula>
    </cfRule>
    <cfRule type="expression" dxfId="321" priority="306">
      <formula>IF($T875="",FALSE,TRUE)</formula>
    </cfRule>
  </conditionalFormatting>
  <conditionalFormatting sqref="A875:B875">
    <cfRule type="expression" dxfId="320" priority="303">
      <formula>IF($V875="",FALSE,TRUE)</formula>
    </cfRule>
    <cfRule type="expression" dxfId="319" priority="304">
      <formula>IF($T875="",FALSE,TRUE)</formula>
    </cfRule>
  </conditionalFormatting>
  <conditionalFormatting sqref="AA825">
    <cfRule type="expression" dxfId="318" priority="301">
      <formula>IF($V825="",FALSE,TRUE)</formula>
    </cfRule>
    <cfRule type="expression" dxfId="317" priority="302">
      <formula>IF($T825="",FALSE,TRUE)</formula>
    </cfRule>
  </conditionalFormatting>
  <conditionalFormatting sqref="W827">
    <cfRule type="expression" dxfId="316" priority="299">
      <formula>IF($V827="",FALSE,TRUE)</formula>
    </cfRule>
    <cfRule type="expression" dxfId="315" priority="300">
      <formula>IF($T827="",FALSE,TRUE)</formula>
    </cfRule>
  </conditionalFormatting>
  <conditionalFormatting sqref="Q860:Q863">
    <cfRule type="expression" dxfId="314" priority="297">
      <formula>IF($V860="",FALSE,TRUE)</formula>
    </cfRule>
    <cfRule type="expression" dxfId="313" priority="298">
      <formula>IF($T860="",FALSE,TRUE)</formula>
    </cfRule>
  </conditionalFormatting>
  <conditionalFormatting sqref="D860:G864">
    <cfRule type="expression" dxfId="312" priority="295">
      <formula>IF($V860="",FALSE,TRUE)</formula>
    </cfRule>
    <cfRule type="expression" dxfId="311" priority="296">
      <formula>IF($T860="",FALSE,TRUE)</formula>
    </cfRule>
  </conditionalFormatting>
  <conditionalFormatting sqref="T860:U864 C861:C864 A861:A864">
    <cfRule type="expression" dxfId="310" priority="293">
      <formula>IF($V860="",FALSE,TRUE)</formula>
    </cfRule>
    <cfRule type="expression" dxfId="309" priority="294">
      <formula>IF($T860="",FALSE,TRUE)</formula>
    </cfRule>
  </conditionalFormatting>
  <conditionalFormatting sqref="R860:S864 O860:P864 B860:B864 H860:L860 V861:AB861 AB862:AB864 H862:L864 H861:K861 V860 X860:AB860 V864:Z864 V862:V863 X862:Z863">
    <cfRule type="expression" dxfId="308" priority="291">
      <formula>IF($V860="",FALSE,TRUE)</formula>
    </cfRule>
    <cfRule type="expression" dxfId="307" priority="292">
      <formula>IF($T860="",FALSE,TRUE)</formula>
    </cfRule>
  </conditionalFormatting>
  <conditionalFormatting sqref="M860:N864">
    <cfRule type="expression" dxfId="306" priority="289">
      <formula>IF($V860="",FALSE,TRUE)</formula>
    </cfRule>
    <cfRule type="expression" dxfId="305" priority="290">
      <formula>IF($T860="",FALSE,TRUE)</formula>
    </cfRule>
  </conditionalFormatting>
  <conditionalFormatting sqref="A860">
    <cfRule type="expression" dxfId="304" priority="287">
      <formula>IF($V860="",FALSE,TRUE)</formula>
    </cfRule>
    <cfRule type="expression" dxfId="303" priority="288">
      <formula>IF($T860="",FALSE,TRUE)</formula>
    </cfRule>
  </conditionalFormatting>
  <conditionalFormatting sqref="C860">
    <cfRule type="expression" dxfId="302" priority="285">
      <formula>IF($V860="",FALSE,TRUE)</formula>
    </cfRule>
    <cfRule type="expression" dxfId="301" priority="286">
      <formula>IF($T860="",FALSE,TRUE)</formula>
    </cfRule>
  </conditionalFormatting>
  <conditionalFormatting sqref="Q864">
    <cfRule type="expression" dxfId="300" priority="283">
      <formula>IF($V864="",FALSE,TRUE)</formula>
    </cfRule>
    <cfRule type="expression" dxfId="299" priority="284">
      <formula>IF($T864="",FALSE,TRUE)</formula>
    </cfRule>
  </conditionalFormatting>
  <conditionalFormatting sqref="AA864">
    <cfRule type="expression" dxfId="298" priority="281">
      <formula>IF($V864="",FALSE,TRUE)</formula>
    </cfRule>
    <cfRule type="expression" dxfId="297" priority="282">
      <formula>IF($T864="",FALSE,TRUE)</formula>
    </cfRule>
  </conditionalFormatting>
  <conditionalFormatting sqref="A877:Q877 S877:AB877">
    <cfRule type="expression" dxfId="296" priority="277">
      <formula>IF($V877="",FALSE,TRUE)</formula>
    </cfRule>
    <cfRule type="expression" dxfId="295" priority="278">
      <formula>IF($T877="",FALSE,TRUE)</formula>
    </cfRule>
  </conditionalFormatting>
  <conditionalFormatting sqref="R877">
    <cfRule type="expression" dxfId="294" priority="275">
      <formula>IF($V877="",FALSE,TRUE)</formula>
    </cfRule>
    <cfRule type="expression" dxfId="293" priority="276">
      <formula>IF($T877="",FALSE,TRUE)</formula>
    </cfRule>
  </conditionalFormatting>
  <conditionalFormatting sqref="A842">
    <cfRule type="expression" dxfId="292" priority="271">
      <formula>IF($V842="",FALSE,TRUE)</formula>
    </cfRule>
    <cfRule type="expression" dxfId="291" priority="272">
      <formula>IF($T842="",FALSE,TRUE)</formula>
    </cfRule>
  </conditionalFormatting>
  <conditionalFormatting sqref="H577:I577">
    <cfRule type="expression" dxfId="290" priority="263">
      <formula>IF($V577="",FALSE,TRUE)</formula>
    </cfRule>
    <cfRule type="expression" dxfId="289" priority="264">
      <formula>IF($T577="",FALSE,TRUE)</formula>
    </cfRule>
  </conditionalFormatting>
  <conditionalFormatting sqref="A879:Q879 S879:AB879 N880 O880:Q881">
    <cfRule type="expression" dxfId="288" priority="255">
      <formula>IF($V879="",FALSE,TRUE)</formula>
    </cfRule>
    <cfRule type="expression" dxfId="287" priority="256">
      <formula>IF($T879="",FALSE,TRUE)</formula>
    </cfRule>
  </conditionalFormatting>
  <conditionalFormatting sqref="R879">
    <cfRule type="expression" dxfId="286" priority="253">
      <formula>IF($V879="",FALSE,TRUE)</formula>
    </cfRule>
    <cfRule type="expression" dxfId="285" priority="254">
      <formula>IF($T879="",FALSE,TRUE)</formula>
    </cfRule>
  </conditionalFormatting>
  <conditionalFormatting sqref="T883 A882:AB882">
    <cfRule type="expression" dxfId="284" priority="251">
      <formula>IF($V882="",FALSE,TRUE)</formula>
    </cfRule>
    <cfRule type="expression" dxfId="283" priority="252">
      <formula>IF($T882="",FALSE,TRUE)</formula>
    </cfRule>
  </conditionalFormatting>
  <conditionalFormatting sqref="M881:N881">
    <cfRule type="expression" dxfId="282" priority="249">
      <formula>IF($V881="",FALSE,TRUE)</formula>
    </cfRule>
    <cfRule type="expression" dxfId="281" priority="250">
      <formula>IF($T881="",FALSE,TRUE)</formula>
    </cfRule>
  </conditionalFormatting>
  <conditionalFormatting sqref="X880:X881">
    <cfRule type="expression" dxfId="280" priority="247">
      <formula>IF($V880="",FALSE,TRUE)</formula>
    </cfRule>
    <cfRule type="expression" dxfId="279" priority="248">
      <formula>IF($T880="",FALSE,TRUE)</formula>
    </cfRule>
  </conditionalFormatting>
  <conditionalFormatting sqref="AA880">
    <cfRule type="expression" dxfId="278" priority="245">
      <formula>IF($V880="",FALSE,TRUE)</formula>
    </cfRule>
    <cfRule type="expression" dxfId="277" priority="246">
      <formula>IF($T880="",FALSE,TRUE)</formula>
    </cfRule>
  </conditionalFormatting>
  <conditionalFormatting sqref="A883:K883 X883:AB883 Z884 AB884 U883:V883 M883:S883">
    <cfRule type="expression" dxfId="276" priority="241">
      <formula>IF($V883="",FALSE,TRUE)</formula>
    </cfRule>
    <cfRule type="expression" dxfId="275" priority="242">
      <formula>IF($T883="",FALSE,TRUE)</formula>
    </cfRule>
  </conditionalFormatting>
  <conditionalFormatting sqref="W883">
    <cfRule type="expression" dxfId="274" priority="239">
      <formula>IF($V883="",FALSE,TRUE)</formula>
    </cfRule>
    <cfRule type="expression" dxfId="273" priority="240">
      <formula>IF($T883="",FALSE,TRUE)</formula>
    </cfRule>
  </conditionalFormatting>
  <conditionalFormatting sqref="AA884">
    <cfRule type="expression" dxfId="272" priority="227">
      <formula>IF($V884="",FALSE,TRUE)</formula>
    </cfRule>
    <cfRule type="expression" dxfId="271" priority="228">
      <formula>IF($T884="",FALSE,TRUE)</formula>
    </cfRule>
  </conditionalFormatting>
  <conditionalFormatting sqref="A884:L884 N884:Y884 X885 P885:Q885">
    <cfRule type="expression" dxfId="270" priority="231">
      <formula>IF($V884="",FALSE,TRUE)</formula>
    </cfRule>
    <cfRule type="expression" dxfId="269" priority="232">
      <formula>IF($T884="",FALSE,TRUE)</formula>
    </cfRule>
  </conditionalFormatting>
  <conditionalFormatting sqref="M884">
    <cfRule type="expression" dxfId="268" priority="229">
      <formula>IF($V884="",FALSE,TRUE)</formula>
    </cfRule>
    <cfRule type="expression" dxfId="267" priority="230">
      <formula>IF($T884="",FALSE,TRUE)</formula>
    </cfRule>
  </conditionalFormatting>
  <conditionalFormatting sqref="M885:N885">
    <cfRule type="expression" dxfId="266" priority="225">
      <formula>IF($V885="",FALSE,TRUE)</formula>
    </cfRule>
    <cfRule type="expression" dxfId="265" priority="226">
      <formula>IF($T885="",FALSE,TRUE)</formula>
    </cfRule>
  </conditionalFormatting>
  <conditionalFormatting sqref="A878:Q878 S878:AB878">
    <cfRule type="expression" dxfId="264" priority="215">
      <formula>IF($V878="",FALSE,TRUE)</formula>
    </cfRule>
    <cfRule type="expression" dxfId="263" priority="216">
      <formula>IF($T878="",FALSE,TRUE)</formula>
    </cfRule>
  </conditionalFormatting>
  <conditionalFormatting sqref="R878">
    <cfRule type="expression" dxfId="262" priority="213">
      <formula>IF($V878="",FALSE,TRUE)</formula>
    </cfRule>
    <cfRule type="expression" dxfId="261" priority="214">
      <formula>IF($T878="",FALSE,TRUE)</formula>
    </cfRule>
  </conditionalFormatting>
  <conditionalFormatting sqref="AA826">
    <cfRule type="expression" dxfId="260" priority="211">
      <formula>IF($V826="",FALSE,TRUE)</formula>
    </cfRule>
    <cfRule type="expression" dxfId="259" priority="212">
      <formula>IF($T826="",FALSE,TRUE)</formula>
    </cfRule>
  </conditionalFormatting>
  <conditionalFormatting sqref="AA862:AA863">
    <cfRule type="expression" dxfId="258" priority="205">
      <formula>IF($V862="",FALSE,TRUE)</formula>
    </cfRule>
    <cfRule type="expression" dxfId="257" priority="206">
      <formula>IF($T862="",FALSE,TRUE)</formula>
    </cfRule>
  </conditionalFormatting>
  <conditionalFormatting sqref="L814">
    <cfRule type="expression" dxfId="256" priority="203">
      <formula>IF($V814="",FALSE,TRUE)</formula>
    </cfRule>
    <cfRule type="expression" dxfId="255" priority="204">
      <formula>IF($T814="",FALSE,TRUE)</formula>
    </cfRule>
  </conditionalFormatting>
  <conditionalFormatting sqref="L434">
    <cfRule type="expression" dxfId="254" priority="201">
      <formula>IF($V434="",FALSE,TRUE)</formula>
    </cfRule>
    <cfRule type="expression" dxfId="253" priority="202">
      <formula>IF($T434="",FALSE,TRUE)</formula>
    </cfRule>
  </conditionalFormatting>
  <conditionalFormatting sqref="K434">
    <cfRule type="expression" dxfId="252" priority="199">
      <formula>IF($V434="",FALSE,TRUE)</formula>
    </cfRule>
    <cfRule type="expression" dxfId="251" priority="200">
      <formula>IF($T434="",FALSE,TRUE)</formula>
    </cfRule>
  </conditionalFormatting>
  <conditionalFormatting sqref="K814">
    <cfRule type="expression" dxfId="250" priority="197">
      <formula>IF($V814="",FALSE,TRUE)</formula>
    </cfRule>
    <cfRule type="expression" dxfId="249" priority="198">
      <formula>IF($T814="",FALSE,TRUE)</formula>
    </cfRule>
  </conditionalFormatting>
  <conditionalFormatting sqref="K803:K804">
    <cfRule type="expression" dxfId="248" priority="195">
      <formula>IF($V803="",FALSE,TRUE)</formula>
    </cfRule>
    <cfRule type="expression" dxfId="247" priority="196">
      <formula>IF($T803="",FALSE,TRUE)</formula>
    </cfRule>
  </conditionalFormatting>
  <conditionalFormatting sqref="L67">
    <cfRule type="expression" dxfId="246" priority="193">
      <formula>IF($V67="",FALSE,TRUE)</formula>
    </cfRule>
    <cfRule type="expression" dxfId="245" priority="194">
      <formula>IF($T67="",FALSE,TRUE)</formula>
    </cfRule>
  </conditionalFormatting>
  <conditionalFormatting sqref="W876">
    <cfRule type="expression" dxfId="244" priority="191">
      <formula>IF($V876="",FALSE,TRUE)</formula>
    </cfRule>
    <cfRule type="expression" dxfId="243" priority="192">
      <formula>IF($T876="",FALSE,TRUE)</formula>
    </cfRule>
  </conditionalFormatting>
  <conditionalFormatting sqref="B848:B859">
    <cfRule type="expression" dxfId="242" priority="187">
      <formula>IF($V848="",FALSE,TRUE)</formula>
    </cfRule>
    <cfRule type="expression" dxfId="241" priority="188">
      <formula>IF($T848="",FALSE,TRUE)</formula>
    </cfRule>
  </conditionalFormatting>
  <conditionalFormatting sqref="L886:L889 L897">
    <cfRule type="expression" dxfId="240" priority="171">
      <formula>IF($V886="",FALSE,TRUE)</formula>
    </cfRule>
    <cfRule type="expression" dxfId="239" priority="172">
      <formula>IF($T886="",FALSE,TRUE)</formula>
    </cfRule>
  </conditionalFormatting>
  <conditionalFormatting sqref="T886:T889 T897">
    <cfRule type="expression" dxfId="238" priority="169">
      <formula>IF($V886="",FALSE,TRUE)</formula>
    </cfRule>
    <cfRule type="expression" dxfId="237" priority="170">
      <formula>IF($T886="",FALSE,TRUE)</formula>
    </cfRule>
  </conditionalFormatting>
  <conditionalFormatting sqref="X886:AB889 U886:V889 U897:V897 A897:K897 M897:P897 R897 Y897 AB897 M886:S889 A886:K889">
    <cfRule type="expression" dxfId="236" priority="167">
      <formula>IF($V886="",FALSE,TRUE)</formula>
    </cfRule>
    <cfRule type="expression" dxfId="235" priority="168">
      <formula>IF($T886="",FALSE,TRUE)</formula>
    </cfRule>
  </conditionalFormatting>
  <conditionalFormatting sqref="W886:W889">
    <cfRule type="expression" dxfId="234" priority="165">
      <formula>IF($V886="",FALSE,TRUE)</formula>
    </cfRule>
    <cfRule type="expression" dxfId="233" priority="166">
      <formula>IF($T886="",FALSE,TRUE)</formula>
    </cfRule>
  </conditionalFormatting>
  <conditionalFormatting sqref="B767">
    <cfRule type="expression" dxfId="232" priority="163">
      <formula>IF($V767="",FALSE,TRUE)</formula>
    </cfRule>
    <cfRule type="expression" dxfId="231" priority="164">
      <formula>IF($T767="",FALSE,TRUE)</formula>
    </cfRule>
  </conditionalFormatting>
  <conditionalFormatting sqref="A890:N890 P890:AB890 S891:S897 W891:W896">
    <cfRule type="expression" dxfId="230" priority="157">
      <formula>IF($V890="",FALSE,TRUE)</formula>
    </cfRule>
    <cfRule type="expression" dxfId="229" priority="158">
      <formula>IF($T890="",FALSE,TRUE)</formula>
    </cfRule>
  </conditionalFormatting>
  <conditionalFormatting sqref="O890">
    <cfRule type="expression" dxfId="228" priority="155">
      <formula>IF($V890="",FALSE,TRUE)</formula>
    </cfRule>
    <cfRule type="expression" dxfId="227" priority="156">
      <formula>IF($T890="",FALSE,TRUE)</formula>
    </cfRule>
  </conditionalFormatting>
  <conditionalFormatting sqref="A891:R891 O893:O896 A892:O892 Q892:R892 P892:P896 T891:V892 AA891:AB892 Y892:Y896 X892 X891:Y891">
    <cfRule type="expression" dxfId="226" priority="145">
      <formula>IF($V891="",FALSE,TRUE)</formula>
    </cfRule>
    <cfRule type="expression" dxfId="225" priority="146">
      <formula>IF($T891="",FALSE,TRUE)</formula>
    </cfRule>
  </conditionalFormatting>
  <conditionalFormatting sqref="A893:N894 Q893:R894 AB894 T893:V894 AA893:AB893 X893:X894">
    <cfRule type="expression" dxfId="224" priority="143">
      <formula>IF($V893="",FALSE,TRUE)</formula>
    </cfRule>
    <cfRule type="expression" dxfId="223" priority="144">
      <formula>IF($T893="",FALSE,TRUE)</formula>
    </cfRule>
  </conditionalFormatting>
  <conditionalFormatting sqref="A895:N896 Q895:R896 AB895:AB896 T895:V896 Q897 X895:X897">
    <cfRule type="expression" dxfId="222" priority="141">
      <formula>IF($V895="",FALSE,TRUE)</formula>
    </cfRule>
    <cfRule type="expression" dxfId="221" priority="142">
      <formula>IF($T895="",FALSE,TRUE)</formula>
    </cfRule>
  </conditionalFormatting>
  <conditionalFormatting sqref="AA894:AA897">
    <cfRule type="expression" dxfId="220" priority="139">
      <formula>IF($V894="",FALSE,TRUE)</formula>
    </cfRule>
    <cfRule type="expression" dxfId="219" priority="140">
      <formula>IF($T894="",FALSE,TRUE)</formula>
    </cfRule>
  </conditionalFormatting>
  <conditionalFormatting sqref="Z891:Z897">
    <cfRule type="expression" dxfId="218" priority="137">
      <formula>IF($V891="",FALSE,TRUE)</formula>
    </cfRule>
    <cfRule type="expression" dxfId="217" priority="138">
      <formula>IF($T891="",FALSE,TRUE)</formula>
    </cfRule>
  </conditionalFormatting>
  <conditionalFormatting sqref="W862:W863">
    <cfRule type="expression" dxfId="216" priority="135">
      <formula>IF($V862="",FALSE,TRUE)</formula>
    </cfRule>
    <cfRule type="expression" dxfId="215" priority="136">
      <formula>IF($T862="",FALSE,TRUE)</formula>
    </cfRule>
  </conditionalFormatting>
  <conditionalFormatting sqref="W897">
    <cfRule type="expression" dxfId="214" priority="133">
      <formula>IF($V897="",FALSE,TRUE)</formula>
    </cfRule>
    <cfRule type="expression" dxfId="213" priority="134">
      <formula>IF($T897="",FALSE,TRUE)</formula>
    </cfRule>
  </conditionalFormatting>
  <conditionalFormatting sqref="L898">
    <cfRule type="expression" dxfId="212" priority="119">
      <formula>IF($V898="",FALSE,TRUE)</formula>
    </cfRule>
    <cfRule type="expression" dxfId="211" priority="120">
      <formula>IF($T898="",FALSE,TRUE)</formula>
    </cfRule>
  </conditionalFormatting>
  <conditionalFormatting sqref="A898:K898 M898:AA898 O899 Y899 A899:C899 T899:V899">
    <cfRule type="expression" dxfId="210" priority="117">
      <formula>IF($V898="",FALSE,TRUE)</formula>
    </cfRule>
    <cfRule type="expression" dxfId="209" priority="118">
      <formula>IF($T898="",FALSE,TRUE)</formula>
    </cfRule>
  </conditionalFormatting>
  <conditionalFormatting sqref="AB898">
    <cfRule type="expression" dxfId="208" priority="115">
      <formula>IF($V898="",FALSE,TRUE)</formula>
    </cfRule>
    <cfRule type="expression" dxfId="207" priority="116">
      <formula>IF($T898="",FALSE,TRUE)</formula>
    </cfRule>
  </conditionalFormatting>
  <conditionalFormatting sqref="L899">
    <cfRule type="expression" dxfId="206" priority="113">
      <formula>IF($V899="",FALSE,TRUE)</formula>
    </cfRule>
    <cfRule type="expression" dxfId="205" priority="114">
      <formula>IF($T899="",FALSE,TRUE)</formula>
    </cfRule>
  </conditionalFormatting>
  <conditionalFormatting sqref="M899:N899 P899:S899 Z899:AA899 D899:K899 W899:X899">
    <cfRule type="expression" dxfId="204" priority="111">
      <formula>IF($V899="",FALSE,TRUE)</formula>
    </cfRule>
    <cfRule type="expression" dxfId="203" priority="112">
      <formula>IF($T899="",FALSE,TRUE)</formula>
    </cfRule>
  </conditionalFormatting>
  <conditionalFormatting sqref="AB899">
    <cfRule type="expression" dxfId="202" priority="109">
      <formula>IF($V899="",FALSE,TRUE)</formula>
    </cfRule>
    <cfRule type="expression" dxfId="201" priority="110">
      <formula>IF($T899="",FALSE,TRUE)</formula>
    </cfRule>
  </conditionalFormatting>
  <conditionalFormatting sqref="O900 Y900 B900:C900 T900:U900 T901">
    <cfRule type="expression" dxfId="200" priority="77">
      <formula>IF($V900="",FALSE,TRUE)</formula>
    </cfRule>
    <cfRule type="expression" dxfId="199" priority="78">
      <formula>IF($T900="",FALSE,TRUE)</formula>
    </cfRule>
  </conditionalFormatting>
  <conditionalFormatting sqref="L900">
    <cfRule type="expression" dxfId="198" priority="75">
      <formula>IF($V900="",FALSE,TRUE)</formula>
    </cfRule>
    <cfRule type="expression" dxfId="197" priority="76">
      <formula>IF($T900="",FALSE,TRUE)</formula>
    </cfRule>
  </conditionalFormatting>
  <conditionalFormatting sqref="A900 M900:N900 P900:S900 Z900:AA900 D900:K900 V900:X900 Z901">
    <cfRule type="expression" dxfId="196" priority="73">
      <formula>IF($V900="",FALSE,TRUE)</formula>
    </cfRule>
    <cfRule type="expression" dxfId="195" priority="74">
      <formula>IF($T900="",FALSE,TRUE)</formula>
    </cfRule>
  </conditionalFormatting>
  <conditionalFormatting sqref="AB900">
    <cfRule type="expression" dxfId="194" priority="71">
      <formula>IF($V900="",FALSE,TRUE)</formula>
    </cfRule>
    <cfRule type="expression" dxfId="193" priority="72">
      <formula>IF($T900="",FALSE,TRUE)</formula>
    </cfRule>
  </conditionalFormatting>
  <conditionalFormatting sqref="A901:S901 AB901 U901:Y901">
    <cfRule type="expression" dxfId="192" priority="65">
      <formula>IF($V901="",FALSE,TRUE)</formula>
    </cfRule>
    <cfRule type="expression" dxfId="191" priority="66">
      <formula>IF($T901="",FALSE,TRUE)</formula>
    </cfRule>
  </conditionalFormatting>
  <conditionalFormatting sqref="AA901">
    <cfRule type="expression" dxfId="190" priority="59">
      <formula>IF($V901="",FALSE,TRUE)</formula>
    </cfRule>
    <cfRule type="expression" dxfId="189" priority="60">
      <formula>IF($T901="",FALSE,TRUE)</formula>
    </cfRule>
  </conditionalFormatting>
  <conditionalFormatting sqref="M872">
    <cfRule type="expression" dxfId="188" priority="57">
      <formula>IF($V872="",FALSE,TRUE)</formula>
    </cfRule>
    <cfRule type="expression" dxfId="187" priority="58">
      <formula>IF($T872="",FALSE,TRUE)</formula>
    </cfRule>
  </conditionalFormatting>
  <conditionalFormatting sqref="N872">
    <cfRule type="expression" dxfId="186" priority="55">
      <formula>IF($V872="",FALSE,TRUE)</formula>
    </cfRule>
    <cfRule type="expression" dxfId="185" priority="56">
      <formula>IF($T872="",FALSE,TRUE)</formula>
    </cfRule>
  </conditionalFormatting>
  <conditionalFormatting sqref="F872">
    <cfRule type="expression" dxfId="184" priority="53">
      <formula>IF($V872="",FALSE,TRUE)</formula>
    </cfRule>
    <cfRule type="expression" dxfId="183" priority="54">
      <formula>IF($T872="",FALSE,TRUE)</formula>
    </cfRule>
  </conditionalFormatting>
  <conditionalFormatting sqref="A872:C872">
    <cfRule type="expression" dxfId="182" priority="51">
      <formula>IF($V872="",FALSE,TRUE)</formula>
    </cfRule>
    <cfRule type="expression" dxfId="181" priority="52">
      <formula>IF($T872="",FALSE,TRUE)</formula>
    </cfRule>
  </conditionalFormatting>
  <conditionalFormatting sqref="AA844:AA846">
    <cfRule type="expression" dxfId="180" priority="45">
      <formula>IF($V844="",FALSE,TRUE)</formula>
    </cfRule>
    <cfRule type="expression" dxfId="179" priority="46">
      <formula>IF($T844="",FALSE,TRUE)</formula>
    </cfRule>
  </conditionalFormatting>
  <conditionalFormatting sqref="A902:AB902">
    <cfRule type="expression" dxfId="178" priority="47">
      <formula>IF($V902="",FALSE,TRUE)</formula>
    </cfRule>
    <cfRule type="expression" dxfId="177" priority="48">
      <formula>IF($T902="",FALSE,TRUE)</formula>
    </cfRule>
  </conditionalFormatting>
  <conditionalFormatting sqref="A903:AB906">
    <cfRule type="expression" dxfId="176" priority="37">
      <formula>IF($V903="",FALSE,TRUE)</formula>
    </cfRule>
    <cfRule type="expression" dxfId="175" priority="38">
      <formula>IF($T903="",FALSE,TRUE)</formula>
    </cfRule>
  </conditionalFormatting>
  <conditionalFormatting sqref="AA692">
    <cfRule type="expression" dxfId="174" priority="35">
      <formula>IF($V692="",FALSE,TRUE)</formula>
    </cfRule>
    <cfRule type="expression" dxfId="173" priority="36">
      <formula>IF($T692="",FALSE,TRUE)</formula>
    </cfRule>
  </conditionalFormatting>
  <conditionalFormatting sqref="AB907:AB908 A907:Z908">
    <cfRule type="expression" dxfId="172" priority="31">
      <formula>IF($V907="",FALSE,TRUE)</formula>
    </cfRule>
    <cfRule type="expression" dxfId="171" priority="32">
      <formula>IF($T907="",FALSE,TRUE)</formula>
    </cfRule>
  </conditionalFormatting>
  <conditionalFormatting sqref="AA907:AA908">
    <cfRule type="expression" dxfId="168" priority="29">
      <formula>IF($V907="",FALSE,TRUE)</formula>
    </cfRule>
    <cfRule type="expression" dxfId="167" priority="30">
      <formula>IF($T907="",FALSE,TRUE)</formula>
    </cfRule>
  </conditionalFormatting>
  <conditionalFormatting sqref="A910:V910 X910:Z910 AB910">
    <cfRule type="expression" dxfId="164" priority="3">
      <formula>IF($V910="",FALSE,TRUE)</formula>
    </cfRule>
    <cfRule type="expression" dxfId="163" priority="4">
      <formula>IF($T910="",FALSE,TRUE)</formula>
    </cfRule>
  </conditionalFormatting>
  <conditionalFormatting sqref="A909:AB909">
    <cfRule type="expression" dxfId="162" priority="13">
      <formula>IF($V909="",FALSE,TRUE)</formula>
    </cfRule>
    <cfRule type="expression" dxfId="161" priority="14">
      <formula>IF($T909="",FALSE,TRUE)</formula>
    </cfRule>
  </conditionalFormatting>
  <conditionalFormatting sqref="AA910">
    <cfRule type="expression" dxfId="160" priority="1">
      <formula>IF($V910="",FALSE,TRUE)</formula>
    </cfRule>
    <cfRule type="expression" dxfId="159" priority="2">
      <formula>IF($T910="",FALSE,TRUE)</formula>
    </cfRule>
  </conditionalFormatting>
  <conditionalFormatting sqref="W910">
    <cfRule type="expression" dxfId="152" priority="5">
      <formula>IF($V910="",FALSE,TRUE)</formula>
    </cfRule>
    <cfRule type="expression" dxfId="151" priority="6">
      <formula>IF($T910="",FALSE,TRUE)</formula>
    </cfRule>
  </conditionalFormatting>
  <pageMargins left="0.7" right="0.7" top="0.75" bottom="0.75" header="0.3" footer="0.3"/>
  <pageSetup paperSize="9" scale="11" orientation="portrait" r:id="rId1"/>
  <drawing r:id="rId2"/>
  <legacyDrawing r:id="rId3"/>
  <controls>
    <mc:AlternateContent xmlns:mc="http://schemas.openxmlformats.org/markup-compatibility/2006">
      <mc:Choice Requires="x14">
        <control shapeId="1058" r:id="rId4" name="Edit">
          <controlPr defaultSize="0" autoLine="0" r:id="rId5">
            <anchor moveWithCells="1">
              <from>
                <xdr:col>4</xdr:col>
                <xdr:colOff>1123950</xdr:colOff>
                <xdr:row>0</xdr:row>
                <xdr:rowOff>38100</xdr:rowOff>
              </from>
              <to>
                <xdr:col>5</xdr:col>
                <xdr:colOff>882650</xdr:colOff>
                <xdr:row>0</xdr:row>
                <xdr:rowOff>381000</xdr:rowOff>
              </to>
            </anchor>
          </controlPr>
        </control>
      </mc:Choice>
      <mc:Fallback>
        <control shapeId="1058" r:id="rId4" name="Edit"/>
      </mc:Fallback>
    </mc:AlternateContent>
    <mc:AlternateContent xmlns:mc="http://schemas.openxmlformats.org/markup-compatibility/2006">
      <mc:Choice Requires="x14">
        <control shapeId="1051" r:id="rId6" name="TextBox1">
          <controlPr defaultSize="0" autoLine="0" r:id="rId7">
            <anchor moveWithCells="1">
              <from>
                <xdr:col>7</xdr:col>
                <xdr:colOff>38100</xdr:colOff>
                <xdr:row>0</xdr:row>
                <xdr:rowOff>12700</xdr:rowOff>
              </from>
              <to>
                <xdr:col>7</xdr:col>
                <xdr:colOff>2736850</xdr:colOff>
                <xdr:row>0</xdr:row>
                <xdr:rowOff>374650</xdr:rowOff>
              </to>
            </anchor>
          </controlPr>
        </control>
      </mc:Choice>
      <mc:Fallback>
        <control shapeId="1051" r:id="rId6" name="TextBox1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F01E4575-120D-4B12-9982-1B5125D7E77E}">
          <x14:formula1>
            <xm:f>'\\smcmfg.com.vn\smcmfg\Production (生産)\Extrusion (押出)\8. YCBG\[1. Quotation Request(Mfg dept-Pur dept)..xlsm]Selection'!#REF!</xm:f>
          </x14:formula1>
          <xm:sqref>P176:P177 N158:N174 P161:P174 N411 N413 N415:N434 N462 N467:N468 N472:N477 N483 N561 N436:N460 N687:N689 N559 N497:N499 N564:N567 N664:N669 N572:N654 N506:N553 N185:N404 N691:N694 P692 N700:N727 N679:N680 N790:N794 N796 N798:N806 N810 N831:N841 N730:N788 N843:N847 N814:N824 N877 N882:N883 N886:N887 N889 N893:N894 N896 N898:N906 N910 P910</xm:sqref>
        </x14:dataValidation>
        <x14:dataValidation type="list" allowBlank="1" showInputMessage="1" showErrorMessage="1" xr:uid="{676FE075-3D6F-4649-AACC-95681881A528}">
          <x14:formula1>
            <xm:f>Data!#REF!</xm:f>
          </x14:formula1>
          <xm:sqref>P327:Q327 W327:X327</xm:sqref>
        </x14:dataValidation>
        <x14:dataValidation type="list" allowBlank="1" showInputMessage="1" showErrorMessage="1" xr:uid="{373B2198-66C8-45D9-9D45-45B3AEA76F3E}">
          <x14:formula1>
            <xm:f>'Z:\Production (生産)\Billet Casting (ビレット鋳造)\4. PR\[Quan ly dat hang tren SAP -220915.xlsm]Data'!#REF!</xm:f>
          </x14:formula1>
          <xm:sqref>P811:Q811 Q812:Q813 W811:X811</xm:sqref>
        </x14:dataValidation>
        <x14:dataValidation type="list" allowBlank="1" showInputMessage="1" showErrorMessage="1" xr:uid="{447153A4-1A61-41C3-A9B1-C6C88D355A23}">
          <x14:formula1>
            <xm:f>Data!$A:$A</xm:f>
          </x14:formula1>
          <xm:sqref>P5:Q135 P773:P774 P847:Q860 P776:Q788 Q844:Q846 P845:P846 P835:Q843 P814:Q814 P828:P829 P826 P824:Q824 Q815:Q823 Q810 Q730:Q770 P799:Q809 P797:P798 P771:Q772 P727:Q729 P690:Q690 P722:Q725 Q720:Q721 P716:Q719 Q664:Q685 Q714:Q715 P693:Q705 P713:Q713 Q712 P710:Q711 Q709 P708:Q708 P677 P665:P672 Q706:Q707 P186:Q403 P509:Q647 Q646:Q648 Q506:Q558 P485:P486 Q485:Q488 P491:Q498 P506 P503:Q505 Q501:Q502 Q499 P489:Q489 P449:Q473 Q474:Q479 P483:Q484 Q438:Q442 Q445:Q448 P443:Q444 P415:Q437 P413:Q413 P411:Q411 P158:P160 P154:Q157 P136:P153 Q148:Q153 Q136:Q138 P137:Q138 Q862:Q863 P862:P864 P875:Q877 P879:P881 P882:Q885 P886:P888 P790:P795 Q792:Q798 Q888:Q889 P890:Q896 Q897:Q899 P900:Q906 P909:Q909</xm:sqref>
        </x14:dataValidation>
        <x14:dataValidation type="list" allowBlank="1" showInputMessage="1" showErrorMessage="1" xr:uid="{9FC4F982-BF49-4416-89A9-CC505F99D927}">
          <x14:formula1>
            <xm:f>Data!$C:$C</xm:f>
          </x14:formula1>
          <xm:sqref>X410:X411 X847:X859 X835:X843 X828:X829 X809:X810 X415:X654 X5:X406 X413 X812:X824 X875:X878 X880:X885 X664:X807 X889:X899 X901:X910</xm:sqref>
        </x14:dataValidation>
        <x14:dataValidation type="list" allowBlank="1" showInputMessage="1" showErrorMessage="1" xr:uid="{90C8AF4D-94AB-404A-9EA9-D325E3063195}">
          <x14:formula1>
            <xm:f>Data!$B:$B</xm:f>
          </x14:formula1>
          <xm:sqref>W411 W795 W775 W562 W522:W532 W501:W520 W777 W488:W499 W463:W485 W436:W461 W433:W434 W415:W431 W413 W376:W398 W360:W374 W792:W793 W713:W719 W708:W709 W691:W695 W847 W875 W805:W807 W814 W593:W631 W670:W672 W789 W779 W768:W772 W534:W549 W698:W700 W572 W577 W633 W400:W409 W5:W110 W568:W569 W266:W355 W831:W836 W824 W112:W264 W635:W643 W842:W843 W677 W664 W553 W646:W647 W882 W884 W860 W890:W897 W900:W902 W907:W908 W910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DA71-0CA6-447B-8189-CA8350F591D2}">
  <dimension ref="A1:J13"/>
  <sheetViews>
    <sheetView workbookViewId="0">
      <selection activeCell="E4" sqref="E4"/>
    </sheetView>
  </sheetViews>
  <sheetFormatPr defaultRowHeight="14.5" x14ac:dyDescent="0.35"/>
  <cols>
    <col min="1" max="1" width="10.453125" style="307" bestFit="1" customWidth="1"/>
    <col min="2" max="3" width="8.7265625" style="2"/>
    <col min="4" max="4" width="12.6328125" style="2" bestFit="1" customWidth="1"/>
    <col min="5" max="5" width="8.7265625" style="2"/>
    <col min="6" max="6" width="12.36328125" style="2" bestFit="1" customWidth="1"/>
    <col min="7" max="16384" width="8.7265625" style="2"/>
  </cols>
  <sheetData>
    <row r="1" spans="1:10" s="305" customFormat="1" ht="29" x14ac:dyDescent="0.35">
      <c r="A1" s="303" t="s">
        <v>3629</v>
      </c>
      <c r="B1" s="304" t="s">
        <v>3630</v>
      </c>
      <c r="C1" s="308" t="s">
        <v>3636</v>
      </c>
      <c r="D1" s="304" t="s">
        <v>3631</v>
      </c>
      <c r="E1" s="304" t="s">
        <v>3633</v>
      </c>
      <c r="F1" s="304" t="s">
        <v>3650</v>
      </c>
      <c r="H1" s="310" t="s">
        <v>3652</v>
      </c>
      <c r="I1" s="311">
        <f>SUM(C:C)</f>
        <v>20</v>
      </c>
      <c r="J1" s="312" t="s">
        <v>46</v>
      </c>
    </row>
    <row r="2" spans="1:10" x14ac:dyDescent="0.35">
      <c r="A2" s="306">
        <v>45037</v>
      </c>
      <c r="B2" s="1" t="s">
        <v>3632</v>
      </c>
      <c r="C2" s="1">
        <v>20</v>
      </c>
      <c r="D2" s="1" t="s">
        <v>3635</v>
      </c>
      <c r="E2" s="1" t="s">
        <v>3634</v>
      </c>
      <c r="F2" s="1" t="s">
        <v>3651</v>
      </c>
    </row>
    <row r="3" spans="1:10" x14ac:dyDescent="0.35">
      <c r="A3" s="306"/>
      <c r="B3" s="1"/>
      <c r="C3" s="1"/>
      <c r="D3" s="1"/>
      <c r="E3" s="1"/>
      <c r="F3" s="1"/>
    </row>
    <row r="4" spans="1:10" x14ac:dyDescent="0.35">
      <c r="A4" s="306"/>
      <c r="B4" s="1"/>
      <c r="C4" s="1"/>
      <c r="D4" s="1"/>
      <c r="E4" s="1"/>
      <c r="F4" s="1"/>
    </row>
    <row r="5" spans="1:10" x14ac:dyDescent="0.35">
      <c r="A5" s="306"/>
      <c r="B5" s="1"/>
      <c r="C5" s="1"/>
      <c r="D5" s="1"/>
      <c r="E5" s="1"/>
      <c r="F5" s="1"/>
    </row>
    <row r="6" spans="1:10" x14ac:dyDescent="0.35">
      <c r="A6" s="306"/>
      <c r="B6" s="1"/>
      <c r="C6" s="1"/>
      <c r="D6" s="1"/>
      <c r="E6" s="1"/>
      <c r="F6" s="1"/>
    </row>
    <row r="7" spans="1:10" x14ac:dyDescent="0.35">
      <c r="A7" s="306"/>
      <c r="B7" s="1"/>
      <c r="C7" s="1"/>
      <c r="D7" s="1"/>
      <c r="E7" s="1"/>
      <c r="F7" s="1"/>
    </row>
    <row r="8" spans="1:10" x14ac:dyDescent="0.35">
      <c r="A8" s="306"/>
      <c r="B8" s="1"/>
      <c r="C8" s="1"/>
      <c r="D8" s="1"/>
      <c r="E8" s="1"/>
      <c r="F8" s="1"/>
    </row>
    <row r="9" spans="1:10" x14ac:dyDescent="0.35">
      <c r="A9" s="306"/>
      <c r="B9" s="1"/>
      <c r="C9" s="1"/>
      <c r="D9" s="1"/>
      <c r="E9" s="1"/>
      <c r="F9" s="1"/>
    </row>
    <row r="10" spans="1:10" x14ac:dyDescent="0.35">
      <c r="A10" s="306"/>
      <c r="B10" s="1"/>
      <c r="C10" s="1"/>
      <c r="D10" s="1"/>
      <c r="E10" s="1"/>
      <c r="F10" s="1"/>
    </row>
    <row r="11" spans="1:10" x14ac:dyDescent="0.35">
      <c r="A11" s="306"/>
      <c r="B11" s="1"/>
      <c r="C11" s="1"/>
      <c r="D11" s="1"/>
      <c r="E11" s="1"/>
      <c r="F11" s="1"/>
    </row>
    <row r="12" spans="1:10" x14ac:dyDescent="0.35">
      <c r="A12" s="306"/>
      <c r="B12" s="1"/>
      <c r="C12" s="1"/>
      <c r="D12" s="1"/>
      <c r="E12" s="1"/>
      <c r="F12" s="1"/>
    </row>
    <row r="13" spans="1:10" x14ac:dyDescent="0.35">
      <c r="A13" s="306"/>
      <c r="B13" s="1"/>
      <c r="C13" s="1"/>
      <c r="D13" s="1"/>
      <c r="E13" s="1"/>
      <c r="F1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AE0D-A699-4FF8-B254-91853562E796}">
  <sheetPr codeName="Sheet3"/>
  <dimension ref="A1:O113"/>
  <sheetViews>
    <sheetView zoomScale="85" zoomScaleNormal="85" workbookViewId="0">
      <pane xSplit="6" ySplit="2" topLeftCell="G93" activePane="bottomRight" state="frozen"/>
      <selection activeCell="H28" sqref="H28"/>
      <selection pane="topRight" activeCell="H28" sqref="H28"/>
      <selection pane="bottomLeft" activeCell="H28" sqref="H28"/>
      <selection pane="bottomRight" activeCell="F105" sqref="F105"/>
    </sheetView>
  </sheetViews>
  <sheetFormatPr defaultColWidth="8.7265625" defaultRowHeight="14.5" x14ac:dyDescent="0.35"/>
  <cols>
    <col min="1" max="1" width="5.453125" style="22" bestFit="1" customWidth="1"/>
    <col min="2" max="2" width="11.1796875" style="56" bestFit="1" customWidth="1"/>
    <col min="3" max="3" width="14.1796875" style="22" bestFit="1" customWidth="1"/>
    <col min="4" max="4" width="13.54296875" style="1" customWidth="1"/>
    <col min="5" max="5" width="27.1796875" style="1" bestFit="1" customWidth="1"/>
    <col min="6" max="6" width="45.453125" style="29" bestFit="1" customWidth="1"/>
    <col min="7" max="7" width="13.81640625" style="1" bestFit="1" customWidth="1"/>
    <col min="8" max="8" width="19.26953125" style="56" customWidth="1"/>
    <col min="9" max="9" width="13.81640625" style="56" customWidth="1"/>
    <col min="10" max="10" width="7.7265625" style="57" bestFit="1" customWidth="1"/>
    <col min="11" max="11" width="25.26953125" style="18" bestFit="1" customWidth="1"/>
    <col min="12" max="12" width="28" style="18" hidden="1" customWidth="1"/>
    <col min="13" max="13" width="21.453125" style="18" hidden="1" customWidth="1"/>
    <col min="14" max="14" width="34.26953125" style="18" customWidth="1"/>
    <col min="15" max="15" width="12.26953125" style="18" bestFit="1" customWidth="1"/>
    <col min="16" max="16384" width="8.7265625" style="18"/>
  </cols>
  <sheetData>
    <row r="1" spans="1:15" x14ac:dyDescent="0.35">
      <c r="E1" s="29"/>
    </row>
    <row r="2" spans="1:15" ht="29" x14ac:dyDescent="0.35">
      <c r="A2" s="22" t="s">
        <v>183</v>
      </c>
      <c r="B2" s="60" t="s">
        <v>580</v>
      </c>
      <c r="C2" s="22" t="s">
        <v>184</v>
      </c>
      <c r="D2" s="1" t="s">
        <v>205</v>
      </c>
      <c r="E2" s="3" t="s">
        <v>181</v>
      </c>
      <c r="F2" s="3" t="s">
        <v>182</v>
      </c>
      <c r="G2" s="1" t="s">
        <v>185</v>
      </c>
      <c r="H2" s="56" t="s">
        <v>2260</v>
      </c>
      <c r="I2" s="56" t="s">
        <v>186</v>
      </c>
      <c r="J2" s="57" t="s">
        <v>199</v>
      </c>
      <c r="K2" s="58" t="s">
        <v>371</v>
      </c>
      <c r="L2" s="58" t="s">
        <v>372</v>
      </c>
      <c r="M2" s="58" t="s">
        <v>377</v>
      </c>
      <c r="N2" s="58" t="s">
        <v>725</v>
      </c>
      <c r="O2" s="58" t="s">
        <v>1420</v>
      </c>
    </row>
    <row r="3" spans="1:15" x14ac:dyDescent="0.35">
      <c r="A3" s="63">
        <v>1</v>
      </c>
      <c r="B3" s="64">
        <v>43970</v>
      </c>
      <c r="C3" s="63" t="s">
        <v>187</v>
      </c>
      <c r="D3" s="65" t="s">
        <v>206</v>
      </c>
      <c r="E3" s="66" t="s">
        <v>119</v>
      </c>
      <c r="F3" s="66" t="s">
        <v>115</v>
      </c>
      <c r="G3" s="65">
        <v>2</v>
      </c>
      <c r="H3" s="64">
        <v>44015</v>
      </c>
      <c r="I3" s="64">
        <v>44062</v>
      </c>
      <c r="J3" s="69"/>
      <c r="K3" s="70"/>
      <c r="L3" s="70"/>
      <c r="M3" s="70"/>
      <c r="N3" s="112"/>
      <c r="O3" s="112"/>
    </row>
    <row r="4" spans="1:15" x14ac:dyDescent="0.35">
      <c r="A4" s="63">
        <v>2</v>
      </c>
      <c r="B4" s="64">
        <v>43970</v>
      </c>
      <c r="C4" s="63" t="s">
        <v>187</v>
      </c>
      <c r="D4" s="65" t="s">
        <v>206</v>
      </c>
      <c r="E4" s="66" t="s">
        <v>120</v>
      </c>
      <c r="F4" s="66" t="s">
        <v>116</v>
      </c>
      <c r="G4" s="65">
        <v>1</v>
      </c>
      <c r="H4" s="64">
        <v>44015</v>
      </c>
      <c r="I4" s="64">
        <v>44062</v>
      </c>
      <c r="J4" s="69"/>
      <c r="K4" s="63"/>
      <c r="L4" s="63"/>
      <c r="M4" s="63"/>
      <c r="N4" s="22"/>
      <c r="O4" s="22"/>
    </row>
    <row r="5" spans="1:15" x14ac:dyDescent="0.35">
      <c r="A5" s="63">
        <v>3</v>
      </c>
      <c r="B5" s="64">
        <v>44004</v>
      </c>
      <c r="C5" s="63" t="s">
        <v>190</v>
      </c>
      <c r="D5" s="65" t="s">
        <v>206</v>
      </c>
      <c r="E5" s="67" t="s">
        <v>188</v>
      </c>
      <c r="F5" s="148" t="s">
        <v>189</v>
      </c>
      <c r="G5" s="65">
        <v>2</v>
      </c>
      <c r="H5" s="64">
        <v>44048</v>
      </c>
      <c r="I5" s="64">
        <v>44152</v>
      </c>
      <c r="J5" s="69"/>
      <c r="K5" s="63"/>
      <c r="L5" s="63"/>
      <c r="M5" s="63"/>
      <c r="N5" s="22"/>
      <c r="O5" s="22"/>
    </row>
    <row r="6" spans="1:15" x14ac:dyDescent="0.35">
      <c r="A6" s="63">
        <v>4</v>
      </c>
      <c r="B6" s="64">
        <v>44011</v>
      </c>
      <c r="C6" s="63" t="s">
        <v>198</v>
      </c>
      <c r="D6" s="65" t="s">
        <v>206</v>
      </c>
      <c r="E6" s="67" t="s">
        <v>117</v>
      </c>
      <c r="F6" s="67" t="s">
        <v>111</v>
      </c>
      <c r="G6" s="65">
        <v>50</v>
      </c>
      <c r="H6" s="64">
        <v>44011</v>
      </c>
      <c r="I6" s="64">
        <v>44081</v>
      </c>
      <c r="J6" s="69" t="s">
        <v>200</v>
      </c>
      <c r="K6" s="63"/>
      <c r="L6" s="63"/>
      <c r="M6" s="63"/>
      <c r="N6" s="22"/>
      <c r="O6" s="22"/>
    </row>
    <row r="7" spans="1:15" x14ac:dyDescent="0.35">
      <c r="A7" s="63">
        <v>5</v>
      </c>
      <c r="B7" s="64">
        <v>44011</v>
      </c>
      <c r="C7" s="63" t="s">
        <v>198</v>
      </c>
      <c r="D7" s="65" t="s">
        <v>206</v>
      </c>
      <c r="E7" s="67" t="s">
        <v>117</v>
      </c>
      <c r="F7" s="67" t="s">
        <v>112</v>
      </c>
      <c r="G7" s="65">
        <v>10</v>
      </c>
      <c r="H7" s="64">
        <v>44011</v>
      </c>
      <c r="I7" s="64">
        <v>44081</v>
      </c>
      <c r="J7" s="69" t="s">
        <v>200</v>
      </c>
      <c r="K7" s="63"/>
      <c r="L7" s="63"/>
      <c r="M7" s="63"/>
      <c r="N7" s="22"/>
      <c r="O7" s="22"/>
    </row>
    <row r="8" spans="1:15" x14ac:dyDescent="0.35">
      <c r="A8" s="63">
        <v>6</v>
      </c>
      <c r="B8" s="64">
        <v>44011</v>
      </c>
      <c r="C8" s="63" t="s">
        <v>198</v>
      </c>
      <c r="D8" s="65" t="s">
        <v>206</v>
      </c>
      <c r="E8" s="67" t="s">
        <v>117</v>
      </c>
      <c r="F8" s="67" t="s">
        <v>113</v>
      </c>
      <c r="G8" s="65">
        <v>10</v>
      </c>
      <c r="H8" s="64">
        <v>44011</v>
      </c>
      <c r="I8" s="64">
        <v>44081</v>
      </c>
      <c r="J8" s="69" t="s">
        <v>200</v>
      </c>
      <c r="K8" s="63"/>
      <c r="L8" s="63"/>
      <c r="M8" s="63"/>
      <c r="N8" s="22"/>
      <c r="O8" s="22"/>
    </row>
    <row r="9" spans="1:15" x14ac:dyDescent="0.35">
      <c r="A9" s="63">
        <v>7</v>
      </c>
      <c r="B9" s="64">
        <v>44050</v>
      </c>
      <c r="C9" s="63" t="s">
        <v>201</v>
      </c>
      <c r="D9" s="65" t="s">
        <v>206</v>
      </c>
      <c r="E9" s="67" t="s">
        <v>118</v>
      </c>
      <c r="F9" s="67" t="s">
        <v>114</v>
      </c>
      <c r="G9" s="65">
        <v>2</v>
      </c>
      <c r="H9" s="64">
        <v>44120</v>
      </c>
      <c r="I9" s="64">
        <v>44152</v>
      </c>
      <c r="J9" s="69" t="s">
        <v>203</v>
      </c>
      <c r="K9" s="63"/>
      <c r="L9" s="63"/>
      <c r="M9" s="63" t="s">
        <v>382</v>
      </c>
      <c r="N9" s="22" t="s">
        <v>1343</v>
      </c>
      <c r="O9" s="22"/>
    </row>
    <row r="10" spans="1:15" x14ac:dyDescent="0.35">
      <c r="A10" s="63">
        <v>8</v>
      </c>
      <c r="B10" s="64">
        <v>44095</v>
      </c>
      <c r="C10" s="63" t="s">
        <v>202</v>
      </c>
      <c r="D10" s="65" t="s">
        <v>206</v>
      </c>
      <c r="E10" s="67" t="s">
        <v>188</v>
      </c>
      <c r="F10" s="68" t="s">
        <v>189</v>
      </c>
      <c r="G10" s="65">
        <v>2</v>
      </c>
      <c r="H10" s="64">
        <v>44124</v>
      </c>
      <c r="I10" s="64">
        <v>44152</v>
      </c>
      <c r="J10" s="69" t="s">
        <v>203</v>
      </c>
      <c r="K10" s="63"/>
      <c r="L10" s="63"/>
      <c r="M10" s="63"/>
      <c r="N10" s="22"/>
      <c r="O10" s="22"/>
    </row>
    <row r="11" spans="1:15" x14ac:dyDescent="0.35">
      <c r="A11" s="63">
        <v>9</v>
      </c>
      <c r="B11" s="64">
        <v>44153</v>
      </c>
      <c r="C11" s="63" t="s">
        <v>204</v>
      </c>
      <c r="D11" s="65" t="s">
        <v>207</v>
      </c>
      <c r="E11" s="67" t="s">
        <v>196</v>
      </c>
      <c r="F11" s="67" t="s">
        <v>197</v>
      </c>
      <c r="G11" s="65">
        <v>2</v>
      </c>
      <c r="H11" s="64">
        <v>44193</v>
      </c>
      <c r="I11" s="64">
        <v>43922</v>
      </c>
      <c r="J11" s="69" t="s">
        <v>329</v>
      </c>
      <c r="K11" s="63"/>
      <c r="L11" s="63"/>
      <c r="M11" s="63"/>
      <c r="N11" s="22"/>
      <c r="O11" s="22"/>
    </row>
    <row r="12" spans="1:15" x14ac:dyDescent="0.35">
      <c r="A12" s="63">
        <v>10</v>
      </c>
      <c r="B12" s="64">
        <v>44181</v>
      </c>
      <c r="C12" s="63" t="s">
        <v>287</v>
      </c>
      <c r="D12" s="65" t="s">
        <v>207</v>
      </c>
      <c r="E12" s="67" t="s">
        <v>118</v>
      </c>
      <c r="F12" s="67" t="s">
        <v>288</v>
      </c>
      <c r="G12" s="65">
        <v>2</v>
      </c>
      <c r="H12" s="64">
        <v>43851</v>
      </c>
      <c r="I12" s="64">
        <v>44228</v>
      </c>
      <c r="J12" s="69" t="s">
        <v>357</v>
      </c>
      <c r="K12" s="63"/>
      <c r="L12" s="63"/>
      <c r="M12" s="63" t="s">
        <v>381</v>
      </c>
      <c r="N12" s="22"/>
      <c r="O12" s="22"/>
    </row>
    <row r="13" spans="1:15" x14ac:dyDescent="0.35">
      <c r="A13" s="63">
        <v>11</v>
      </c>
      <c r="B13" s="64">
        <v>44181</v>
      </c>
      <c r="C13" s="63" t="s">
        <v>287</v>
      </c>
      <c r="D13" s="65" t="s">
        <v>207</v>
      </c>
      <c r="E13" s="67" t="s">
        <v>289</v>
      </c>
      <c r="F13" s="67" t="s">
        <v>290</v>
      </c>
      <c r="G13" s="65">
        <v>1</v>
      </c>
      <c r="H13" s="64">
        <v>43851</v>
      </c>
      <c r="I13" s="64">
        <v>44228</v>
      </c>
      <c r="J13" s="69" t="s">
        <v>357</v>
      </c>
      <c r="K13" s="63"/>
      <c r="L13" s="63"/>
      <c r="M13" s="63" t="s">
        <v>382</v>
      </c>
      <c r="N13" s="22"/>
      <c r="O13" s="22"/>
    </row>
    <row r="14" spans="1:15" x14ac:dyDescent="0.35">
      <c r="A14" s="63">
        <v>12</v>
      </c>
      <c r="B14" s="64">
        <v>44181</v>
      </c>
      <c r="C14" s="63" t="s">
        <v>287</v>
      </c>
      <c r="D14" s="65" t="s">
        <v>207</v>
      </c>
      <c r="E14" s="67" t="s">
        <v>117</v>
      </c>
      <c r="F14" s="67" t="s">
        <v>291</v>
      </c>
      <c r="G14" s="65">
        <v>3</v>
      </c>
      <c r="H14" s="64">
        <v>43851</v>
      </c>
      <c r="I14" s="64">
        <v>44228</v>
      </c>
      <c r="J14" s="69" t="s">
        <v>357</v>
      </c>
      <c r="K14" s="63"/>
      <c r="L14" s="63"/>
      <c r="M14" s="63" t="s">
        <v>383</v>
      </c>
      <c r="N14" s="22"/>
      <c r="O14" s="22"/>
    </row>
    <row r="15" spans="1:15" x14ac:dyDescent="0.35">
      <c r="A15" s="63">
        <v>13</v>
      </c>
      <c r="B15" s="64">
        <v>44181</v>
      </c>
      <c r="C15" s="63" t="s">
        <v>287</v>
      </c>
      <c r="D15" s="65" t="s">
        <v>207</v>
      </c>
      <c r="E15" s="67" t="s">
        <v>292</v>
      </c>
      <c r="F15" s="67" t="s">
        <v>293</v>
      </c>
      <c r="G15" s="65">
        <v>4</v>
      </c>
      <c r="H15" s="64">
        <v>43851</v>
      </c>
      <c r="I15" s="64">
        <v>44228</v>
      </c>
      <c r="J15" s="69" t="s">
        <v>357</v>
      </c>
      <c r="K15" s="63"/>
      <c r="L15" s="63"/>
      <c r="M15" s="63" t="s">
        <v>384</v>
      </c>
      <c r="N15" s="22"/>
      <c r="O15" s="22"/>
    </row>
    <row r="16" spans="1:15" x14ac:dyDescent="0.35">
      <c r="A16" s="63">
        <v>14</v>
      </c>
      <c r="B16" s="64">
        <v>44181</v>
      </c>
      <c r="C16" s="63" t="s">
        <v>287</v>
      </c>
      <c r="D16" s="65" t="s">
        <v>207</v>
      </c>
      <c r="E16" s="67" t="s">
        <v>117</v>
      </c>
      <c r="F16" s="67" t="s">
        <v>294</v>
      </c>
      <c r="G16" s="65">
        <v>2</v>
      </c>
      <c r="H16" s="64">
        <v>43851</v>
      </c>
      <c r="I16" s="64">
        <v>44228</v>
      </c>
      <c r="J16" s="69" t="s">
        <v>357</v>
      </c>
      <c r="K16" s="63"/>
      <c r="L16" s="63"/>
      <c r="M16" s="63" t="s">
        <v>385</v>
      </c>
      <c r="N16" s="22"/>
      <c r="O16" s="22"/>
    </row>
    <row r="17" spans="1:15" x14ac:dyDescent="0.35">
      <c r="A17" s="63">
        <v>15</v>
      </c>
      <c r="B17" s="64">
        <v>44181</v>
      </c>
      <c r="C17" s="63" t="s">
        <v>287</v>
      </c>
      <c r="D17" s="65" t="s">
        <v>207</v>
      </c>
      <c r="E17" s="67" t="s">
        <v>295</v>
      </c>
      <c r="F17" s="67" t="s">
        <v>296</v>
      </c>
      <c r="G17" s="65">
        <v>2</v>
      </c>
      <c r="H17" s="64">
        <v>43851</v>
      </c>
      <c r="I17" s="64">
        <v>44228</v>
      </c>
      <c r="J17" s="69" t="s">
        <v>357</v>
      </c>
      <c r="K17" s="63"/>
      <c r="L17" s="63"/>
      <c r="M17" s="63" t="s">
        <v>386</v>
      </c>
      <c r="N17" s="22"/>
      <c r="O17" s="22"/>
    </row>
    <row r="18" spans="1:15" x14ac:dyDescent="0.35">
      <c r="A18" s="63">
        <v>16</v>
      </c>
      <c r="B18" s="64">
        <v>44181</v>
      </c>
      <c r="C18" s="63" t="s">
        <v>287</v>
      </c>
      <c r="D18" s="65" t="s">
        <v>207</v>
      </c>
      <c r="E18" s="67" t="s">
        <v>297</v>
      </c>
      <c r="F18" s="67" t="s">
        <v>298</v>
      </c>
      <c r="G18" s="65">
        <v>1</v>
      </c>
      <c r="H18" s="64">
        <v>43851</v>
      </c>
      <c r="I18" s="64">
        <v>44228</v>
      </c>
      <c r="J18" s="69" t="s">
        <v>357</v>
      </c>
      <c r="K18" s="63"/>
      <c r="L18" s="63"/>
      <c r="M18" s="63" t="s">
        <v>387</v>
      </c>
      <c r="N18" s="22"/>
      <c r="O18" s="22"/>
    </row>
    <row r="19" spans="1:15" x14ac:dyDescent="0.35">
      <c r="A19" s="63">
        <v>17</v>
      </c>
      <c r="B19" s="64">
        <v>44223</v>
      </c>
      <c r="C19" s="63" t="s">
        <v>365</v>
      </c>
      <c r="D19" s="65" t="s">
        <v>206</v>
      </c>
      <c r="E19" s="67" t="s">
        <v>364</v>
      </c>
      <c r="F19" s="67" t="s">
        <v>358</v>
      </c>
      <c r="G19" s="65">
        <v>3</v>
      </c>
      <c r="H19" s="64">
        <v>44265</v>
      </c>
      <c r="I19" s="64">
        <v>44299</v>
      </c>
      <c r="J19" s="69" t="s">
        <v>590</v>
      </c>
      <c r="K19" s="63" t="s">
        <v>591</v>
      </c>
      <c r="L19" s="63" t="s">
        <v>592</v>
      </c>
      <c r="M19" s="63" t="s">
        <v>373</v>
      </c>
      <c r="N19" s="22"/>
      <c r="O19" s="22"/>
    </row>
    <row r="20" spans="1:15" x14ac:dyDescent="0.35">
      <c r="A20" s="63">
        <v>18</v>
      </c>
      <c r="B20" s="64">
        <v>44223</v>
      </c>
      <c r="C20" s="63" t="s">
        <v>365</v>
      </c>
      <c r="D20" s="65" t="s">
        <v>206</v>
      </c>
      <c r="E20" s="67" t="s">
        <v>117</v>
      </c>
      <c r="F20" s="67" t="s">
        <v>359</v>
      </c>
      <c r="G20" s="65">
        <v>20</v>
      </c>
      <c r="H20" s="64">
        <v>44265</v>
      </c>
      <c r="I20" s="64">
        <v>44299</v>
      </c>
      <c r="J20" s="69" t="s">
        <v>590</v>
      </c>
      <c r="K20" s="63" t="s">
        <v>582</v>
      </c>
      <c r="L20" s="63" t="s">
        <v>583</v>
      </c>
      <c r="M20" s="63" t="s">
        <v>374</v>
      </c>
      <c r="N20" s="22"/>
      <c r="O20" s="22"/>
    </row>
    <row r="21" spans="1:15" x14ac:dyDescent="0.35">
      <c r="A21" s="63">
        <v>19</v>
      </c>
      <c r="B21" s="64">
        <v>44223</v>
      </c>
      <c r="C21" s="63" t="s">
        <v>365</v>
      </c>
      <c r="D21" s="65" t="s">
        <v>206</v>
      </c>
      <c r="E21" s="67" t="s">
        <v>117</v>
      </c>
      <c r="F21" s="67" t="s">
        <v>360</v>
      </c>
      <c r="G21" s="65">
        <v>20</v>
      </c>
      <c r="H21" s="64">
        <v>44265</v>
      </c>
      <c r="I21" s="64">
        <v>44299</v>
      </c>
      <c r="J21" s="69" t="s">
        <v>590</v>
      </c>
      <c r="K21" s="63" t="s">
        <v>582</v>
      </c>
      <c r="L21" s="63" t="s">
        <v>583</v>
      </c>
      <c r="M21" s="63" t="s">
        <v>375</v>
      </c>
      <c r="N21" s="22"/>
      <c r="O21" s="22"/>
    </row>
    <row r="22" spans="1:15" x14ac:dyDescent="0.35">
      <c r="A22" s="63">
        <v>20</v>
      </c>
      <c r="B22" s="64">
        <v>44223</v>
      </c>
      <c r="C22" s="63" t="s">
        <v>365</v>
      </c>
      <c r="D22" s="65" t="s">
        <v>206</v>
      </c>
      <c r="E22" s="66" t="s">
        <v>117</v>
      </c>
      <c r="F22" s="66" t="s">
        <v>361</v>
      </c>
      <c r="G22" s="65">
        <v>40</v>
      </c>
      <c r="H22" s="64">
        <v>44265</v>
      </c>
      <c r="I22" s="64">
        <v>44299</v>
      </c>
      <c r="J22" s="69" t="s">
        <v>590</v>
      </c>
      <c r="K22" s="63" t="s">
        <v>582</v>
      </c>
      <c r="L22" s="63" t="s">
        <v>594</v>
      </c>
      <c r="M22" s="63" t="s">
        <v>376</v>
      </c>
      <c r="N22" s="22"/>
      <c r="O22" s="22"/>
    </row>
    <row r="23" spans="1:15" x14ac:dyDescent="0.35">
      <c r="A23" s="63">
        <v>21</v>
      </c>
      <c r="B23" s="64">
        <v>44223</v>
      </c>
      <c r="C23" s="63" t="s">
        <v>365</v>
      </c>
      <c r="D23" s="65" t="s">
        <v>206</v>
      </c>
      <c r="E23" s="66" t="s">
        <v>117</v>
      </c>
      <c r="F23" s="66" t="s">
        <v>362</v>
      </c>
      <c r="G23" s="65">
        <v>40</v>
      </c>
      <c r="H23" s="64">
        <v>44265</v>
      </c>
      <c r="I23" s="64">
        <v>44299</v>
      </c>
      <c r="J23" s="69" t="s">
        <v>590</v>
      </c>
      <c r="K23" s="63" t="s">
        <v>582</v>
      </c>
      <c r="L23" s="63" t="s">
        <v>594</v>
      </c>
      <c r="M23" s="63" t="s">
        <v>376</v>
      </c>
      <c r="N23" s="22"/>
      <c r="O23" s="22"/>
    </row>
    <row r="24" spans="1:15" x14ac:dyDescent="0.35">
      <c r="A24" s="63">
        <v>22</v>
      </c>
      <c r="B24" s="64">
        <v>44223</v>
      </c>
      <c r="C24" s="63" t="s">
        <v>365</v>
      </c>
      <c r="D24" s="65" t="s">
        <v>206</v>
      </c>
      <c r="E24" s="66" t="s">
        <v>117</v>
      </c>
      <c r="F24" s="66" t="s">
        <v>363</v>
      </c>
      <c r="G24" s="65">
        <v>40</v>
      </c>
      <c r="H24" s="64">
        <v>44265</v>
      </c>
      <c r="I24" s="64">
        <v>44299</v>
      </c>
      <c r="J24" s="69" t="s">
        <v>590</v>
      </c>
      <c r="K24" s="63" t="s">
        <v>582</v>
      </c>
      <c r="L24" s="63" t="s">
        <v>594</v>
      </c>
      <c r="M24" s="63" t="s">
        <v>376</v>
      </c>
      <c r="N24" s="22"/>
      <c r="O24" s="22"/>
    </row>
    <row r="25" spans="1:15" x14ac:dyDescent="0.35">
      <c r="A25" s="63">
        <v>23</v>
      </c>
      <c r="B25" s="64">
        <v>44229</v>
      </c>
      <c r="C25" s="63" t="s">
        <v>369</v>
      </c>
      <c r="D25" s="65" t="s">
        <v>206</v>
      </c>
      <c r="E25" s="66" t="s">
        <v>633</v>
      </c>
      <c r="F25" s="66" t="s">
        <v>366</v>
      </c>
      <c r="G25" s="65">
        <v>3</v>
      </c>
      <c r="H25" s="64">
        <v>44271</v>
      </c>
      <c r="I25" s="64">
        <v>44299</v>
      </c>
      <c r="J25" s="69" t="s">
        <v>590</v>
      </c>
      <c r="K25" s="63" t="s">
        <v>584</v>
      </c>
      <c r="L25" s="63" t="s">
        <v>585</v>
      </c>
      <c r="M25" s="63" t="s">
        <v>378</v>
      </c>
      <c r="N25" s="22"/>
      <c r="O25" s="22"/>
    </row>
    <row r="26" spans="1:15" x14ac:dyDescent="0.35">
      <c r="A26" s="63">
        <v>24</v>
      </c>
      <c r="B26" s="64">
        <v>44229</v>
      </c>
      <c r="C26" s="63" t="s">
        <v>369</v>
      </c>
      <c r="D26" s="65" t="s">
        <v>206</v>
      </c>
      <c r="E26" s="66" t="s">
        <v>368</v>
      </c>
      <c r="F26" s="66" t="s">
        <v>367</v>
      </c>
      <c r="G26" s="65">
        <v>2</v>
      </c>
      <c r="H26" s="64">
        <v>44271</v>
      </c>
      <c r="I26" s="64">
        <v>44299</v>
      </c>
      <c r="J26" s="69" t="s">
        <v>590</v>
      </c>
      <c r="K26" s="63" t="s">
        <v>370</v>
      </c>
      <c r="L26" s="63" t="s">
        <v>593</v>
      </c>
      <c r="M26" s="63" t="s">
        <v>379</v>
      </c>
      <c r="N26" s="22"/>
      <c r="O26" s="22"/>
    </row>
    <row r="27" spans="1:15" x14ac:dyDescent="0.35">
      <c r="A27" s="63">
        <v>25</v>
      </c>
      <c r="B27" s="64">
        <v>44229</v>
      </c>
      <c r="C27" s="63" t="s">
        <v>369</v>
      </c>
      <c r="D27" s="65" t="s">
        <v>206</v>
      </c>
      <c r="E27" s="68" t="s">
        <v>632</v>
      </c>
      <c r="F27" s="66" t="s">
        <v>391</v>
      </c>
      <c r="G27" s="65">
        <v>10</v>
      </c>
      <c r="H27" s="64">
        <v>44271</v>
      </c>
      <c r="I27" s="64">
        <v>44299</v>
      </c>
      <c r="J27" s="69" t="s">
        <v>590</v>
      </c>
      <c r="K27" s="63" t="s">
        <v>586</v>
      </c>
      <c r="L27" s="63" t="s">
        <v>587</v>
      </c>
      <c r="M27" s="63" t="s">
        <v>380</v>
      </c>
      <c r="N27" s="22"/>
      <c r="O27" s="22"/>
    </row>
    <row r="28" spans="1:15" x14ac:dyDescent="0.35">
      <c r="A28" s="63">
        <v>26</v>
      </c>
      <c r="B28" s="64">
        <v>44254</v>
      </c>
      <c r="C28" s="63" t="s">
        <v>414</v>
      </c>
      <c r="D28" s="65" t="s">
        <v>206</v>
      </c>
      <c r="E28" s="66" t="s">
        <v>406</v>
      </c>
      <c r="F28" s="66" t="s">
        <v>393</v>
      </c>
      <c r="G28" s="65">
        <v>10</v>
      </c>
      <c r="H28" s="64">
        <v>44294</v>
      </c>
      <c r="I28" s="64">
        <v>44327</v>
      </c>
      <c r="J28" s="69" t="s">
        <v>650</v>
      </c>
      <c r="K28" s="63" t="s">
        <v>582</v>
      </c>
      <c r="L28" s="63" t="s">
        <v>594</v>
      </c>
      <c r="M28" s="63" t="s">
        <v>567</v>
      </c>
      <c r="N28" s="22" t="s">
        <v>727</v>
      </c>
      <c r="O28" s="22"/>
    </row>
    <row r="29" spans="1:15" x14ac:dyDescent="0.35">
      <c r="A29" s="63">
        <v>27</v>
      </c>
      <c r="B29" s="64">
        <v>44254</v>
      </c>
      <c r="C29" s="63" t="s">
        <v>414</v>
      </c>
      <c r="D29" s="65" t="s">
        <v>206</v>
      </c>
      <c r="E29" s="66" t="s">
        <v>406</v>
      </c>
      <c r="F29" s="66" t="s">
        <v>394</v>
      </c>
      <c r="G29" s="65">
        <v>10</v>
      </c>
      <c r="H29" s="64">
        <v>44294</v>
      </c>
      <c r="I29" s="64">
        <v>44327</v>
      </c>
      <c r="J29" s="69" t="s">
        <v>650</v>
      </c>
      <c r="K29" s="63" t="s">
        <v>582</v>
      </c>
      <c r="L29" s="63" t="s">
        <v>594</v>
      </c>
      <c r="M29" s="63" t="s">
        <v>567</v>
      </c>
      <c r="N29" s="22" t="s">
        <v>727</v>
      </c>
      <c r="O29" s="22"/>
    </row>
    <row r="30" spans="1:15" x14ac:dyDescent="0.35">
      <c r="A30" s="63">
        <v>28</v>
      </c>
      <c r="B30" s="64">
        <v>44254</v>
      </c>
      <c r="C30" s="63" t="s">
        <v>414</v>
      </c>
      <c r="D30" s="65" t="s">
        <v>206</v>
      </c>
      <c r="E30" s="66" t="s">
        <v>407</v>
      </c>
      <c r="F30" s="66" t="s">
        <v>395</v>
      </c>
      <c r="G30" s="65">
        <v>5</v>
      </c>
      <c r="H30" s="64">
        <v>44294</v>
      </c>
      <c r="I30" s="64">
        <v>44327</v>
      </c>
      <c r="J30" s="69" t="s">
        <v>650</v>
      </c>
      <c r="K30" s="63" t="s">
        <v>648</v>
      </c>
      <c r="L30" s="63" t="s">
        <v>649</v>
      </c>
      <c r="M30" s="63" t="s">
        <v>568</v>
      </c>
      <c r="N30" s="22" t="s">
        <v>727</v>
      </c>
      <c r="O30" s="22"/>
    </row>
    <row r="31" spans="1:15" x14ac:dyDescent="0.35">
      <c r="A31" s="63">
        <v>29</v>
      </c>
      <c r="B31" s="64">
        <v>44254</v>
      </c>
      <c r="C31" s="63" t="s">
        <v>414</v>
      </c>
      <c r="D31" s="65" t="s">
        <v>206</v>
      </c>
      <c r="E31" s="66" t="s">
        <v>408</v>
      </c>
      <c r="F31" s="66" t="s">
        <v>396</v>
      </c>
      <c r="G31" s="65">
        <v>1</v>
      </c>
      <c r="H31" s="64">
        <v>44294</v>
      </c>
      <c r="I31" s="64">
        <v>44327</v>
      </c>
      <c r="J31" s="69" t="s">
        <v>650</v>
      </c>
      <c r="K31" s="63" t="s">
        <v>652</v>
      </c>
      <c r="L31" s="63" t="s">
        <v>651</v>
      </c>
      <c r="M31" s="63" t="s">
        <v>569</v>
      </c>
      <c r="N31" s="22" t="s">
        <v>728</v>
      </c>
      <c r="O31" s="22"/>
    </row>
    <row r="32" spans="1:15" x14ac:dyDescent="0.35">
      <c r="A32" s="63">
        <v>30</v>
      </c>
      <c r="B32" s="64">
        <v>44254</v>
      </c>
      <c r="C32" s="63" t="s">
        <v>414</v>
      </c>
      <c r="D32" s="65" t="s">
        <v>206</v>
      </c>
      <c r="E32" s="66" t="s">
        <v>118</v>
      </c>
      <c r="F32" s="66" t="s">
        <v>397</v>
      </c>
      <c r="G32" s="65">
        <v>1</v>
      </c>
      <c r="H32" s="64">
        <v>44294</v>
      </c>
      <c r="I32" s="64">
        <v>44327</v>
      </c>
      <c r="J32" s="69" t="s">
        <v>650</v>
      </c>
      <c r="K32" s="63" t="s">
        <v>370</v>
      </c>
      <c r="L32" s="63" t="s">
        <v>651</v>
      </c>
      <c r="M32" s="63" t="s">
        <v>570</v>
      </c>
      <c r="N32" s="22" t="s">
        <v>728</v>
      </c>
      <c r="O32" s="22"/>
    </row>
    <row r="33" spans="1:15" x14ac:dyDescent="0.35">
      <c r="A33" s="63">
        <v>31</v>
      </c>
      <c r="B33" s="64">
        <v>44254</v>
      </c>
      <c r="C33" s="63" t="s">
        <v>414</v>
      </c>
      <c r="D33" s="65" t="s">
        <v>206</v>
      </c>
      <c r="E33" s="66" t="s">
        <v>118</v>
      </c>
      <c r="F33" s="66" t="s">
        <v>398</v>
      </c>
      <c r="G33" s="65">
        <v>2</v>
      </c>
      <c r="H33" s="64">
        <v>44294</v>
      </c>
      <c r="I33" s="64">
        <v>44327</v>
      </c>
      <c r="J33" s="69" t="s">
        <v>650</v>
      </c>
      <c r="K33" s="63" t="s">
        <v>370</v>
      </c>
      <c r="L33" s="63" t="s">
        <v>651</v>
      </c>
      <c r="M33" s="63" t="s">
        <v>570</v>
      </c>
      <c r="N33" s="301" t="s">
        <v>729</v>
      </c>
      <c r="O33" s="22"/>
    </row>
    <row r="34" spans="1:15" x14ac:dyDescent="0.35">
      <c r="A34" s="63">
        <v>32</v>
      </c>
      <c r="B34" s="64">
        <v>44254</v>
      </c>
      <c r="C34" s="63" t="s">
        <v>561</v>
      </c>
      <c r="D34" s="65" t="s">
        <v>206</v>
      </c>
      <c r="E34" s="66" t="s">
        <v>368</v>
      </c>
      <c r="F34" s="68" t="s">
        <v>549</v>
      </c>
      <c r="G34" s="65">
        <v>1</v>
      </c>
      <c r="H34" s="64">
        <v>44294</v>
      </c>
      <c r="I34" s="64">
        <v>44327</v>
      </c>
      <c r="J34" s="69" t="s">
        <v>650</v>
      </c>
      <c r="K34" s="63" t="s">
        <v>370</v>
      </c>
      <c r="L34" s="63" t="s">
        <v>651</v>
      </c>
      <c r="M34" s="63" t="s">
        <v>571</v>
      </c>
      <c r="N34" s="22" t="s">
        <v>727</v>
      </c>
      <c r="O34" s="22"/>
    </row>
    <row r="35" spans="1:15" x14ac:dyDescent="0.35">
      <c r="A35" s="63">
        <v>33</v>
      </c>
      <c r="B35" s="64">
        <v>44254</v>
      </c>
      <c r="C35" s="63" t="s">
        <v>560</v>
      </c>
      <c r="D35" s="65" t="s">
        <v>206</v>
      </c>
      <c r="E35" s="66" t="s">
        <v>368</v>
      </c>
      <c r="F35" s="68" t="s">
        <v>550</v>
      </c>
      <c r="G35" s="65">
        <v>1</v>
      </c>
      <c r="H35" s="64">
        <v>44294</v>
      </c>
      <c r="I35" s="64">
        <v>44327</v>
      </c>
      <c r="J35" s="69" t="s">
        <v>650</v>
      </c>
      <c r="K35" s="63" t="s">
        <v>370</v>
      </c>
      <c r="L35" s="63" t="s">
        <v>651</v>
      </c>
      <c r="M35" s="63" t="s">
        <v>572</v>
      </c>
      <c r="N35" s="22" t="s">
        <v>727</v>
      </c>
      <c r="O35" s="22"/>
    </row>
    <row r="36" spans="1:15" x14ac:dyDescent="0.35">
      <c r="A36" s="63">
        <v>34</v>
      </c>
      <c r="B36" s="64">
        <v>44254</v>
      </c>
      <c r="C36" s="63" t="s">
        <v>414</v>
      </c>
      <c r="D36" s="65" t="s">
        <v>206</v>
      </c>
      <c r="E36" s="66" t="s">
        <v>118</v>
      </c>
      <c r="F36" s="66" t="s">
        <v>399</v>
      </c>
      <c r="G36" s="65">
        <v>2</v>
      </c>
      <c r="H36" s="64">
        <v>44294</v>
      </c>
      <c r="I36" s="64">
        <v>44327</v>
      </c>
      <c r="J36" s="69" t="s">
        <v>650</v>
      </c>
      <c r="K36" s="63" t="s">
        <v>370</v>
      </c>
      <c r="L36" s="63" t="s">
        <v>651</v>
      </c>
      <c r="M36" s="63" t="s">
        <v>573</v>
      </c>
      <c r="N36" s="22" t="s">
        <v>730</v>
      </c>
      <c r="O36" s="22"/>
    </row>
    <row r="37" spans="1:15" x14ac:dyDescent="0.35">
      <c r="A37" s="63">
        <v>35</v>
      </c>
      <c r="B37" s="64">
        <v>44254</v>
      </c>
      <c r="C37" s="63" t="s">
        <v>414</v>
      </c>
      <c r="D37" s="65" t="s">
        <v>206</v>
      </c>
      <c r="E37" s="66" t="s">
        <v>118</v>
      </c>
      <c r="F37" s="66" t="s">
        <v>400</v>
      </c>
      <c r="G37" s="65">
        <v>2</v>
      </c>
      <c r="H37" s="64" t="s">
        <v>411</v>
      </c>
      <c r="I37" s="64">
        <v>44327</v>
      </c>
      <c r="J37" s="69" t="s">
        <v>650</v>
      </c>
      <c r="K37" s="63" t="s">
        <v>370</v>
      </c>
      <c r="L37" s="63" t="s">
        <v>651</v>
      </c>
      <c r="M37" s="63" t="s">
        <v>570</v>
      </c>
      <c r="N37" s="301" t="s">
        <v>728</v>
      </c>
      <c r="O37" s="22"/>
    </row>
    <row r="38" spans="1:15" x14ac:dyDescent="0.35">
      <c r="A38" s="63">
        <v>36</v>
      </c>
      <c r="B38" s="64">
        <v>44254</v>
      </c>
      <c r="C38" s="63" t="s">
        <v>414</v>
      </c>
      <c r="D38" s="65" t="s">
        <v>206</v>
      </c>
      <c r="E38" s="66" t="s">
        <v>118</v>
      </c>
      <c r="F38" s="66" t="s">
        <v>401</v>
      </c>
      <c r="G38" s="65">
        <v>2</v>
      </c>
      <c r="H38" s="64">
        <v>44294</v>
      </c>
      <c r="I38" s="64">
        <v>44327</v>
      </c>
      <c r="J38" s="69" t="s">
        <v>650</v>
      </c>
      <c r="K38" s="63" t="s">
        <v>370</v>
      </c>
      <c r="L38" s="63" t="s">
        <v>651</v>
      </c>
      <c r="M38" s="63" t="s">
        <v>570</v>
      </c>
      <c r="N38" s="301" t="s">
        <v>728</v>
      </c>
      <c r="O38" s="22"/>
    </row>
    <row r="39" spans="1:15" x14ac:dyDescent="0.35">
      <c r="A39" s="63">
        <v>37</v>
      </c>
      <c r="B39" s="64">
        <v>44254</v>
      </c>
      <c r="C39" s="63" t="s">
        <v>414</v>
      </c>
      <c r="D39" s="65" t="s">
        <v>206</v>
      </c>
      <c r="E39" s="66" t="s">
        <v>118</v>
      </c>
      <c r="F39" s="66" t="s">
        <v>402</v>
      </c>
      <c r="G39" s="65">
        <v>2</v>
      </c>
      <c r="H39" s="64">
        <v>44294</v>
      </c>
      <c r="I39" s="64">
        <v>44327</v>
      </c>
      <c r="J39" s="69" t="s">
        <v>650</v>
      </c>
      <c r="K39" s="63" t="s">
        <v>370</v>
      </c>
      <c r="L39" s="63" t="s">
        <v>651</v>
      </c>
      <c r="M39" s="63" t="s">
        <v>574</v>
      </c>
      <c r="N39" s="301" t="s">
        <v>728</v>
      </c>
      <c r="O39" s="22"/>
    </row>
    <row r="40" spans="1:15" x14ac:dyDescent="0.35">
      <c r="A40" s="22">
        <v>38</v>
      </c>
      <c r="B40" s="56">
        <v>44254</v>
      </c>
      <c r="C40" s="22" t="s">
        <v>414</v>
      </c>
      <c r="D40" s="1" t="s">
        <v>206</v>
      </c>
      <c r="E40" s="26" t="s">
        <v>118</v>
      </c>
      <c r="F40" s="26" t="s">
        <v>403</v>
      </c>
      <c r="G40" s="1">
        <v>3</v>
      </c>
      <c r="H40" s="56" t="s">
        <v>411</v>
      </c>
      <c r="I40" s="56">
        <v>44354</v>
      </c>
      <c r="J40" s="57" t="s">
        <v>745</v>
      </c>
      <c r="K40" s="22" t="s">
        <v>370</v>
      </c>
      <c r="L40" s="22" t="s">
        <v>746</v>
      </c>
      <c r="M40" s="22" t="s">
        <v>575</v>
      </c>
      <c r="N40" s="22" t="s">
        <v>757</v>
      </c>
      <c r="O40" s="22"/>
    </row>
    <row r="41" spans="1:15" x14ac:dyDescent="0.35">
      <c r="A41" s="63">
        <v>39</v>
      </c>
      <c r="B41" s="64">
        <v>44254</v>
      </c>
      <c r="C41" s="63" t="s">
        <v>414</v>
      </c>
      <c r="D41" s="65" t="s">
        <v>206</v>
      </c>
      <c r="E41" s="66" t="s">
        <v>409</v>
      </c>
      <c r="F41" s="66" t="s">
        <v>404</v>
      </c>
      <c r="G41" s="65">
        <v>1</v>
      </c>
      <c r="H41" s="64">
        <v>44294</v>
      </c>
      <c r="I41" s="77">
        <v>44312</v>
      </c>
      <c r="J41" s="69" t="s">
        <v>640</v>
      </c>
      <c r="K41" s="63" t="s">
        <v>641</v>
      </c>
      <c r="L41" s="63"/>
      <c r="M41" s="63" t="s">
        <v>576</v>
      </c>
      <c r="N41" s="22"/>
      <c r="O41" s="22"/>
    </row>
    <row r="42" spans="1:15" x14ac:dyDescent="0.35">
      <c r="A42" s="63">
        <v>40</v>
      </c>
      <c r="B42" s="64">
        <v>44254</v>
      </c>
      <c r="C42" s="63" t="s">
        <v>414</v>
      </c>
      <c r="D42" s="65" t="s">
        <v>206</v>
      </c>
      <c r="E42" s="66" t="s">
        <v>410</v>
      </c>
      <c r="F42" s="66" t="s">
        <v>405</v>
      </c>
      <c r="G42" s="65">
        <v>5</v>
      </c>
      <c r="H42" s="64">
        <v>44294</v>
      </c>
      <c r="I42" s="64">
        <v>44299</v>
      </c>
      <c r="J42" s="69" t="s">
        <v>590</v>
      </c>
      <c r="K42" s="22" t="s">
        <v>588</v>
      </c>
      <c r="L42" s="63" t="s">
        <v>589</v>
      </c>
      <c r="M42" s="63" t="s">
        <v>577</v>
      </c>
      <c r="N42" s="22"/>
      <c r="O42" s="22"/>
    </row>
    <row r="43" spans="1:15" x14ac:dyDescent="0.35">
      <c r="A43" s="63">
        <v>41</v>
      </c>
      <c r="B43" s="64">
        <v>44254</v>
      </c>
      <c r="C43" s="63" t="s">
        <v>562</v>
      </c>
      <c r="D43" s="65" t="s">
        <v>207</v>
      </c>
      <c r="E43" s="66" t="s">
        <v>412</v>
      </c>
      <c r="F43" s="68" t="s">
        <v>551</v>
      </c>
      <c r="G43" s="65">
        <v>4</v>
      </c>
      <c r="H43" s="64">
        <v>44287</v>
      </c>
      <c r="I43" s="64">
        <v>44287</v>
      </c>
      <c r="J43" s="69" t="s">
        <v>595</v>
      </c>
      <c r="K43" s="63" t="s">
        <v>596</v>
      </c>
      <c r="L43" s="63" t="s">
        <v>597</v>
      </c>
      <c r="M43" s="63" t="s">
        <v>578</v>
      </c>
      <c r="N43" s="22"/>
      <c r="O43" s="22"/>
    </row>
    <row r="44" spans="1:15" x14ac:dyDescent="0.35">
      <c r="A44" s="63">
        <v>42</v>
      </c>
      <c r="B44" s="64">
        <v>44254</v>
      </c>
      <c r="C44" s="63" t="s">
        <v>392</v>
      </c>
      <c r="D44" s="65" t="s">
        <v>207</v>
      </c>
      <c r="E44" s="66" t="s">
        <v>289</v>
      </c>
      <c r="F44" s="66" t="s">
        <v>413</v>
      </c>
      <c r="G44" s="65">
        <v>2</v>
      </c>
      <c r="H44" s="64">
        <v>44287</v>
      </c>
      <c r="I44" s="64">
        <v>44287</v>
      </c>
      <c r="J44" s="69" t="s">
        <v>581</v>
      </c>
      <c r="K44" s="63" t="s">
        <v>598</v>
      </c>
      <c r="L44" s="63" t="s">
        <v>566</v>
      </c>
      <c r="M44" s="63" t="s">
        <v>579</v>
      </c>
      <c r="N44" s="22"/>
      <c r="O44" s="22"/>
    </row>
    <row r="45" spans="1:15" x14ac:dyDescent="0.35">
      <c r="A45" s="22">
        <v>43</v>
      </c>
      <c r="B45" s="56">
        <v>44284</v>
      </c>
      <c r="C45" s="22" t="s">
        <v>559</v>
      </c>
      <c r="D45" s="1" t="s">
        <v>206</v>
      </c>
      <c r="E45" s="26" t="s">
        <v>556</v>
      </c>
      <c r="F45" s="26" t="s">
        <v>552</v>
      </c>
      <c r="G45" s="1">
        <v>2</v>
      </c>
      <c r="H45" s="56">
        <v>44321</v>
      </c>
      <c r="I45" s="56">
        <v>44354</v>
      </c>
      <c r="J45" s="57" t="s">
        <v>745</v>
      </c>
      <c r="K45" s="22" t="s">
        <v>747</v>
      </c>
      <c r="L45" s="22" t="s">
        <v>752</v>
      </c>
      <c r="M45" s="22" t="s">
        <v>563</v>
      </c>
      <c r="N45" s="22" t="s">
        <v>748</v>
      </c>
      <c r="O45" s="22"/>
    </row>
    <row r="46" spans="1:15" x14ac:dyDescent="0.35">
      <c r="A46" s="22">
        <v>44</v>
      </c>
      <c r="B46" s="56">
        <v>44284</v>
      </c>
      <c r="C46" s="22" t="s">
        <v>559</v>
      </c>
      <c r="D46" s="1" t="s">
        <v>206</v>
      </c>
      <c r="E46" s="26" t="s">
        <v>557</v>
      </c>
      <c r="F46" s="26" t="s">
        <v>626</v>
      </c>
      <c r="G46" s="1">
        <v>2</v>
      </c>
      <c r="H46" s="56">
        <v>44321</v>
      </c>
      <c r="I46" s="56">
        <v>44354</v>
      </c>
      <c r="J46" s="57" t="s">
        <v>745</v>
      </c>
      <c r="K46" s="22" t="s">
        <v>370</v>
      </c>
      <c r="L46" s="22" t="s">
        <v>746</v>
      </c>
      <c r="M46" s="22" t="s">
        <v>634</v>
      </c>
      <c r="N46" s="22" t="s">
        <v>749</v>
      </c>
      <c r="O46" s="22"/>
    </row>
    <row r="47" spans="1:15" x14ac:dyDescent="0.35">
      <c r="A47" s="22">
        <v>45</v>
      </c>
      <c r="B47" s="56">
        <v>44284</v>
      </c>
      <c r="C47" s="22" t="s">
        <v>559</v>
      </c>
      <c r="D47" s="1" t="s">
        <v>206</v>
      </c>
      <c r="E47" s="26" t="s">
        <v>118</v>
      </c>
      <c r="F47" s="26" t="s">
        <v>627</v>
      </c>
      <c r="G47" s="1">
        <v>1</v>
      </c>
      <c r="H47" s="56">
        <v>44321</v>
      </c>
      <c r="I47" s="56">
        <v>44354</v>
      </c>
      <c r="J47" s="57" t="s">
        <v>745</v>
      </c>
      <c r="K47" s="22" t="s">
        <v>370</v>
      </c>
      <c r="L47" s="22" t="s">
        <v>746</v>
      </c>
      <c r="M47" s="22" t="s">
        <v>635</v>
      </c>
      <c r="N47" s="22" t="s">
        <v>750</v>
      </c>
      <c r="O47" s="22"/>
    </row>
    <row r="48" spans="1:15" x14ac:dyDescent="0.35">
      <c r="A48" s="22">
        <v>46</v>
      </c>
      <c r="B48" s="56">
        <v>44284</v>
      </c>
      <c r="C48" s="22" t="s">
        <v>559</v>
      </c>
      <c r="D48" s="1" t="s">
        <v>206</v>
      </c>
      <c r="E48" s="26" t="s">
        <v>118</v>
      </c>
      <c r="F48" s="26" t="s">
        <v>628</v>
      </c>
      <c r="G48" s="1">
        <v>1</v>
      </c>
      <c r="H48" s="56">
        <v>44321</v>
      </c>
      <c r="I48" s="56">
        <v>44397</v>
      </c>
      <c r="J48" s="146" t="s">
        <v>1138</v>
      </c>
      <c r="K48" s="22" t="s">
        <v>370</v>
      </c>
      <c r="L48" s="22"/>
      <c r="M48" s="22" t="s">
        <v>636</v>
      </c>
      <c r="N48" s="22"/>
      <c r="O48" s="22"/>
    </row>
    <row r="49" spans="1:15" x14ac:dyDescent="0.35">
      <c r="A49" s="22">
        <v>47</v>
      </c>
      <c r="B49" s="56">
        <v>44284</v>
      </c>
      <c r="C49" s="22" t="s">
        <v>559</v>
      </c>
      <c r="D49" s="1" t="s">
        <v>206</v>
      </c>
      <c r="E49" s="26" t="s">
        <v>118</v>
      </c>
      <c r="F49" s="26" t="s">
        <v>629</v>
      </c>
      <c r="G49" s="1">
        <v>1</v>
      </c>
      <c r="H49" s="56">
        <v>44321</v>
      </c>
      <c r="I49" s="56">
        <v>44354</v>
      </c>
      <c r="J49" s="57" t="s">
        <v>745</v>
      </c>
      <c r="K49" s="22"/>
      <c r="L49" s="22" t="s">
        <v>746</v>
      </c>
      <c r="M49" s="22" t="s">
        <v>636</v>
      </c>
      <c r="N49" s="22" t="s">
        <v>751</v>
      </c>
      <c r="O49" s="22"/>
    </row>
    <row r="50" spans="1:15" x14ac:dyDescent="0.35">
      <c r="A50" s="22">
        <v>48</v>
      </c>
      <c r="B50" s="56">
        <v>44284</v>
      </c>
      <c r="C50" s="22" t="s">
        <v>559</v>
      </c>
      <c r="D50" s="1" t="s">
        <v>206</v>
      </c>
      <c r="E50" s="26" t="s">
        <v>118</v>
      </c>
      <c r="F50" s="26" t="s">
        <v>553</v>
      </c>
      <c r="G50" s="1">
        <v>1</v>
      </c>
      <c r="H50" s="56">
        <v>44321</v>
      </c>
      <c r="I50" s="56">
        <v>44354</v>
      </c>
      <c r="J50" s="57" t="s">
        <v>745</v>
      </c>
      <c r="K50" s="22" t="s">
        <v>370</v>
      </c>
      <c r="L50" s="22" t="s">
        <v>746</v>
      </c>
      <c r="M50" s="22" t="s">
        <v>637</v>
      </c>
      <c r="N50" s="22" t="s">
        <v>750</v>
      </c>
      <c r="O50" s="22"/>
    </row>
    <row r="51" spans="1:15" x14ac:dyDescent="0.35">
      <c r="A51" s="22">
        <v>49</v>
      </c>
      <c r="B51" s="56">
        <v>44284</v>
      </c>
      <c r="C51" s="22" t="s">
        <v>559</v>
      </c>
      <c r="D51" s="1" t="s">
        <v>206</v>
      </c>
      <c r="E51" s="26" t="s">
        <v>368</v>
      </c>
      <c r="F51" s="26" t="s">
        <v>554</v>
      </c>
      <c r="G51" s="1">
        <v>1</v>
      </c>
      <c r="H51" s="56">
        <v>44321</v>
      </c>
      <c r="I51" s="56">
        <v>44378</v>
      </c>
      <c r="J51" s="57" t="s">
        <v>922</v>
      </c>
      <c r="K51" s="22" t="s">
        <v>370</v>
      </c>
      <c r="L51" s="22"/>
      <c r="M51" s="22" t="s">
        <v>564</v>
      </c>
      <c r="N51" s="22" t="s">
        <v>727</v>
      </c>
      <c r="O51" s="22"/>
    </row>
    <row r="52" spans="1:15" x14ac:dyDescent="0.35">
      <c r="A52" s="22">
        <v>50</v>
      </c>
      <c r="B52" s="56">
        <v>44284</v>
      </c>
      <c r="C52" s="22" t="s">
        <v>559</v>
      </c>
      <c r="D52" s="1" t="s">
        <v>206</v>
      </c>
      <c r="E52" s="27" t="s">
        <v>558</v>
      </c>
      <c r="F52" s="26" t="s">
        <v>555</v>
      </c>
      <c r="G52" s="1">
        <v>1</v>
      </c>
      <c r="H52" s="56">
        <v>44321</v>
      </c>
      <c r="I52" s="56">
        <v>44378</v>
      </c>
      <c r="J52" s="57" t="s">
        <v>922</v>
      </c>
      <c r="K52" s="22" t="s">
        <v>630</v>
      </c>
      <c r="L52" s="22"/>
      <c r="M52" s="22" t="s">
        <v>565</v>
      </c>
      <c r="N52" s="22" t="s">
        <v>727</v>
      </c>
      <c r="O52" s="22"/>
    </row>
    <row r="53" spans="1:15" x14ac:dyDescent="0.35">
      <c r="A53" s="22">
        <v>51</v>
      </c>
      <c r="B53" s="56">
        <v>44452</v>
      </c>
      <c r="C53" s="22" t="s">
        <v>1308</v>
      </c>
      <c r="D53" s="1" t="s">
        <v>207</v>
      </c>
      <c r="E53" s="27" t="s">
        <v>1266</v>
      </c>
      <c r="F53" s="26" t="s">
        <v>1265</v>
      </c>
      <c r="G53" s="1">
        <v>5</v>
      </c>
      <c r="H53" s="56">
        <v>44463</v>
      </c>
      <c r="I53" s="56">
        <v>44463</v>
      </c>
      <c r="J53" s="57" t="s">
        <v>1357</v>
      </c>
      <c r="K53" s="22" t="s">
        <v>1267</v>
      </c>
      <c r="L53" s="22" t="s">
        <v>1269</v>
      </c>
      <c r="M53" s="22" t="s">
        <v>1268</v>
      </c>
      <c r="N53" s="22" t="s">
        <v>727</v>
      </c>
      <c r="O53" s="22"/>
    </row>
    <row r="54" spans="1:15" x14ac:dyDescent="0.35">
      <c r="A54" s="22">
        <v>52</v>
      </c>
      <c r="B54" s="56">
        <v>44453</v>
      </c>
      <c r="C54" s="22" t="s">
        <v>1344</v>
      </c>
      <c r="D54" s="1" t="s">
        <v>207</v>
      </c>
      <c r="E54" s="27" t="s">
        <v>1309</v>
      </c>
      <c r="F54" s="26" t="s">
        <v>1310</v>
      </c>
      <c r="G54" s="1">
        <v>1</v>
      </c>
      <c r="H54" s="56">
        <v>44470</v>
      </c>
      <c r="I54" s="56">
        <v>44476</v>
      </c>
      <c r="J54" s="57" t="s">
        <v>1397</v>
      </c>
      <c r="K54" s="22" t="s">
        <v>1311</v>
      </c>
      <c r="L54" s="22"/>
      <c r="M54" s="22" t="s">
        <v>1345</v>
      </c>
      <c r="N54" s="22" t="s">
        <v>727</v>
      </c>
      <c r="O54" s="22"/>
    </row>
    <row r="55" spans="1:15" x14ac:dyDescent="0.35">
      <c r="A55" s="22">
        <v>53</v>
      </c>
      <c r="B55" s="56">
        <v>44463</v>
      </c>
      <c r="C55" s="22" t="s">
        <v>1398</v>
      </c>
      <c r="D55" s="1" t="s">
        <v>207</v>
      </c>
      <c r="E55" s="27" t="s">
        <v>118</v>
      </c>
      <c r="F55" s="26" t="s">
        <v>114</v>
      </c>
      <c r="G55" s="1">
        <v>6</v>
      </c>
      <c r="H55" s="56">
        <v>44120</v>
      </c>
      <c r="I55" s="56">
        <v>44519</v>
      </c>
      <c r="J55" s="57" t="s">
        <v>1554</v>
      </c>
      <c r="K55" s="22" t="s">
        <v>1371</v>
      </c>
      <c r="L55" s="22"/>
      <c r="M55" s="22" t="s">
        <v>382</v>
      </c>
      <c r="N55" s="22" t="s">
        <v>1343</v>
      </c>
      <c r="O55" s="22"/>
    </row>
    <row r="56" spans="1:15" x14ac:dyDescent="0.35">
      <c r="A56" s="22">
        <v>54</v>
      </c>
      <c r="B56" s="56">
        <v>44463</v>
      </c>
      <c r="C56" s="22" t="s">
        <v>1398</v>
      </c>
      <c r="D56" s="1" t="s">
        <v>207</v>
      </c>
      <c r="E56" s="26" t="s">
        <v>1369</v>
      </c>
      <c r="F56" s="26" t="s">
        <v>1358</v>
      </c>
      <c r="G56" s="1">
        <v>3</v>
      </c>
      <c r="H56" s="56">
        <v>44493</v>
      </c>
      <c r="I56" s="56">
        <v>44510</v>
      </c>
      <c r="J56" s="57" t="s">
        <v>1505</v>
      </c>
      <c r="K56" s="22" t="s">
        <v>1372</v>
      </c>
      <c r="L56" s="22"/>
      <c r="M56" s="22"/>
      <c r="N56" s="22"/>
      <c r="O56" s="22" t="s">
        <v>1419</v>
      </c>
    </row>
    <row r="57" spans="1:15" x14ac:dyDescent="0.35">
      <c r="A57" s="22">
        <v>55</v>
      </c>
      <c r="B57" s="56">
        <v>44463</v>
      </c>
      <c r="C57" s="22" t="s">
        <v>1398</v>
      </c>
      <c r="D57" s="1" t="s">
        <v>207</v>
      </c>
      <c r="E57" s="26" t="s">
        <v>632</v>
      </c>
      <c r="F57" s="26" t="s">
        <v>1359</v>
      </c>
      <c r="G57" s="1">
        <v>10</v>
      </c>
      <c r="H57" s="56">
        <v>44493</v>
      </c>
      <c r="I57" s="56">
        <v>44496</v>
      </c>
      <c r="J57" s="57" t="s">
        <v>1472</v>
      </c>
      <c r="K57" s="22" t="s">
        <v>1473</v>
      </c>
      <c r="L57" s="22"/>
      <c r="M57" s="22"/>
      <c r="N57" s="22"/>
      <c r="O57" s="22" t="s">
        <v>1419</v>
      </c>
    </row>
    <row r="58" spans="1:15" x14ac:dyDescent="0.35">
      <c r="A58" s="22">
        <v>56</v>
      </c>
      <c r="B58" s="56">
        <v>44463</v>
      </c>
      <c r="C58" s="22" t="s">
        <v>1398</v>
      </c>
      <c r="D58" s="1" t="s">
        <v>207</v>
      </c>
      <c r="E58" s="26" t="s">
        <v>1370</v>
      </c>
      <c r="F58" s="26" t="s">
        <v>189</v>
      </c>
      <c r="G58" s="1">
        <v>5</v>
      </c>
      <c r="H58" s="56">
        <v>44493</v>
      </c>
      <c r="I58" s="56">
        <v>44482</v>
      </c>
      <c r="J58" s="57" t="s">
        <v>1418</v>
      </c>
      <c r="K58" s="22" t="s">
        <v>1373</v>
      </c>
      <c r="L58" s="22"/>
      <c r="M58" s="22"/>
      <c r="N58" s="22"/>
      <c r="O58" s="22" t="s">
        <v>1419</v>
      </c>
    </row>
    <row r="59" spans="1:15" x14ac:dyDescent="0.35">
      <c r="A59" s="22">
        <v>57</v>
      </c>
      <c r="B59" s="56">
        <v>44463</v>
      </c>
      <c r="C59" s="22" t="s">
        <v>1398</v>
      </c>
      <c r="D59" s="1" t="s">
        <v>207</v>
      </c>
      <c r="E59" s="26" t="s">
        <v>407</v>
      </c>
      <c r="F59" s="26" t="s">
        <v>395</v>
      </c>
      <c r="G59" s="1">
        <v>10</v>
      </c>
      <c r="H59" s="56">
        <v>44493</v>
      </c>
      <c r="I59" s="56">
        <v>44482</v>
      </c>
      <c r="J59" s="57" t="s">
        <v>1418</v>
      </c>
      <c r="K59" s="22" t="s">
        <v>1374</v>
      </c>
      <c r="L59" s="22"/>
      <c r="M59" s="22"/>
      <c r="N59" s="22"/>
      <c r="O59" s="22" t="s">
        <v>1419</v>
      </c>
    </row>
    <row r="60" spans="1:15" x14ac:dyDescent="0.35">
      <c r="A60" s="22">
        <v>58</v>
      </c>
      <c r="B60" s="56">
        <v>44463</v>
      </c>
      <c r="C60" s="22" t="s">
        <v>1398</v>
      </c>
      <c r="D60" s="1" t="s">
        <v>207</v>
      </c>
      <c r="E60" s="26" t="s">
        <v>406</v>
      </c>
      <c r="F60" s="26" t="s">
        <v>1360</v>
      </c>
      <c r="G60" s="1">
        <v>10</v>
      </c>
      <c r="H60" s="56">
        <v>44493</v>
      </c>
      <c r="I60" s="56">
        <v>44496</v>
      </c>
      <c r="J60" s="57" t="s">
        <v>1472</v>
      </c>
      <c r="K60" s="22" t="s">
        <v>1474</v>
      </c>
      <c r="L60" s="22"/>
      <c r="M60" s="22"/>
      <c r="N60" s="22"/>
      <c r="O60" s="22" t="s">
        <v>1419</v>
      </c>
    </row>
    <row r="61" spans="1:15" x14ac:dyDescent="0.35">
      <c r="A61" s="22">
        <v>59</v>
      </c>
      <c r="B61" s="56">
        <v>44463</v>
      </c>
      <c r="C61" s="22" t="s">
        <v>1398</v>
      </c>
      <c r="D61" s="1" t="s">
        <v>207</v>
      </c>
      <c r="E61" s="27" t="s">
        <v>406</v>
      </c>
      <c r="F61" s="27" t="s">
        <v>1361</v>
      </c>
      <c r="G61" s="1">
        <v>10</v>
      </c>
      <c r="H61" s="56">
        <v>44493</v>
      </c>
      <c r="I61" s="56">
        <v>44496</v>
      </c>
      <c r="J61" s="57" t="s">
        <v>1472</v>
      </c>
      <c r="K61" s="22" t="s">
        <v>1474</v>
      </c>
      <c r="L61" s="22"/>
      <c r="M61" s="22"/>
      <c r="N61" s="22"/>
      <c r="O61" s="22" t="s">
        <v>1419</v>
      </c>
    </row>
    <row r="62" spans="1:15" x14ac:dyDescent="0.35">
      <c r="A62" s="22">
        <v>60</v>
      </c>
      <c r="B62" s="56">
        <v>44463</v>
      </c>
      <c r="C62" s="22" t="s">
        <v>1398</v>
      </c>
      <c r="D62" s="1" t="s">
        <v>207</v>
      </c>
      <c r="E62" s="27" t="s">
        <v>406</v>
      </c>
      <c r="F62" s="27" t="s">
        <v>1362</v>
      </c>
      <c r="G62" s="1">
        <v>10</v>
      </c>
      <c r="H62" s="56">
        <v>44493</v>
      </c>
      <c r="I62" s="56">
        <v>44496</v>
      </c>
      <c r="J62" s="57" t="s">
        <v>1472</v>
      </c>
      <c r="K62" s="22" t="s">
        <v>1474</v>
      </c>
      <c r="L62" s="22"/>
      <c r="M62" s="22"/>
      <c r="N62" s="22"/>
      <c r="O62" s="22" t="s">
        <v>1419</v>
      </c>
    </row>
    <row r="63" spans="1:15" x14ac:dyDescent="0.35">
      <c r="A63" s="22">
        <v>61</v>
      </c>
      <c r="B63" s="56">
        <v>44463</v>
      </c>
      <c r="C63" s="22" t="s">
        <v>1398</v>
      </c>
      <c r="D63" s="1" t="s">
        <v>207</v>
      </c>
      <c r="E63" s="27" t="s">
        <v>406</v>
      </c>
      <c r="F63" s="27" t="s">
        <v>1363</v>
      </c>
      <c r="G63" s="1">
        <v>10</v>
      </c>
      <c r="H63" s="56">
        <v>44493</v>
      </c>
      <c r="I63" s="56">
        <v>44496</v>
      </c>
      <c r="J63" s="57" t="s">
        <v>1472</v>
      </c>
      <c r="K63" s="22" t="s">
        <v>1474</v>
      </c>
      <c r="L63" s="22"/>
      <c r="M63" s="22"/>
      <c r="N63" s="22"/>
      <c r="O63" s="22" t="s">
        <v>1419</v>
      </c>
    </row>
    <row r="64" spans="1:15" x14ac:dyDescent="0.35">
      <c r="A64" s="22">
        <v>62</v>
      </c>
      <c r="B64" s="56">
        <v>44463</v>
      </c>
      <c r="C64" s="22" t="s">
        <v>1398</v>
      </c>
      <c r="D64" s="1" t="s">
        <v>207</v>
      </c>
      <c r="E64" s="27" t="s">
        <v>117</v>
      </c>
      <c r="F64" s="27" t="s">
        <v>1364</v>
      </c>
      <c r="G64" s="1">
        <v>10</v>
      </c>
      <c r="H64" s="56">
        <v>44493</v>
      </c>
      <c r="I64" s="56">
        <v>44496</v>
      </c>
      <c r="J64" s="57" t="s">
        <v>1472</v>
      </c>
      <c r="K64" s="22" t="s">
        <v>1475</v>
      </c>
      <c r="L64" s="22"/>
      <c r="M64" s="22"/>
      <c r="N64" s="22"/>
      <c r="O64" s="22" t="s">
        <v>1419</v>
      </c>
    </row>
    <row r="65" spans="1:15" x14ac:dyDescent="0.35">
      <c r="A65" s="22">
        <v>63</v>
      </c>
      <c r="B65" s="56">
        <v>44463</v>
      </c>
      <c r="C65" s="22" t="s">
        <v>1398</v>
      </c>
      <c r="D65" s="1" t="s">
        <v>207</v>
      </c>
      <c r="E65" s="27" t="s">
        <v>117</v>
      </c>
      <c r="F65" s="27" t="s">
        <v>1365</v>
      </c>
      <c r="G65" s="1">
        <v>10</v>
      </c>
      <c r="H65" s="56">
        <v>44493</v>
      </c>
      <c r="I65" s="56">
        <v>44496</v>
      </c>
      <c r="J65" s="57" t="s">
        <v>1472</v>
      </c>
      <c r="K65" s="22" t="s">
        <v>1474</v>
      </c>
      <c r="L65" s="22"/>
      <c r="M65" s="22"/>
      <c r="N65" s="22"/>
      <c r="O65" s="22" t="s">
        <v>1419</v>
      </c>
    </row>
    <row r="66" spans="1:15" x14ac:dyDescent="0.35">
      <c r="A66" s="22">
        <v>64</v>
      </c>
      <c r="B66" s="56">
        <v>44463</v>
      </c>
      <c r="C66" s="22" t="s">
        <v>1398</v>
      </c>
      <c r="D66" s="1" t="s">
        <v>207</v>
      </c>
      <c r="E66" s="26" t="s">
        <v>117</v>
      </c>
      <c r="F66" s="26" t="s">
        <v>1366</v>
      </c>
      <c r="G66" s="1">
        <v>10</v>
      </c>
      <c r="H66" s="56">
        <v>44493</v>
      </c>
      <c r="I66" s="56">
        <v>44496</v>
      </c>
      <c r="J66" s="57" t="s">
        <v>1472</v>
      </c>
      <c r="K66" s="22" t="s">
        <v>1474</v>
      </c>
      <c r="L66" s="22"/>
      <c r="M66" s="22"/>
      <c r="N66" s="22"/>
      <c r="O66" s="22" t="s">
        <v>1419</v>
      </c>
    </row>
    <row r="67" spans="1:15" x14ac:dyDescent="0.35">
      <c r="A67" s="22">
        <v>65</v>
      </c>
      <c r="B67" s="56">
        <v>44463</v>
      </c>
      <c r="C67" s="22" t="s">
        <v>1398</v>
      </c>
      <c r="D67" s="1" t="s">
        <v>207</v>
      </c>
      <c r="E67" s="26" t="s">
        <v>406</v>
      </c>
      <c r="F67" s="26" t="s">
        <v>1367</v>
      </c>
      <c r="G67" s="1">
        <v>10</v>
      </c>
      <c r="H67" s="56">
        <v>44493</v>
      </c>
      <c r="I67" s="56">
        <v>44496</v>
      </c>
      <c r="J67" s="57" t="s">
        <v>1472</v>
      </c>
      <c r="K67" s="22" t="s">
        <v>1474</v>
      </c>
      <c r="L67" s="22"/>
      <c r="M67" s="22"/>
      <c r="N67" s="22"/>
      <c r="O67" s="22" t="s">
        <v>1419</v>
      </c>
    </row>
    <row r="68" spans="1:15" x14ac:dyDescent="0.35">
      <c r="A68" s="22">
        <v>66</v>
      </c>
      <c r="B68" s="56">
        <v>44463</v>
      </c>
      <c r="C68" s="22" t="s">
        <v>1398</v>
      </c>
      <c r="D68" s="1" t="s">
        <v>207</v>
      </c>
      <c r="E68" s="26" t="s">
        <v>1478</v>
      </c>
      <c r="F68" s="26" t="s">
        <v>1368</v>
      </c>
      <c r="G68" s="1">
        <v>10</v>
      </c>
      <c r="H68" s="56">
        <v>44493</v>
      </c>
      <c r="I68" s="56">
        <v>44496</v>
      </c>
      <c r="J68" s="57" t="s">
        <v>1472</v>
      </c>
      <c r="K68" s="22" t="s">
        <v>1476</v>
      </c>
      <c r="L68" s="22"/>
      <c r="M68" s="22"/>
      <c r="N68" s="22"/>
      <c r="O68" s="22" t="s">
        <v>1419</v>
      </c>
    </row>
    <row r="69" spans="1:15" x14ac:dyDescent="0.35">
      <c r="A69" s="22">
        <v>67</v>
      </c>
      <c r="B69" s="56">
        <v>44613</v>
      </c>
      <c r="C69" s="22" t="s">
        <v>1816</v>
      </c>
      <c r="D69" s="1" t="s">
        <v>206</v>
      </c>
      <c r="E69" s="27" t="s">
        <v>118</v>
      </c>
      <c r="F69" s="26" t="s">
        <v>114</v>
      </c>
      <c r="G69" s="1">
        <v>12</v>
      </c>
      <c r="H69" s="56">
        <v>44659</v>
      </c>
      <c r="I69" s="56">
        <v>44768</v>
      </c>
      <c r="J69" s="57" t="s">
        <v>2403</v>
      </c>
      <c r="K69" s="22" t="s">
        <v>1371</v>
      </c>
      <c r="L69" s="22"/>
      <c r="M69" s="22" t="s">
        <v>1790</v>
      </c>
      <c r="N69" s="22" t="s">
        <v>1343</v>
      </c>
      <c r="O69" s="22" t="s">
        <v>1419</v>
      </c>
    </row>
    <row r="70" spans="1:15" ht="29" x14ac:dyDescent="0.35">
      <c r="A70" s="22">
        <v>68</v>
      </c>
      <c r="B70" s="56">
        <v>44613</v>
      </c>
      <c r="C70" s="22" t="s">
        <v>1816</v>
      </c>
      <c r="D70" s="1" t="s">
        <v>206</v>
      </c>
      <c r="E70" s="26" t="s">
        <v>632</v>
      </c>
      <c r="F70" s="26" t="s">
        <v>1359</v>
      </c>
      <c r="G70" s="1">
        <v>30</v>
      </c>
      <c r="H70" s="56">
        <v>44659</v>
      </c>
      <c r="I70" s="60" t="s">
        <v>2139</v>
      </c>
      <c r="J70" s="57" t="s">
        <v>2138</v>
      </c>
      <c r="K70" s="22" t="s">
        <v>1473</v>
      </c>
      <c r="L70" s="22"/>
      <c r="M70" s="22" t="s">
        <v>1789</v>
      </c>
      <c r="N70" s="22" t="s">
        <v>1343</v>
      </c>
      <c r="O70" s="22" t="s">
        <v>1419</v>
      </c>
    </row>
    <row r="71" spans="1:15" x14ac:dyDescent="0.35">
      <c r="A71" s="22">
        <v>69</v>
      </c>
      <c r="B71" s="56">
        <v>44721</v>
      </c>
      <c r="C71" s="22" t="s">
        <v>2254</v>
      </c>
      <c r="D71" s="1" t="s">
        <v>207</v>
      </c>
      <c r="E71" s="26" t="s">
        <v>292</v>
      </c>
      <c r="F71" s="26" t="s">
        <v>293</v>
      </c>
      <c r="G71" s="1">
        <v>10</v>
      </c>
      <c r="H71" s="56">
        <v>44753</v>
      </c>
      <c r="I71" s="56">
        <v>44755</v>
      </c>
      <c r="J71" s="57" t="s">
        <v>2360</v>
      </c>
      <c r="K71" s="22"/>
      <c r="L71" s="22"/>
      <c r="M71" s="22" t="s">
        <v>384</v>
      </c>
      <c r="N71" s="22" t="s">
        <v>2247</v>
      </c>
      <c r="O71" s="22" t="s">
        <v>2248</v>
      </c>
    </row>
    <row r="72" spans="1:15" x14ac:dyDescent="0.35">
      <c r="A72" s="22">
        <v>70</v>
      </c>
      <c r="B72" s="152">
        <v>44767</v>
      </c>
      <c r="C72" s="22" t="s">
        <v>2390</v>
      </c>
      <c r="D72" s="1" t="s">
        <v>206</v>
      </c>
      <c r="E72" s="154" t="s">
        <v>2389</v>
      </c>
      <c r="F72" s="154" t="s">
        <v>2386</v>
      </c>
      <c r="G72" s="153">
        <v>3</v>
      </c>
      <c r="H72" s="152">
        <v>44805</v>
      </c>
      <c r="I72" s="152">
        <v>44824</v>
      </c>
      <c r="J72" s="155" t="s">
        <v>2544</v>
      </c>
      <c r="K72" s="59" t="s">
        <v>1887</v>
      </c>
      <c r="L72" s="59"/>
      <c r="M72" s="59" t="s">
        <v>2387</v>
      </c>
      <c r="N72" s="59" t="s">
        <v>2388</v>
      </c>
      <c r="O72" s="22" t="s">
        <v>1419</v>
      </c>
    </row>
    <row r="73" spans="1:15" x14ac:dyDescent="0.35">
      <c r="A73" s="22">
        <v>71</v>
      </c>
      <c r="B73" s="152">
        <v>44873</v>
      </c>
      <c r="C73" s="22" t="s">
        <v>2884</v>
      </c>
      <c r="D73" s="1" t="s">
        <v>206</v>
      </c>
      <c r="E73" s="154" t="s">
        <v>556</v>
      </c>
      <c r="F73" s="154" t="s">
        <v>2816</v>
      </c>
      <c r="G73" s="153">
        <v>2</v>
      </c>
      <c r="H73" s="152">
        <v>44918</v>
      </c>
      <c r="I73" s="152">
        <v>44936</v>
      </c>
      <c r="J73" s="155" t="s">
        <v>3038</v>
      </c>
      <c r="K73" s="59" t="s">
        <v>2819</v>
      </c>
      <c r="L73" s="59"/>
      <c r="M73" s="59" t="s">
        <v>2820</v>
      </c>
      <c r="N73" s="59" t="s">
        <v>2817</v>
      </c>
      <c r="O73" s="59" t="s">
        <v>1693</v>
      </c>
    </row>
    <row r="74" spans="1:15" x14ac:dyDescent="0.35">
      <c r="A74" s="22">
        <v>72</v>
      </c>
      <c r="B74" s="152">
        <v>44873</v>
      </c>
      <c r="C74" s="22" t="s">
        <v>2884</v>
      </c>
      <c r="D74" s="1" t="s">
        <v>206</v>
      </c>
      <c r="E74" s="26" t="s">
        <v>118</v>
      </c>
      <c r="F74" s="154" t="s">
        <v>2822</v>
      </c>
      <c r="G74" s="153">
        <v>1</v>
      </c>
      <c r="H74" s="152">
        <v>44918</v>
      </c>
      <c r="I74" s="152">
        <v>44961</v>
      </c>
      <c r="J74" s="155" t="s">
        <v>3199</v>
      </c>
      <c r="K74" s="22" t="s">
        <v>370</v>
      </c>
      <c r="L74" s="59"/>
      <c r="M74" s="59" t="s">
        <v>2821</v>
      </c>
      <c r="N74" s="22" t="s">
        <v>2247</v>
      </c>
      <c r="O74" s="59" t="s">
        <v>2818</v>
      </c>
    </row>
    <row r="75" spans="1:15" x14ac:dyDescent="0.35">
      <c r="A75" s="22">
        <v>73</v>
      </c>
      <c r="B75" s="56">
        <v>44571</v>
      </c>
      <c r="C75" s="22" t="s">
        <v>2850</v>
      </c>
      <c r="D75" s="1" t="s">
        <v>206</v>
      </c>
      <c r="E75" s="26" t="s">
        <v>1689</v>
      </c>
      <c r="F75" s="26" t="s">
        <v>1690</v>
      </c>
      <c r="G75" s="1">
        <v>5</v>
      </c>
      <c r="H75" s="56">
        <v>44918</v>
      </c>
      <c r="I75" s="152">
        <v>44961</v>
      </c>
      <c r="J75" s="155" t="s">
        <v>3199</v>
      </c>
      <c r="K75" s="22" t="s">
        <v>1691</v>
      </c>
      <c r="L75" s="22" t="s">
        <v>649</v>
      </c>
      <c r="M75" s="22" t="s">
        <v>1692</v>
      </c>
      <c r="N75" s="22" t="s">
        <v>1694</v>
      </c>
      <c r="O75" s="22" t="s">
        <v>1693</v>
      </c>
    </row>
    <row r="76" spans="1:15" x14ac:dyDescent="0.35">
      <c r="A76" s="22">
        <v>74</v>
      </c>
      <c r="B76" s="56">
        <v>44571</v>
      </c>
      <c r="C76" s="22" t="s">
        <v>2850</v>
      </c>
      <c r="D76" s="1" t="s">
        <v>206</v>
      </c>
      <c r="E76" s="154" t="s">
        <v>1695</v>
      </c>
      <c r="F76" s="154" t="s">
        <v>1696</v>
      </c>
      <c r="G76" s="153">
        <v>10</v>
      </c>
      <c r="H76" s="56">
        <v>44918</v>
      </c>
      <c r="I76" s="152">
        <v>44938</v>
      </c>
      <c r="J76" s="155" t="s">
        <v>3072</v>
      </c>
      <c r="K76" s="59" t="s">
        <v>1699</v>
      </c>
      <c r="L76" s="59" t="s">
        <v>1698</v>
      </c>
      <c r="M76" s="22" t="s">
        <v>1697</v>
      </c>
      <c r="N76" s="22" t="s">
        <v>1694</v>
      </c>
      <c r="O76" s="22" t="s">
        <v>1693</v>
      </c>
    </row>
    <row r="77" spans="1:15" x14ac:dyDescent="0.35">
      <c r="A77" s="22">
        <v>75</v>
      </c>
      <c r="B77" s="160">
        <v>44571</v>
      </c>
      <c r="C77" s="159"/>
      <c r="D77" s="161" t="s">
        <v>206</v>
      </c>
      <c r="E77" s="42" t="s">
        <v>118</v>
      </c>
      <c r="F77" s="42" t="s">
        <v>1700</v>
      </c>
      <c r="G77" s="161">
        <v>2</v>
      </c>
      <c r="H77" s="160">
        <v>44616</v>
      </c>
      <c r="I77" s="160"/>
      <c r="J77" s="162"/>
      <c r="K77" s="163" t="s">
        <v>370</v>
      </c>
      <c r="L77" s="159" t="s">
        <v>2849</v>
      </c>
      <c r="M77" s="159" t="s">
        <v>1705</v>
      </c>
      <c r="N77" s="159" t="s">
        <v>1710</v>
      </c>
      <c r="O77" s="159" t="s">
        <v>1419</v>
      </c>
    </row>
    <row r="78" spans="1:15" x14ac:dyDescent="0.35">
      <c r="A78" s="22">
        <v>76</v>
      </c>
      <c r="B78" s="56">
        <v>44571</v>
      </c>
      <c r="C78" s="22" t="s">
        <v>2850</v>
      </c>
      <c r="D78" s="1" t="s">
        <v>206</v>
      </c>
      <c r="E78" s="26" t="s">
        <v>3064</v>
      </c>
      <c r="F78" s="26" t="s">
        <v>1701</v>
      </c>
      <c r="G78" s="1">
        <v>2</v>
      </c>
      <c r="H78" s="56">
        <v>44918</v>
      </c>
      <c r="I78" s="56">
        <v>44933</v>
      </c>
      <c r="J78" s="57" t="s">
        <v>3062</v>
      </c>
      <c r="K78" s="59" t="s">
        <v>370</v>
      </c>
      <c r="L78" s="59"/>
      <c r="M78" s="22" t="s">
        <v>1706</v>
      </c>
      <c r="N78" s="22" t="s">
        <v>1710</v>
      </c>
      <c r="O78" s="22" t="s">
        <v>1419</v>
      </c>
    </row>
    <row r="79" spans="1:15" x14ac:dyDescent="0.35">
      <c r="A79" s="22">
        <v>77</v>
      </c>
      <c r="B79" s="160">
        <v>44571</v>
      </c>
      <c r="C79" s="159"/>
      <c r="D79" s="161" t="s">
        <v>206</v>
      </c>
      <c r="E79" s="42" t="s">
        <v>118</v>
      </c>
      <c r="F79" s="42" t="s">
        <v>1704</v>
      </c>
      <c r="G79" s="161">
        <v>2</v>
      </c>
      <c r="H79" s="160">
        <v>44616</v>
      </c>
      <c r="I79" s="160"/>
      <c r="J79" s="162"/>
      <c r="K79" s="159" t="s">
        <v>370</v>
      </c>
      <c r="L79" s="159" t="s">
        <v>2849</v>
      </c>
      <c r="M79" s="159" t="s">
        <v>1706</v>
      </c>
      <c r="N79" s="159" t="s">
        <v>1710</v>
      </c>
      <c r="O79" s="159" t="s">
        <v>1419</v>
      </c>
    </row>
    <row r="80" spans="1:15" x14ac:dyDescent="0.35">
      <c r="A80" s="22">
        <v>78</v>
      </c>
      <c r="B80" s="56">
        <v>44571</v>
      </c>
      <c r="C80" s="22" t="s">
        <v>2850</v>
      </c>
      <c r="D80" s="1" t="s">
        <v>206</v>
      </c>
      <c r="E80" s="26" t="s">
        <v>118</v>
      </c>
      <c r="F80" s="26" t="s">
        <v>1702</v>
      </c>
      <c r="G80" s="1">
        <v>6</v>
      </c>
      <c r="H80" s="56">
        <v>44918</v>
      </c>
      <c r="I80" s="152">
        <v>44938</v>
      </c>
      <c r="J80" s="155" t="s">
        <v>3072</v>
      </c>
      <c r="K80" s="22" t="s">
        <v>370</v>
      </c>
      <c r="L80" s="22"/>
      <c r="M80" s="22" t="s">
        <v>1707</v>
      </c>
      <c r="N80" s="22" t="s">
        <v>1710</v>
      </c>
      <c r="O80" s="22" t="s">
        <v>1419</v>
      </c>
    </row>
    <row r="81" spans="1:15" x14ac:dyDescent="0.35">
      <c r="A81" s="22">
        <v>79</v>
      </c>
      <c r="B81" s="56">
        <v>44571</v>
      </c>
      <c r="C81" s="22" t="s">
        <v>2850</v>
      </c>
      <c r="D81" s="1" t="s">
        <v>206</v>
      </c>
      <c r="E81" s="26" t="s">
        <v>118</v>
      </c>
      <c r="F81" s="156" t="s">
        <v>1711</v>
      </c>
      <c r="G81" s="1">
        <v>2</v>
      </c>
      <c r="H81" s="56">
        <v>44918</v>
      </c>
      <c r="I81" s="152">
        <v>44961</v>
      </c>
      <c r="J81" s="155" t="s">
        <v>3199</v>
      </c>
      <c r="K81" s="22" t="s">
        <v>370</v>
      </c>
      <c r="L81" s="22"/>
      <c r="M81" s="22" t="s">
        <v>1708</v>
      </c>
      <c r="N81" s="22" t="s">
        <v>1710</v>
      </c>
      <c r="O81" s="22" t="s">
        <v>1419</v>
      </c>
    </row>
    <row r="82" spans="1:15" x14ac:dyDescent="0.35">
      <c r="A82" s="22">
        <v>80</v>
      </c>
      <c r="B82" s="56">
        <v>44571</v>
      </c>
      <c r="C82" s="22" t="s">
        <v>2850</v>
      </c>
      <c r="D82" s="1" t="s">
        <v>206</v>
      </c>
      <c r="E82" s="26" t="s">
        <v>118</v>
      </c>
      <c r="F82" s="156" t="s">
        <v>1712</v>
      </c>
      <c r="G82" s="1">
        <v>2</v>
      </c>
      <c r="H82" s="56">
        <v>44918</v>
      </c>
      <c r="I82" s="152">
        <v>44938</v>
      </c>
      <c r="J82" s="155" t="s">
        <v>3072</v>
      </c>
      <c r="K82" s="22" t="s">
        <v>370</v>
      </c>
      <c r="L82" s="22"/>
      <c r="M82" s="22" t="s">
        <v>1709</v>
      </c>
      <c r="N82" s="22" t="s">
        <v>1710</v>
      </c>
      <c r="O82" s="22" t="s">
        <v>1419</v>
      </c>
    </row>
    <row r="83" spans="1:15" x14ac:dyDescent="0.35">
      <c r="A83" s="22">
        <v>81</v>
      </c>
      <c r="B83" s="56">
        <v>44571</v>
      </c>
      <c r="C83" s="22" t="s">
        <v>2850</v>
      </c>
      <c r="D83" s="1" t="s">
        <v>206</v>
      </c>
      <c r="E83" s="26" t="s">
        <v>118</v>
      </c>
      <c r="F83" s="156" t="s">
        <v>1713</v>
      </c>
      <c r="G83" s="1">
        <v>2</v>
      </c>
      <c r="H83" s="56">
        <v>44918</v>
      </c>
      <c r="I83" s="152">
        <v>44938</v>
      </c>
      <c r="J83" s="155" t="s">
        <v>3072</v>
      </c>
      <c r="K83" s="22" t="s">
        <v>370</v>
      </c>
      <c r="L83" s="22"/>
      <c r="M83" s="22" t="s">
        <v>1706</v>
      </c>
      <c r="N83" s="22" t="s">
        <v>1710</v>
      </c>
      <c r="O83" s="22" t="s">
        <v>1419</v>
      </c>
    </row>
    <row r="84" spans="1:15" x14ac:dyDescent="0.35">
      <c r="A84" s="22">
        <v>82</v>
      </c>
      <c r="B84" s="56">
        <v>44571</v>
      </c>
      <c r="C84" s="22" t="s">
        <v>2850</v>
      </c>
      <c r="D84" s="1" t="s">
        <v>206</v>
      </c>
      <c r="E84" s="26" t="s">
        <v>118</v>
      </c>
      <c r="F84" s="26" t="s">
        <v>1703</v>
      </c>
      <c r="G84" s="1">
        <v>2</v>
      </c>
      <c r="H84" s="56">
        <v>44918</v>
      </c>
      <c r="K84" s="22" t="s">
        <v>370</v>
      </c>
      <c r="L84" s="22"/>
      <c r="M84" s="22" t="s">
        <v>1706</v>
      </c>
      <c r="N84" s="22" t="s">
        <v>1710</v>
      </c>
      <c r="O84" s="22" t="s">
        <v>1419</v>
      </c>
    </row>
    <row r="85" spans="1:15" x14ac:dyDescent="0.35">
      <c r="A85" s="22">
        <v>83</v>
      </c>
      <c r="B85" s="56">
        <v>44882</v>
      </c>
      <c r="C85" s="22" t="s">
        <v>2906</v>
      </c>
      <c r="D85" s="1" t="s">
        <v>206</v>
      </c>
      <c r="E85" s="26" t="s">
        <v>1369</v>
      </c>
      <c r="F85" s="26" t="s">
        <v>1358</v>
      </c>
      <c r="G85" s="1">
        <v>3</v>
      </c>
      <c r="H85" s="152">
        <v>44915</v>
      </c>
      <c r="I85" s="56">
        <v>44916</v>
      </c>
      <c r="J85" s="57" t="s">
        <v>3015</v>
      </c>
      <c r="K85" s="22" t="s">
        <v>1372</v>
      </c>
      <c r="L85" s="22"/>
      <c r="M85" s="22" t="s">
        <v>2907</v>
      </c>
      <c r="N85" s="22" t="s">
        <v>1343</v>
      </c>
      <c r="O85" s="22" t="s">
        <v>1419</v>
      </c>
    </row>
    <row r="86" spans="1:15" x14ac:dyDescent="0.35">
      <c r="A86" s="22">
        <v>84</v>
      </c>
      <c r="B86" s="56">
        <v>44882</v>
      </c>
      <c r="C86" s="22" t="s">
        <v>2906</v>
      </c>
      <c r="D86" s="1" t="s">
        <v>206</v>
      </c>
      <c r="E86" s="26" t="s">
        <v>2885</v>
      </c>
      <c r="F86" s="26" t="s">
        <v>2886</v>
      </c>
      <c r="G86" s="1">
        <v>10</v>
      </c>
      <c r="H86" s="152">
        <v>44915</v>
      </c>
      <c r="I86" s="152">
        <v>44938</v>
      </c>
      <c r="J86" s="155" t="s">
        <v>3072</v>
      </c>
      <c r="K86" s="22" t="s">
        <v>582</v>
      </c>
      <c r="L86" s="22"/>
      <c r="M86" s="22" t="s">
        <v>2908</v>
      </c>
      <c r="N86" s="22" t="s">
        <v>1343</v>
      </c>
      <c r="O86" s="22" t="s">
        <v>1419</v>
      </c>
    </row>
    <row r="87" spans="1:15" x14ac:dyDescent="0.35">
      <c r="A87" s="22">
        <v>85</v>
      </c>
      <c r="B87" s="56">
        <v>44882</v>
      </c>
      <c r="C87" s="22" t="s">
        <v>2906</v>
      </c>
      <c r="D87" s="1" t="s">
        <v>206</v>
      </c>
      <c r="E87" s="26" t="s">
        <v>2885</v>
      </c>
      <c r="F87" s="26" t="s">
        <v>2887</v>
      </c>
      <c r="G87" s="1">
        <v>10</v>
      </c>
      <c r="H87" s="152">
        <v>44915</v>
      </c>
      <c r="I87" s="152">
        <v>44938</v>
      </c>
      <c r="J87" s="155" t="s">
        <v>3072</v>
      </c>
      <c r="K87" s="22" t="s">
        <v>582</v>
      </c>
      <c r="L87" s="22"/>
      <c r="M87" s="22" t="s">
        <v>2908</v>
      </c>
      <c r="N87" s="22" t="s">
        <v>1343</v>
      </c>
      <c r="O87" s="22" t="s">
        <v>1419</v>
      </c>
    </row>
    <row r="88" spans="1:15" x14ac:dyDescent="0.35">
      <c r="A88" s="22">
        <v>86</v>
      </c>
      <c r="B88" s="56">
        <v>44882</v>
      </c>
      <c r="C88" s="22" t="s">
        <v>2906</v>
      </c>
      <c r="D88" s="1" t="s">
        <v>206</v>
      </c>
      <c r="E88" s="26" t="s">
        <v>117</v>
      </c>
      <c r="F88" s="26" t="s">
        <v>294</v>
      </c>
      <c r="G88" s="1">
        <v>10</v>
      </c>
      <c r="H88" s="152">
        <v>44915</v>
      </c>
      <c r="I88" s="152">
        <v>44938</v>
      </c>
      <c r="J88" s="155" t="s">
        <v>3072</v>
      </c>
      <c r="K88" s="22" t="s">
        <v>582</v>
      </c>
      <c r="L88" s="22"/>
      <c r="M88" s="22" t="s">
        <v>2908</v>
      </c>
      <c r="N88" s="22" t="s">
        <v>1343</v>
      </c>
      <c r="O88" s="22" t="s">
        <v>1419</v>
      </c>
    </row>
    <row r="89" spans="1:15" x14ac:dyDescent="0.35">
      <c r="A89" s="22">
        <v>87</v>
      </c>
      <c r="B89" s="56">
        <v>44882</v>
      </c>
      <c r="C89" s="22" t="s">
        <v>2906</v>
      </c>
      <c r="D89" s="1" t="s">
        <v>206</v>
      </c>
      <c r="E89" s="154" t="s">
        <v>2888</v>
      </c>
      <c r="F89" s="154" t="s">
        <v>189</v>
      </c>
      <c r="G89" s="153">
        <v>5</v>
      </c>
      <c r="H89" s="152">
        <v>44915</v>
      </c>
      <c r="I89" s="152">
        <v>44931</v>
      </c>
      <c r="J89" s="155" t="s">
        <v>3045</v>
      </c>
      <c r="K89" s="59" t="s">
        <v>1373</v>
      </c>
      <c r="L89" s="59"/>
      <c r="M89" s="59" t="s">
        <v>2909</v>
      </c>
      <c r="N89" s="22" t="s">
        <v>1343</v>
      </c>
      <c r="O89" s="22" t="s">
        <v>1419</v>
      </c>
    </row>
    <row r="90" spans="1:15" ht="43.5" x14ac:dyDescent="0.35">
      <c r="A90" s="22">
        <v>88</v>
      </c>
      <c r="B90" s="152">
        <v>44882</v>
      </c>
      <c r="C90" s="59" t="s">
        <v>2927</v>
      </c>
      <c r="D90" s="153" t="s">
        <v>207</v>
      </c>
      <c r="E90" s="154" t="s">
        <v>633</v>
      </c>
      <c r="F90" s="154" t="s">
        <v>2882</v>
      </c>
      <c r="G90" s="153">
        <v>2</v>
      </c>
      <c r="H90" s="152">
        <v>44918</v>
      </c>
      <c r="I90" s="152">
        <v>44942</v>
      </c>
      <c r="J90" s="155" t="s">
        <v>3171</v>
      </c>
      <c r="K90" s="209" t="s">
        <v>3172</v>
      </c>
      <c r="L90" s="59" t="s">
        <v>585</v>
      </c>
      <c r="M90" s="59" t="s">
        <v>378</v>
      </c>
      <c r="N90" s="209" t="s">
        <v>2883</v>
      </c>
      <c r="O90" s="59" t="s">
        <v>2248</v>
      </c>
    </row>
    <row r="91" spans="1:15" x14ac:dyDescent="0.35">
      <c r="A91" s="22">
        <v>89</v>
      </c>
      <c r="B91" s="152">
        <v>44938</v>
      </c>
      <c r="C91" s="59" t="s">
        <v>3176</v>
      </c>
      <c r="D91" s="153" t="s">
        <v>207</v>
      </c>
      <c r="E91" s="26" t="s">
        <v>3328</v>
      </c>
      <c r="F91" s="154" t="s">
        <v>3077</v>
      </c>
      <c r="G91" s="153">
        <v>1</v>
      </c>
      <c r="H91" s="152">
        <v>44973</v>
      </c>
      <c r="I91" s="152">
        <v>44987</v>
      </c>
      <c r="J91" s="152" t="s">
        <v>3326</v>
      </c>
      <c r="K91" s="59" t="s">
        <v>3329</v>
      </c>
      <c r="L91" s="59"/>
      <c r="M91" s="59"/>
      <c r="N91" s="59" t="s">
        <v>2388</v>
      </c>
      <c r="O91" s="22" t="s">
        <v>1419</v>
      </c>
    </row>
    <row r="92" spans="1:15" x14ac:dyDescent="0.35">
      <c r="A92" s="22">
        <v>90</v>
      </c>
      <c r="B92" s="152">
        <v>44938</v>
      </c>
      <c r="C92" s="59" t="s">
        <v>3176</v>
      </c>
      <c r="D92" s="153" t="s">
        <v>207</v>
      </c>
      <c r="E92" s="26" t="s">
        <v>3328</v>
      </c>
      <c r="F92" s="26" t="s">
        <v>3078</v>
      </c>
      <c r="G92" s="1">
        <v>1</v>
      </c>
      <c r="H92" s="152">
        <v>44973</v>
      </c>
      <c r="I92" s="152">
        <v>44987</v>
      </c>
      <c r="J92" s="152" t="s">
        <v>3326</v>
      </c>
      <c r="K92" s="59" t="s">
        <v>3329</v>
      </c>
      <c r="L92" s="22"/>
      <c r="M92" s="22"/>
      <c r="N92" s="59" t="s">
        <v>2388</v>
      </c>
      <c r="O92" s="22" t="s">
        <v>1419</v>
      </c>
    </row>
    <row r="93" spans="1:15" x14ac:dyDescent="0.35">
      <c r="A93" s="210">
        <v>91</v>
      </c>
      <c r="B93" s="152">
        <v>44981</v>
      </c>
      <c r="C93" s="59" t="s">
        <v>3289</v>
      </c>
      <c r="D93" s="1" t="s">
        <v>206</v>
      </c>
      <c r="E93" s="154" t="s">
        <v>3205</v>
      </c>
      <c r="F93" s="154" t="s">
        <v>3204</v>
      </c>
      <c r="G93" s="153">
        <v>10</v>
      </c>
      <c r="H93" s="152">
        <v>45009</v>
      </c>
      <c r="I93" s="152">
        <v>45040</v>
      </c>
      <c r="J93" s="155" t="s">
        <v>3654</v>
      </c>
      <c r="K93" s="22" t="s">
        <v>1473</v>
      </c>
      <c r="L93" s="59"/>
      <c r="M93" s="59"/>
      <c r="N93" s="22" t="s">
        <v>1710</v>
      </c>
      <c r="O93" s="22" t="s">
        <v>1419</v>
      </c>
    </row>
    <row r="94" spans="1:15" x14ac:dyDescent="0.35">
      <c r="A94" s="22">
        <v>92</v>
      </c>
      <c r="B94" s="152">
        <v>44981</v>
      </c>
      <c r="C94" s="59" t="s">
        <v>3290</v>
      </c>
      <c r="D94" s="1" t="s">
        <v>207</v>
      </c>
      <c r="E94" s="26" t="s">
        <v>3253</v>
      </c>
      <c r="F94" s="26" t="s">
        <v>3254</v>
      </c>
      <c r="G94" s="1">
        <v>10</v>
      </c>
      <c r="H94" s="56">
        <v>45023</v>
      </c>
      <c r="I94" s="56">
        <v>45036</v>
      </c>
      <c r="J94" s="57" t="s">
        <v>3628</v>
      </c>
      <c r="K94" s="22" t="s">
        <v>3256</v>
      </c>
      <c r="L94" s="22"/>
      <c r="M94" s="22"/>
      <c r="N94" s="22" t="s">
        <v>729</v>
      </c>
      <c r="O94" s="22" t="s">
        <v>1419</v>
      </c>
    </row>
    <row r="95" spans="1:15" x14ac:dyDescent="0.35">
      <c r="A95" s="210">
        <v>93</v>
      </c>
      <c r="B95" s="152">
        <v>44981</v>
      </c>
      <c r="C95" s="59" t="s">
        <v>3290</v>
      </c>
      <c r="D95" s="1" t="s">
        <v>207</v>
      </c>
      <c r="E95" s="26" t="s">
        <v>3253</v>
      </c>
      <c r="F95" s="26" t="s">
        <v>3255</v>
      </c>
      <c r="G95" s="1">
        <v>10</v>
      </c>
      <c r="H95" s="56">
        <v>45023</v>
      </c>
      <c r="I95" s="56">
        <v>45022</v>
      </c>
      <c r="J95" s="57" t="s">
        <v>3551</v>
      </c>
      <c r="K95" s="22" t="s">
        <v>3256</v>
      </c>
      <c r="L95" s="22"/>
      <c r="M95" s="22"/>
      <c r="N95" s="22" t="s">
        <v>729</v>
      </c>
      <c r="O95" s="22" t="s">
        <v>1419</v>
      </c>
    </row>
    <row r="96" spans="1:15" x14ac:dyDescent="0.35">
      <c r="A96" s="210">
        <v>94</v>
      </c>
      <c r="B96" s="152">
        <v>44986</v>
      </c>
      <c r="C96" s="59" t="s">
        <v>3408</v>
      </c>
      <c r="D96" s="1" t="s">
        <v>206</v>
      </c>
      <c r="E96" s="154" t="s">
        <v>3313</v>
      </c>
      <c r="F96" s="154" t="s">
        <v>3311</v>
      </c>
      <c r="G96" s="153">
        <v>2</v>
      </c>
      <c r="H96" s="152">
        <v>45025</v>
      </c>
      <c r="I96" s="152">
        <v>45051</v>
      </c>
      <c r="J96" s="155" t="s">
        <v>3683</v>
      </c>
      <c r="K96" s="59" t="s">
        <v>908</v>
      </c>
      <c r="L96" s="59"/>
      <c r="M96" s="59"/>
      <c r="N96" s="22" t="s">
        <v>1343</v>
      </c>
      <c r="O96" s="22" t="s">
        <v>1419</v>
      </c>
    </row>
    <row r="97" spans="1:15" x14ac:dyDescent="0.35">
      <c r="A97" s="22">
        <v>95</v>
      </c>
      <c r="B97" s="152">
        <v>44986</v>
      </c>
      <c r="C97" s="59" t="s">
        <v>3408</v>
      </c>
      <c r="D97" s="1" t="s">
        <v>206</v>
      </c>
      <c r="E97" s="154" t="s">
        <v>3314</v>
      </c>
      <c r="F97" s="154" t="s">
        <v>3312</v>
      </c>
      <c r="G97" s="153">
        <v>2</v>
      </c>
      <c r="H97" s="152">
        <v>45025</v>
      </c>
      <c r="I97" s="152"/>
      <c r="J97" s="155" t="s">
        <v>3685</v>
      </c>
      <c r="K97" s="59" t="s">
        <v>3315</v>
      </c>
      <c r="L97" s="59"/>
      <c r="M97" s="59"/>
      <c r="N97" s="22" t="s">
        <v>1343</v>
      </c>
      <c r="O97" s="22" t="s">
        <v>1419</v>
      </c>
    </row>
    <row r="98" spans="1:15" x14ac:dyDescent="0.35">
      <c r="A98" s="210">
        <v>96</v>
      </c>
      <c r="B98" s="152">
        <v>44998</v>
      </c>
      <c r="C98" s="59" t="s">
        <v>3545</v>
      </c>
      <c r="D98" s="1" t="s">
        <v>206</v>
      </c>
      <c r="E98" s="154" t="s">
        <v>3415</v>
      </c>
      <c r="F98" s="154" t="s">
        <v>3414</v>
      </c>
      <c r="G98" s="153">
        <v>500</v>
      </c>
      <c r="H98" s="152">
        <v>45029</v>
      </c>
      <c r="I98" s="152"/>
      <c r="J98" s="155"/>
      <c r="K98" s="59" t="s">
        <v>3416</v>
      </c>
      <c r="L98" s="59"/>
      <c r="M98" s="59"/>
      <c r="N98" s="59" t="s">
        <v>3418</v>
      </c>
      <c r="O98" s="59" t="s">
        <v>3417</v>
      </c>
    </row>
    <row r="99" spans="1:15" x14ac:dyDescent="0.35">
      <c r="A99" s="210">
        <v>97</v>
      </c>
      <c r="B99" s="152">
        <v>45013</v>
      </c>
      <c r="C99" s="59" t="s">
        <v>3511</v>
      </c>
      <c r="D99" s="1" t="s">
        <v>207</v>
      </c>
      <c r="E99" s="154" t="s">
        <v>3481</v>
      </c>
      <c r="F99" s="154" t="s">
        <v>3482</v>
      </c>
      <c r="G99" s="153">
        <v>6</v>
      </c>
      <c r="H99" s="152">
        <v>45040</v>
      </c>
      <c r="I99" s="152">
        <v>45035</v>
      </c>
      <c r="J99" s="155" t="s">
        <v>3622</v>
      </c>
      <c r="K99" s="59" t="s">
        <v>1475</v>
      </c>
      <c r="L99" s="59"/>
      <c r="M99" s="59"/>
      <c r="N99" s="59" t="s">
        <v>3483</v>
      </c>
      <c r="O99" s="22" t="s">
        <v>1419</v>
      </c>
    </row>
    <row r="100" spans="1:15" x14ac:dyDescent="0.35">
      <c r="A100" s="210">
        <v>98</v>
      </c>
      <c r="B100" s="152">
        <v>45037</v>
      </c>
      <c r="C100" s="59" t="s">
        <v>3653</v>
      </c>
      <c r="D100" s="1" t="s">
        <v>206</v>
      </c>
      <c r="E100" s="154" t="s">
        <v>3205</v>
      </c>
      <c r="F100" s="154" t="s">
        <v>3595</v>
      </c>
      <c r="G100" s="153">
        <v>2</v>
      </c>
      <c r="H100" s="152">
        <v>45047</v>
      </c>
      <c r="I100" s="152"/>
      <c r="J100" s="155"/>
      <c r="K100" s="22" t="s">
        <v>1473</v>
      </c>
      <c r="L100" s="59"/>
      <c r="M100" s="59"/>
      <c r="N100" s="59" t="s">
        <v>3596</v>
      </c>
      <c r="O100" s="59" t="s">
        <v>2818</v>
      </c>
    </row>
    <row r="101" spans="1:15" x14ac:dyDescent="0.35">
      <c r="A101" s="210">
        <v>99</v>
      </c>
      <c r="B101" s="152">
        <v>45037</v>
      </c>
      <c r="C101" s="59" t="s">
        <v>3653</v>
      </c>
      <c r="D101" s="1" t="s">
        <v>206</v>
      </c>
      <c r="E101" s="154" t="s">
        <v>118</v>
      </c>
      <c r="F101" s="154" t="s">
        <v>3597</v>
      </c>
      <c r="G101" s="153">
        <v>1</v>
      </c>
      <c r="H101" s="152">
        <v>45047</v>
      </c>
      <c r="I101" s="152"/>
      <c r="J101" s="155"/>
      <c r="K101" s="59" t="s">
        <v>3329</v>
      </c>
      <c r="L101" s="59"/>
      <c r="M101" s="59"/>
      <c r="N101" s="59" t="s">
        <v>3596</v>
      </c>
      <c r="O101" s="59" t="s">
        <v>2818</v>
      </c>
    </row>
    <row r="102" spans="1:15" x14ac:dyDescent="0.35">
      <c r="E102" s="26"/>
      <c r="F102" s="26"/>
    </row>
    <row r="103" spans="1:15" x14ac:dyDescent="0.35">
      <c r="E103" s="26"/>
      <c r="F103" s="26"/>
    </row>
    <row r="104" spans="1:15" x14ac:dyDescent="0.35">
      <c r="E104" s="26"/>
      <c r="F104" s="26"/>
    </row>
    <row r="105" spans="1:15" x14ac:dyDescent="0.35">
      <c r="E105" s="26"/>
      <c r="F105" s="26"/>
    </row>
    <row r="106" spans="1:15" x14ac:dyDescent="0.35">
      <c r="E106" s="26"/>
      <c r="F106" s="26"/>
    </row>
    <row r="107" spans="1:15" x14ac:dyDescent="0.35">
      <c r="E107" s="26"/>
      <c r="F107" s="26"/>
    </row>
    <row r="108" spans="1:15" x14ac:dyDescent="0.35">
      <c r="E108" s="26"/>
      <c r="F108" s="26"/>
    </row>
    <row r="109" spans="1:15" x14ac:dyDescent="0.35">
      <c r="E109" s="27"/>
      <c r="F109" s="27"/>
    </row>
    <row r="110" spans="1:15" x14ac:dyDescent="0.35">
      <c r="E110" s="27"/>
      <c r="F110" s="27"/>
    </row>
    <row r="111" spans="1:15" x14ac:dyDescent="0.35">
      <c r="E111" s="27"/>
      <c r="F111" s="27"/>
    </row>
    <row r="112" spans="1:15" x14ac:dyDescent="0.35">
      <c r="E112" s="27"/>
      <c r="F112" s="27"/>
    </row>
    <row r="113" spans="5:6" x14ac:dyDescent="0.35">
      <c r="E113" s="27"/>
      <c r="F113" s="27"/>
    </row>
  </sheetData>
  <conditionalFormatting sqref="A1:M1 A3:M48 A49:J49 L49:M49 B85:G89 A50:M58 C69:D70 B59:M68 I85:M89 B71:M84 L93:M93 A93:J93 A90:M92 L100:M100 A102:M1048576 E100:J100 A94:M99 A100:D101 E101:M101 A59:A89">
    <cfRule type="expression" dxfId="146" priority="18">
      <formula>$I1&lt;&gt;""</formula>
    </cfRule>
  </conditionalFormatting>
  <conditionalFormatting sqref="F69">
    <cfRule type="duplicateValues" dxfId="145" priority="16"/>
  </conditionalFormatting>
  <conditionalFormatting sqref="E69:M69 B69:B70 H70:J70">
    <cfRule type="expression" dxfId="144" priority="15">
      <formula>$I69&lt;&gt;""</formula>
    </cfRule>
  </conditionalFormatting>
  <conditionalFormatting sqref="F70:F71">
    <cfRule type="duplicateValues" dxfId="143" priority="14"/>
  </conditionalFormatting>
  <conditionalFormatting sqref="E70:G70 K70:M70 F71">
    <cfRule type="expression" dxfId="142" priority="13">
      <formula>$I70&lt;&gt;""</formula>
    </cfRule>
  </conditionalFormatting>
  <conditionalFormatting sqref="F1:F89 F91:F1048576">
    <cfRule type="duplicateValues" dxfId="141" priority="12"/>
  </conditionalFormatting>
  <conditionalFormatting sqref="H85:H89">
    <cfRule type="expression" dxfId="140" priority="4">
      <formula>$I85&lt;&gt;""</formula>
    </cfRule>
  </conditionalFormatting>
  <conditionalFormatting sqref="F90">
    <cfRule type="duplicateValues" dxfId="139" priority="5"/>
  </conditionalFormatting>
  <conditionalFormatting sqref="F90">
    <cfRule type="duplicateValues" dxfId="138" priority="3"/>
  </conditionalFormatting>
  <conditionalFormatting sqref="F1 F3:F68 F71:F89 F91:F1048576">
    <cfRule type="duplicateValues" dxfId="137" priority="3060"/>
  </conditionalFormatting>
  <conditionalFormatting sqref="K93">
    <cfRule type="expression" dxfId="136" priority="2">
      <formula>$I93&lt;&gt;""</formula>
    </cfRule>
  </conditionalFormatting>
  <conditionalFormatting sqref="K100">
    <cfRule type="expression" dxfId="135" priority="1">
      <formula>$I100&lt;&gt;""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396C9-E79A-4B45-A177-248521526242}">
  <sheetPr codeName="Sheet6"/>
  <dimension ref="A1:I6"/>
  <sheetViews>
    <sheetView workbookViewId="0">
      <selection activeCell="C17" sqref="C17"/>
    </sheetView>
  </sheetViews>
  <sheetFormatPr defaultRowHeight="14.5" x14ac:dyDescent="0.35"/>
  <cols>
    <col min="1" max="1" width="11.7265625" style="144" bestFit="1" customWidth="1"/>
    <col min="2" max="2" width="12.1796875" style="18" bestFit="1" customWidth="1"/>
    <col min="3" max="3" width="18.453125" style="18" bestFit="1" customWidth="1"/>
    <col min="4" max="4" width="7.453125" style="18" bestFit="1" customWidth="1"/>
    <col min="5" max="5" width="8.08984375" style="2" bestFit="1" customWidth="1"/>
    <col min="6" max="6" width="6.1796875" style="18" bestFit="1" customWidth="1"/>
    <col min="7" max="7" width="23.90625" style="18" bestFit="1" customWidth="1"/>
    <col min="8" max="8" width="15" style="18" bestFit="1" customWidth="1"/>
    <col min="9" max="16384" width="8.7265625" style="18"/>
  </cols>
  <sheetData>
    <row r="1" spans="1:9" x14ac:dyDescent="0.35">
      <c r="A1" s="203" t="s">
        <v>2496</v>
      </c>
      <c r="B1" s="204" t="s">
        <v>2482</v>
      </c>
      <c r="C1" s="204" t="s">
        <v>2483</v>
      </c>
      <c r="D1" s="204" t="s">
        <v>2484</v>
      </c>
      <c r="E1" s="204" t="s">
        <v>185</v>
      </c>
      <c r="F1" s="204" t="s">
        <v>2501</v>
      </c>
      <c r="G1" s="204" t="s">
        <v>2485</v>
      </c>
      <c r="H1" s="204" t="s">
        <v>2486</v>
      </c>
      <c r="I1" s="205" t="s">
        <v>2502</v>
      </c>
    </row>
    <row r="2" spans="1:9" x14ac:dyDescent="0.35">
      <c r="A2" s="206">
        <v>44678</v>
      </c>
      <c r="B2" s="22" t="s">
        <v>1874</v>
      </c>
      <c r="C2" s="22" t="s">
        <v>2487</v>
      </c>
      <c r="D2" s="22" t="s">
        <v>2497</v>
      </c>
      <c r="E2" s="1">
        <v>1</v>
      </c>
      <c r="F2" s="22" t="s">
        <v>276</v>
      </c>
      <c r="G2" s="22" t="s">
        <v>2493</v>
      </c>
      <c r="H2" s="22" t="s">
        <v>2488</v>
      </c>
      <c r="I2" s="22"/>
    </row>
    <row r="3" spans="1:9" x14ac:dyDescent="0.35">
      <c r="A3" s="206">
        <v>44678</v>
      </c>
      <c r="B3" s="22" t="s">
        <v>1406</v>
      </c>
      <c r="C3" s="22" t="s">
        <v>2489</v>
      </c>
      <c r="D3" s="22" t="s">
        <v>2497</v>
      </c>
      <c r="E3" s="1">
        <v>1</v>
      </c>
      <c r="F3" s="22" t="s">
        <v>276</v>
      </c>
      <c r="G3" s="22" t="s">
        <v>2494</v>
      </c>
      <c r="H3" s="22" t="s">
        <v>2488</v>
      </c>
      <c r="I3" s="22"/>
    </row>
    <row r="4" spans="1:9" x14ac:dyDescent="0.35">
      <c r="A4" s="206">
        <v>44678</v>
      </c>
      <c r="B4" s="22" t="s">
        <v>2490</v>
      </c>
      <c r="C4" s="22" t="s">
        <v>2491</v>
      </c>
      <c r="D4" s="22" t="s">
        <v>2497</v>
      </c>
      <c r="E4" s="1">
        <v>1</v>
      </c>
      <c r="F4" s="22" t="s">
        <v>276</v>
      </c>
      <c r="G4" s="22" t="s">
        <v>2495</v>
      </c>
      <c r="H4" s="22" t="s">
        <v>2492</v>
      </c>
      <c r="I4" s="22"/>
    </row>
    <row r="5" spans="1:9" ht="58" x14ac:dyDescent="0.35">
      <c r="A5" s="206">
        <v>44733</v>
      </c>
      <c r="B5" s="22" t="s">
        <v>2498</v>
      </c>
      <c r="C5" s="22" t="s">
        <v>2499</v>
      </c>
      <c r="D5" s="22" t="s">
        <v>2497</v>
      </c>
      <c r="E5" s="1">
        <v>1</v>
      </c>
      <c r="F5" s="22" t="s">
        <v>276</v>
      </c>
      <c r="G5" s="207" t="s">
        <v>2500</v>
      </c>
      <c r="H5" s="22" t="s">
        <v>2488</v>
      </c>
      <c r="I5" s="1">
        <v>8848</v>
      </c>
    </row>
    <row r="6" spans="1:9" x14ac:dyDescent="0.35">
      <c r="A6" s="206">
        <v>45285</v>
      </c>
      <c r="B6" s="22" t="s">
        <v>1406</v>
      </c>
      <c r="C6" s="22" t="s">
        <v>2489</v>
      </c>
      <c r="D6" s="22" t="s">
        <v>2497</v>
      </c>
      <c r="E6" s="1">
        <v>1</v>
      </c>
      <c r="F6" s="22" t="s">
        <v>276</v>
      </c>
      <c r="G6" s="22" t="s">
        <v>2494</v>
      </c>
      <c r="H6" s="22" t="s">
        <v>2488</v>
      </c>
      <c r="I6" s="22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FCCF-1BEB-4E2F-AA4B-A8B4B36B61CD}">
  <sheetPr codeName="Sheet2"/>
  <dimension ref="A1:W66"/>
  <sheetViews>
    <sheetView zoomScale="85" zoomScaleNormal="85" workbookViewId="0">
      <pane xSplit="8" ySplit="2" topLeftCell="I45" activePane="bottomRight" state="frozen"/>
      <selection pane="topRight" activeCell="K1" sqref="K1"/>
      <selection pane="bottomLeft" activeCell="A3" sqref="A3"/>
      <selection pane="bottomRight" activeCell="F12" sqref="F12"/>
    </sheetView>
  </sheetViews>
  <sheetFormatPr defaultColWidth="9.1796875" defaultRowHeight="14.5" x14ac:dyDescent="0.35"/>
  <cols>
    <col min="1" max="1" width="15.54296875" style="108" bestFit="1" customWidth="1"/>
    <col min="2" max="2" width="8.54296875" style="109" bestFit="1" customWidth="1"/>
    <col min="3" max="3" width="15.453125" style="109" bestFit="1" customWidth="1"/>
    <col min="4" max="4" width="12.7265625" style="109" bestFit="1" customWidth="1"/>
    <col min="5" max="5" width="15.453125" style="109" bestFit="1" customWidth="1"/>
    <col min="6" max="6" width="36.1796875" style="109" bestFit="1" customWidth="1"/>
    <col min="7" max="7" width="36.1796875" style="109" customWidth="1"/>
    <col min="8" max="8" width="23.54296875" style="110" bestFit="1" customWidth="1"/>
    <col min="9" max="9" width="27.26953125" style="71" bestFit="1" customWidth="1"/>
    <col min="10" max="10" width="28.54296875" style="71" bestFit="1" customWidth="1"/>
    <col min="11" max="11" width="18.7265625" style="109" bestFit="1" customWidth="1"/>
    <col min="12" max="12" width="14.81640625" style="71" customWidth="1"/>
    <col min="13" max="15" width="12.453125" style="71" customWidth="1"/>
    <col min="16" max="16" width="15.54296875" style="71" bestFit="1" customWidth="1"/>
    <col min="17" max="17" width="13" style="71" customWidth="1"/>
    <col min="18" max="18" width="11.453125" style="71" customWidth="1"/>
    <col min="19" max="19" width="11.7265625" style="71" bestFit="1" customWidth="1"/>
    <col min="20" max="20" width="11.26953125" style="71" customWidth="1"/>
    <col min="21" max="21" width="15.1796875" style="71" bestFit="1" customWidth="1"/>
    <col min="22" max="22" width="13.1796875" style="71" bestFit="1" customWidth="1"/>
    <col min="23" max="23" width="14.453125" style="71" bestFit="1" customWidth="1"/>
    <col min="24" max="16384" width="9.1796875" style="71"/>
  </cols>
  <sheetData>
    <row r="1" spans="1:23" s="18" customFormat="1" x14ac:dyDescent="0.35">
      <c r="A1" s="1"/>
      <c r="B1" s="1"/>
      <c r="C1" s="1"/>
      <c r="D1" s="2"/>
      <c r="E1" s="2"/>
      <c r="F1" s="25"/>
      <c r="G1" s="25"/>
      <c r="K1" s="22"/>
      <c r="W1" s="2"/>
    </row>
    <row r="2" spans="1:23" s="36" customFormat="1" ht="44.25" customHeight="1" x14ac:dyDescent="0.35">
      <c r="A2" s="3" t="s">
        <v>0</v>
      </c>
      <c r="B2" s="20" t="s">
        <v>12</v>
      </c>
      <c r="C2" s="3" t="s">
        <v>1</v>
      </c>
      <c r="D2" s="3" t="s">
        <v>2</v>
      </c>
      <c r="E2" s="3" t="s">
        <v>22</v>
      </c>
      <c r="F2" s="3" t="s">
        <v>181</v>
      </c>
      <c r="G2" s="4" t="s">
        <v>371</v>
      </c>
      <c r="H2" s="4" t="s">
        <v>182</v>
      </c>
      <c r="I2" s="4" t="s">
        <v>3</v>
      </c>
      <c r="J2" s="5" t="s">
        <v>4</v>
      </c>
      <c r="K2" s="5" t="s">
        <v>5</v>
      </c>
      <c r="L2" s="4" t="s">
        <v>6</v>
      </c>
      <c r="M2" s="4" t="s">
        <v>36</v>
      </c>
      <c r="N2" s="5" t="s">
        <v>121</v>
      </c>
      <c r="O2" s="4" t="s">
        <v>17</v>
      </c>
      <c r="P2" s="4" t="s">
        <v>18</v>
      </c>
      <c r="Q2" s="6" t="s">
        <v>7</v>
      </c>
      <c r="R2" s="7" t="s">
        <v>8</v>
      </c>
      <c r="S2" s="7" t="s">
        <v>9</v>
      </c>
      <c r="T2" s="7" t="s">
        <v>10</v>
      </c>
      <c r="U2" s="3" t="s">
        <v>11</v>
      </c>
      <c r="V2" s="5" t="s">
        <v>755</v>
      </c>
      <c r="W2" s="8">
        <f ca="1">TODAY()</f>
        <v>45054</v>
      </c>
    </row>
    <row r="3" spans="1:23" s="18" customFormat="1" x14ac:dyDescent="0.35">
      <c r="A3" s="9"/>
      <c r="B3" s="12"/>
      <c r="C3" s="12"/>
      <c r="D3" s="14" t="s">
        <v>110</v>
      </c>
      <c r="E3" s="14" t="s">
        <v>110</v>
      </c>
      <c r="F3" s="26" t="s">
        <v>68</v>
      </c>
      <c r="G3" s="81"/>
      <c r="H3" s="47" t="s">
        <v>84</v>
      </c>
      <c r="I3" s="11" t="s">
        <v>101</v>
      </c>
      <c r="J3" s="17"/>
      <c r="K3" s="14" t="s">
        <v>14</v>
      </c>
      <c r="L3" s="12">
        <v>9</v>
      </c>
      <c r="M3" s="23" t="s">
        <v>48</v>
      </c>
      <c r="N3" s="23" t="s">
        <v>109</v>
      </c>
      <c r="O3" s="48">
        <v>415.77</v>
      </c>
      <c r="P3" s="48">
        <f>Table13[[#This Row],[ĐƠN GIÁ]]*Table13[[#This Row],[Quality]]</f>
        <v>3741.93</v>
      </c>
      <c r="Q3" s="28">
        <v>44064</v>
      </c>
      <c r="R3" s="28">
        <v>44082</v>
      </c>
      <c r="S3" s="37">
        <v>44140</v>
      </c>
      <c r="T3" s="11" t="s">
        <v>21</v>
      </c>
      <c r="U3" s="9" t="s">
        <v>16</v>
      </c>
      <c r="V3" s="49"/>
      <c r="W3" s="2"/>
    </row>
    <row r="4" spans="1:23" s="18" customFormat="1" x14ac:dyDescent="0.35">
      <c r="A4" s="9"/>
      <c r="B4" s="12"/>
      <c r="C4" s="12"/>
      <c r="D4" s="14" t="s">
        <v>110</v>
      </c>
      <c r="E4" s="14" t="s">
        <v>110</v>
      </c>
      <c r="F4" s="26" t="s">
        <v>68</v>
      </c>
      <c r="G4" s="81"/>
      <c r="H4" s="47" t="s">
        <v>84</v>
      </c>
      <c r="I4" s="11" t="s">
        <v>101</v>
      </c>
      <c r="J4" s="17"/>
      <c r="K4" s="14" t="s">
        <v>14</v>
      </c>
      <c r="L4" s="12">
        <v>3</v>
      </c>
      <c r="M4" s="23" t="s">
        <v>106</v>
      </c>
      <c r="N4" s="23" t="s">
        <v>109</v>
      </c>
      <c r="O4" s="48">
        <v>48.05</v>
      </c>
      <c r="P4" s="48">
        <f>Table13[[#This Row],[ĐƠN GIÁ]]*Table13[[#This Row],[Quality]]</f>
        <v>144.14999999999998</v>
      </c>
      <c r="Q4" s="28">
        <v>44064</v>
      </c>
      <c r="R4" s="28">
        <v>44082</v>
      </c>
      <c r="S4" s="37">
        <v>44140</v>
      </c>
      <c r="T4" s="11" t="s">
        <v>21</v>
      </c>
      <c r="U4" s="9" t="s">
        <v>16</v>
      </c>
      <c r="V4" s="49"/>
      <c r="W4" s="2"/>
    </row>
    <row r="5" spans="1:23" s="18" customFormat="1" x14ac:dyDescent="0.35">
      <c r="A5" s="9"/>
      <c r="B5" s="12"/>
      <c r="C5" s="12"/>
      <c r="D5" s="14" t="s">
        <v>110</v>
      </c>
      <c r="E5" s="14" t="s">
        <v>110</v>
      </c>
      <c r="F5" s="26" t="s">
        <v>69</v>
      </c>
      <c r="G5" s="81"/>
      <c r="H5" s="47" t="s">
        <v>85</v>
      </c>
      <c r="I5" s="11" t="s">
        <v>101</v>
      </c>
      <c r="J5" s="17"/>
      <c r="K5" s="14" t="s">
        <v>14</v>
      </c>
      <c r="L5" s="12">
        <v>24</v>
      </c>
      <c r="M5" s="23" t="s">
        <v>37</v>
      </c>
      <c r="N5" s="23" t="s">
        <v>109</v>
      </c>
      <c r="O5" s="48">
        <v>55.94</v>
      </c>
      <c r="P5" s="48">
        <f>Table13[[#This Row],[ĐƠN GIÁ]]*Table13[[#This Row],[Quality]]</f>
        <v>1342.56</v>
      </c>
      <c r="Q5" s="28">
        <v>44064</v>
      </c>
      <c r="R5" s="28">
        <v>44082</v>
      </c>
      <c r="S5" s="37">
        <v>44140</v>
      </c>
      <c r="T5" s="11" t="s">
        <v>21</v>
      </c>
      <c r="U5" s="9" t="s">
        <v>16</v>
      </c>
      <c r="V5" s="49"/>
      <c r="W5" s="2"/>
    </row>
    <row r="6" spans="1:23" s="18" customFormat="1" x14ac:dyDescent="0.35">
      <c r="A6" s="9"/>
      <c r="B6" s="12"/>
      <c r="C6" s="12"/>
      <c r="D6" s="14" t="s">
        <v>110</v>
      </c>
      <c r="E6" s="14" t="s">
        <v>110</v>
      </c>
      <c r="F6" s="26" t="s">
        <v>79</v>
      </c>
      <c r="G6" s="81"/>
      <c r="H6" s="47" t="s">
        <v>98</v>
      </c>
      <c r="I6" s="11" t="s">
        <v>101</v>
      </c>
      <c r="J6" s="17" t="s">
        <v>122</v>
      </c>
      <c r="K6" s="14" t="s">
        <v>14</v>
      </c>
      <c r="L6" s="12">
        <v>2</v>
      </c>
      <c r="M6" s="23" t="s">
        <v>106</v>
      </c>
      <c r="N6" s="72" t="s">
        <v>390</v>
      </c>
      <c r="O6" s="48">
        <v>152.04</v>
      </c>
      <c r="P6" s="48">
        <f>Table13[[#This Row],[ĐƠN GIÁ]]*Table13[[#This Row],[Quality]]</f>
        <v>304.08</v>
      </c>
      <c r="Q6" s="28">
        <v>44069</v>
      </c>
      <c r="R6" s="28">
        <v>44130</v>
      </c>
      <c r="S6" s="28">
        <v>44130</v>
      </c>
      <c r="T6" s="11" t="s">
        <v>31</v>
      </c>
      <c r="U6" s="9" t="s">
        <v>16</v>
      </c>
      <c r="V6" s="49"/>
      <c r="W6" s="2"/>
    </row>
    <row r="7" spans="1:23" s="18" customFormat="1" x14ac:dyDescent="0.35">
      <c r="A7" s="12"/>
      <c r="B7" s="12"/>
      <c r="C7" s="12" t="s">
        <v>638</v>
      </c>
      <c r="D7" s="14" t="s">
        <v>110</v>
      </c>
      <c r="E7" s="14" t="s">
        <v>110</v>
      </c>
      <c r="F7" s="50" t="s">
        <v>388</v>
      </c>
      <c r="G7" s="78"/>
      <c r="H7" s="14" t="s">
        <v>389</v>
      </c>
      <c r="I7" s="11" t="s">
        <v>101</v>
      </c>
      <c r="J7" s="51" t="s">
        <v>327</v>
      </c>
      <c r="K7" s="14" t="s">
        <v>14</v>
      </c>
      <c r="L7" s="12">
        <v>4</v>
      </c>
      <c r="M7" s="12" t="s">
        <v>309</v>
      </c>
      <c r="N7" s="72" t="s">
        <v>390</v>
      </c>
      <c r="O7" s="52">
        <v>235.32</v>
      </c>
      <c r="P7" s="52">
        <f>Table13[[#This Row],[ĐƠN GIÁ]]*Table13[[#This Row],[Quality]]</f>
        <v>941.28</v>
      </c>
      <c r="Q7" s="53">
        <v>44230</v>
      </c>
      <c r="R7" s="53">
        <v>44289</v>
      </c>
      <c r="S7" s="54">
        <v>44305</v>
      </c>
      <c r="T7" s="39" t="s">
        <v>21</v>
      </c>
      <c r="U7" s="12" t="s">
        <v>16</v>
      </c>
      <c r="V7" s="49"/>
      <c r="W7" s="25" t="s">
        <v>328</v>
      </c>
    </row>
    <row r="8" spans="1:23" s="18" customFormat="1" x14ac:dyDescent="0.35">
      <c r="A8" s="31"/>
      <c r="B8" s="31" t="s">
        <v>110</v>
      </c>
      <c r="C8" s="31" t="s">
        <v>110</v>
      </c>
      <c r="D8" s="33" t="s">
        <v>430</v>
      </c>
      <c r="E8" s="33" t="s">
        <v>110</v>
      </c>
      <c r="F8" s="61" t="s">
        <v>425</v>
      </c>
      <c r="G8" s="79" t="s">
        <v>699</v>
      </c>
      <c r="H8" s="33" t="s">
        <v>426</v>
      </c>
      <c r="I8" s="33" t="s">
        <v>427</v>
      </c>
      <c r="J8" s="73" t="s">
        <v>63</v>
      </c>
      <c r="K8" s="33" t="s">
        <v>642</v>
      </c>
      <c r="L8" s="31">
        <v>1</v>
      </c>
      <c r="M8" s="31" t="s">
        <v>37</v>
      </c>
      <c r="N8" s="32" t="s">
        <v>390</v>
      </c>
      <c r="O8" s="35">
        <v>8200</v>
      </c>
      <c r="P8" s="35">
        <f>Table13[[#This Row],[ĐƠN GIÁ]]*Table13[[#This Row],[Quality]]</f>
        <v>8200</v>
      </c>
      <c r="Q8" s="74">
        <v>44273</v>
      </c>
      <c r="R8" s="75">
        <v>44299</v>
      </c>
      <c r="S8" s="46">
        <v>44350</v>
      </c>
      <c r="T8" s="34" t="s">
        <v>31</v>
      </c>
      <c r="U8" s="30" t="s">
        <v>16</v>
      </c>
      <c r="V8" s="62" t="s">
        <v>429</v>
      </c>
      <c r="W8" s="76" t="s">
        <v>428</v>
      </c>
    </row>
    <row r="9" spans="1:23" x14ac:dyDescent="0.35">
      <c r="A9" s="91" t="s">
        <v>1134</v>
      </c>
      <c r="B9" s="90" t="s">
        <v>110</v>
      </c>
      <c r="C9" s="90" t="s">
        <v>110</v>
      </c>
      <c r="D9" s="92" t="s">
        <v>714</v>
      </c>
      <c r="E9" s="94" t="s">
        <v>631</v>
      </c>
      <c r="F9" s="95" t="s">
        <v>443</v>
      </c>
      <c r="G9" s="96" t="s">
        <v>653</v>
      </c>
      <c r="H9" s="97" t="s">
        <v>495</v>
      </c>
      <c r="I9" s="97" t="s">
        <v>548</v>
      </c>
      <c r="J9" s="98" t="s">
        <v>63</v>
      </c>
      <c r="K9" s="99" t="s">
        <v>642</v>
      </c>
      <c r="L9" s="92">
        <v>1</v>
      </c>
      <c r="M9" s="91" t="s">
        <v>44</v>
      </c>
      <c r="N9" s="92" t="s">
        <v>390</v>
      </c>
      <c r="O9" s="100">
        <v>3443.92</v>
      </c>
      <c r="P9" s="101">
        <f>L9*O9</f>
        <v>3443.92</v>
      </c>
      <c r="Q9" s="102">
        <v>44323</v>
      </c>
      <c r="R9" s="102">
        <v>44386</v>
      </c>
      <c r="S9" s="145">
        <v>44413</v>
      </c>
      <c r="T9" s="93" t="s">
        <v>31</v>
      </c>
      <c r="U9" s="91" t="s">
        <v>611</v>
      </c>
      <c r="V9" s="132" t="s">
        <v>429</v>
      </c>
      <c r="W9" s="76"/>
    </row>
    <row r="10" spans="1:23" x14ac:dyDescent="0.35">
      <c r="A10" s="91" t="s">
        <v>1134</v>
      </c>
      <c r="B10" s="90" t="s">
        <v>110</v>
      </c>
      <c r="C10" s="90" t="s">
        <v>110</v>
      </c>
      <c r="D10" s="92" t="s">
        <v>714</v>
      </c>
      <c r="E10" s="94" t="s">
        <v>631</v>
      </c>
      <c r="F10" s="95" t="s">
        <v>444</v>
      </c>
      <c r="G10" s="96" t="s">
        <v>654</v>
      </c>
      <c r="H10" s="97" t="s">
        <v>496</v>
      </c>
      <c r="I10" s="97" t="s">
        <v>548</v>
      </c>
      <c r="J10" s="98" t="s">
        <v>63</v>
      </c>
      <c r="K10" s="99" t="s">
        <v>642</v>
      </c>
      <c r="L10" s="92">
        <v>4</v>
      </c>
      <c r="M10" s="91" t="s">
        <v>104</v>
      </c>
      <c r="N10" s="92" t="s">
        <v>390</v>
      </c>
      <c r="O10" s="100">
        <v>1768.08</v>
      </c>
      <c r="P10" s="101">
        <f t="shared" ref="P10:P65" si="0">L10*O10</f>
        <v>7072.32</v>
      </c>
      <c r="Q10" s="102">
        <v>44323</v>
      </c>
      <c r="R10" s="102">
        <v>44386</v>
      </c>
      <c r="S10" s="145">
        <v>44413</v>
      </c>
      <c r="T10" s="93" t="s">
        <v>31</v>
      </c>
      <c r="U10" s="91" t="s">
        <v>611</v>
      </c>
      <c r="V10" s="132" t="s">
        <v>429</v>
      </c>
      <c r="W10" s="76"/>
    </row>
    <row r="11" spans="1:23" x14ac:dyDescent="0.35">
      <c r="A11" s="91" t="s">
        <v>1134</v>
      </c>
      <c r="B11" s="83"/>
      <c r="C11" s="84"/>
      <c r="D11" s="83" t="s">
        <v>714</v>
      </c>
      <c r="E11" s="103" t="s">
        <v>631</v>
      </c>
      <c r="F11" s="85" t="s">
        <v>445</v>
      </c>
      <c r="G11" s="86" t="s">
        <v>655</v>
      </c>
      <c r="H11" s="87" t="s">
        <v>497</v>
      </c>
      <c r="I11" s="87" t="s">
        <v>548</v>
      </c>
      <c r="J11" s="88"/>
      <c r="K11" s="103" t="s">
        <v>14</v>
      </c>
      <c r="L11" s="83">
        <v>1</v>
      </c>
      <c r="M11" s="82" t="s">
        <v>104</v>
      </c>
      <c r="N11" s="83" t="s">
        <v>390</v>
      </c>
      <c r="O11" s="104">
        <v>215.24</v>
      </c>
      <c r="P11" s="105">
        <f t="shared" si="0"/>
        <v>215.24</v>
      </c>
      <c r="Q11" s="102">
        <v>44323</v>
      </c>
      <c r="R11" s="55">
        <v>44386</v>
      </c>
      <c r="S11" s="145">
        <v>44413</v>
      </c>
      <c r="T11" s="84" t="s">
        <v>31</v>
      </c>
      <c r="U11" s="82" t="s">
        <v>611</v>
      </c>
      <c r="V11" s="89"/>
    </row>
    <row r="12" spans="1:23" x14ac:dyDescent="0.35">
      <c r="A12" s="91" t="s">
        <v>1134</v>
      </c>
      <c r="B12" s="83"/>
      <c r="C12" s="84"/>
      <c r="D12" s="83" t="s">
        <v>714</v>
      </c>
      <c r="E12" s="103" t="s">
        <v>631</v>
      </c>
      <c r="F12" s="85" t="s">
        <v>446</v>
      </c>
      <c r="G12" s="86" t="s">
        <v>656</v>
      </c>
      <c r="H12" s="87" t="s">
        <v>645</v>
      </c>
      <c r="I12" s="87" t="s">
        <v>548</v>
      </c>
      <c r="J12" s="88"/>
      <c r="K12" s="103" t="s">
        <v>14</v>
      </c>
      <c r="L12" s="83">
        <v>2</v>
      </c>
      <c r="M12" s="82" t="s">
        <v>104</v>
      </c>
      <c r="N12" s="83" t="s">
        <v>390</v>
      </c>
      <c r="O12" s="104">
        <v>12.3</v>
      </c>
      <c r="P12" s="105">
        <f t="shared" si="0"/>
        <v>24.6</v>
      </c>
      <c r="Q12" s="102">
        <v>44323</v>
      </c>
      <c r="R12" s="55">
        <v>44386</v>
      </c>
      <c r="S12" s="145">
        <v>44413</v>
      </c>
      <c r="T12" s="84" t="s">
        <v>31</v>
      </c>
      <c r="U12" s="82" t="s">
        <v>611</v>
      </c>
      <c r="V12" s="89"/>
    </row>
    <row r="13" spans="1:23" ht="28" x14ac:dyDescent="0.35">
      <c r="A13" s="91" t="s">
        <v>1134</v>
      </c>
      <c r="B13" s="90" t="s">
        <v>110</v>
      </c>
      <c r="C13" s="90" t="s">
        <v>110</v>
      </c>
      <c r="D13" s="92" t="s">
        <v>714</v>
      </c>
      <c r="E13" s="94" t="s">
        <v>631</v>
      </c>
      <c r="F13" s="111" t="s">
        <v>720</v>
      </c>
      <c r="G13" s="106" t="s">
        <v>713</v>
      </c>
      <c r="H13" s="97" t="s">
        <v>721</v>
      </c>
      <c r="I13" s="97" t="s">
        <v>548</v>
      </c>
      <c r="J13" s="98" t="s">
        <v>63</v>
      </c>
      <c r="K13" s="99" t="s">
        <v>642</v>
      </c>
      <c r="L13" s="92">
        <v>2</v>
      </c>
      <c r="M13" s="91" t="s">
        <v>104</v>
      </c>
      <c r="N13" s="92" t="s">
        <v>390</v>
      </c>
      <c r="O13" s="100">
        <v>3074.93</v>
      </c>
      <c r="P13" s="101">
        <f t="shared" si="0"/>
        <v>6149.86</v>
      </c>
      <c r="Q13" s="102">
        <v>44323</v>
      </c>
      <c r="R13" s="102">
        <v>44386</v>
      </c>
      <c r="S13" s="145">
        <v>44413</v>
      </c>
      <c r="T13" s="93" t="s">
        <v>31</v>
      </c>
      <c r="U13" s="91" t="s">
        <v>611</v>
      </c>
      <c r="V13" s="132" t="s">
        <v>429</v>
      </c>
      <c r="W13" s="76"/>
    </row>
    <row r="14" spans="1:23" x14ac:dyDescent="0.35">
      <c r="A14" s="91" t="s">
        <v>1134</v>
      </c>
      <c r="B14" s="83"/>
      <c r="C14" s="84"/>
      <c r="D14" s="83" t="s">
        <v>714</v>
      </c>
      <c r="E14" s="103" t="s">
        <v>631</v>
      </c>
      <c r="F14" s="85" t="s">
        <v>447</v>
      </c>
      <c r="G14" s="86" t="s">
        <v>657</v>
      </c>
      <c r="H14" s="87" t="s">
        <v>646</v>
      </c>
      <c r="I14" s="87" t="s">
        <v>548</v>
      </c>
      <c r="J14" s="88"/>
      <c r="K14" s="103" t="s">
        <v>14</v>
      </c>
      <c r="L14" s="83">
        <v>2</v>
      </c>
      <c r="M14" s="82" t="s">
        <v>104</v>
      </c>
      <c r="N14" s="83" t="s">
        <v>390</v>
      </c>
      <c r="O14" s="104">
        <v>177.95</v>
      </c>
      <c r="P14" s="105">
        <f t="shared" si="0"/>
        <v>355.9</v>
      </c>
      <c r="Q14" s="102">
        <v>44323</v>
      </c>
      <c r="R14" s="55">
        <v>44386</v>
      </c>
      <c r="S14" s="145">
        <v>44413</v>
      </c>
      <c r="T14" s="84" t="s">
        <v>31</v>
      </c>
      <c r="U14" s="82" t="s">
        <v>611</v>
      </c>
      <c r="V14" s="89"/>
    </row>
    <row r="15" spans="1:23" x14ac:dyDescent="0.35">
      <c r="A15" s="91" t="s">
        <v>1134</v>
      </c>
      <c r="B15" s="83"/>
      <c r="C15" s="84"/>
      <c r="D15" s="83" t="s">
        <v>714</v>
      </c>
      <c r="E15" s="103" t="s">
        <v>631</v>
      </c>
      <c r="F15" s="85" t="s">
        <v>448</v>
      </c>
      <c r="G15" s="86" t="s">
        <v>658</v>
      </c>
      <c r="H15" s="87" t="s">
        <v>498</v>
      </c>
      <c r="I15" s="87" t="s">
        <v>548</v>
      </c>
      <c r="J15" s="88"/>
      <c r="K15" s="103" t="s">
        <v>14</v>
      </c>
      <c r="L15" s="83">
        <v>1</v>
      </c>
      <c r="M15" s="82" t="s">
        <v>104</v>
      </c>
      <c r="N15" s="83" t="s">
        <v>390</v>
      </c>
      <c r="O15" s="104">
        <v>92.25</v>
      </c>
      <c r="P15" s="105">
        <f t="shared" si="0"/>
        <v>92.25</v>
      </c>
      <c r="Q15" s="102">
        <v>44323</v>
      </c>
      <c r="R15" s="55">
        <v>44386</v>
      </c>
      <c r="S15" s="145">
        <v>44413</v>
      </c>
      <c r="T15" s="84" t="s">
        <v>31</v>
      </c>
      <c r="U15" s="82" t="s">
        <v>611</v>
      </c>
      <c r="V15" s="89"/>
    </row>
    <row r="16" spans="1:23" x14ac:dyDescent="0.35">
      <c r="A16" s="91" t="s">
        <v>1134</v>
      </c>
      <c r="B16" s="83"/>
      <c r="C16" s="84"/>
      <c r="D16" s="83" t="s">
        <v>714</v>
      </c>
      <c r="E16" s="103" t="s">
        <v>631</v>
      </c>
      <c r="F16" s="85" t="s">
        <v>449</v>
      </c>
      <c r="G16" s="86" t="s">
        <v>659</v>
      </c>
      <c r="H16" s="87" t="s">
        <v>499</v>
      </c>
      <c r="I16" s="87" t="s">
        <v>548</v>
      </c>
      <c r="J16" s="88"/>
      <c r="K16" s="103" t="s">
        <v>14</v>
      </c>
      <c r="L16" s="83">
        <v>1</v>
      </c>
      <c r="M16" s="82" t="s">
        <v>104</v>
      </c>
      <c r="N16" s="83" t="s">
        <v>390</v>
      </c>
      <c r="O16" s="104">
        <v>1246.73</v>
      </c>
      <c r="P16" s="105">
        <f t="shared" si="0"/>
        <v>1246.73</v>
      </c>
      <c r="Q16" s="102">
        <v>44323</v>
      </c>
      <c r="R16" s="55">
        <v>44386</v>
      </c>
      <c r="S16" s="145">
        <v>44413</v>
      </c>
      <c r="T16" s="84" t="s">
        <v>31</v>
      </c>
      <c r="U16" s="82" t="s">
        <v>611</v>
      </c>
      <c r="V16" s="89"/>
    </row>
    <row r="17" spans="1:22" x14ac:dyDescent="0.35">
      <c r="A17" s="91" t="s">
        <v>1134</v>
      </c>
      <c r="B17" s="83"/>
      <c r="C17" s="84"/>
      <c r="D17" s="83" t="s">
        <v>714</v>
      </c>
      <c r="E17" s="103" t="s">
        <v>631</v>
      </c>
      <c r="F17" s="85" t="s">
        <v>450</v>
      </c>
      <c r="G17" s="86" t="s">
        <v>660</v>
      </c>
      <c r="H17" s="87" t="s">
        <v>500</v>
      </c>
      <c r="I17" s="87" t="s">
        <v>548</v>
      </c>
      <c r="J17" s="88"/>
      <c r="K17" s="103" t="s">
        <v>14</v>
      </c>
      <c r="L17" s="83">
        <v>1</v>
      </c>
      <c r="M17" s="82" t="s">
        <v>104</v>
      </c>
      <c r="N17" s="83" t="s">
        <v>390</v>
      </c>
      <c r="O17" s="104">
        <v>11.62</v>
      </c>
      <c r="P17" s="105">
        <f t="shared" si="0"/>
        <v>11.62</v>
      </c>
      <c r="Q17" s="102">
        <v>44323</v>
      </c>
      <c r="R17" s="55">
        <v>44386</v>
      </c>
      <c r="S17" s="145">
        <v>44413</v>
      </c>
      <c r="T17" s="84" t="s">
        <v>31</v>
      </c>
      <c r="U17" s="82" t="s">
        <v>611</v>
      </c>
      <c r="V17" s="89"/>
    </row>
    <row r="18" spans="1:22" x14ac:dyDescent="0.35">
      <c r="A18" s="91" t="s">
        <v>1134</v>
      </c>
      <c r="B18" s="83"/>
      <c r="C18" s="84"/>
      <c r="D18" s="83" t="s">
        <v>714</v>
      </c>
      <c r="E18" s="103" t="s">
        <v>631</v>
      </c>
      <c r="F18" s="85" t="s">
        <v>451</v>
      </c>
      <c r="G18" s="86" t="s">
        <v>661</v>
      </c>
      <c r="H18" s="87" t="s">
        <v>501</v>
      </c>
      <c r="I18" s="87" t="s">
        <v>548</v>
      </c>
      <c r="J18" s="88"/>
      <c r="K18" s="103" t="s">
        <v>14</v>
      </c>
      <c r="L18" s="83">
        <v>1</v>
      </c>
      <c r="M18" s="82" t="s">
        <v>104</v>
      </c>
      <c r="N18" s="83" t="s">
        <v>390</v>
      </c>
      <c r="O18" s="104">
        <v>547.95000000000005</v>
      </c>
      <c r="P18" s="105">
        <f t="shared" si="0"/>
        <v>547.95000000000005</v>
      </c>
      <c r="Q18" s="102">
        <v>44323</v>
      </c>
      <c r="R18" s="55">
        <v>44386</v>
      </c>
      <c r="S18" s="145">
        <v>44413</v>
      </c>
      <c r="T18" s="84" t="s">
        <v>31</v>
      </c>
      <c r="U18" s="82" t="s">
        <v>611</v>
      </c>
      <c r="V18" s="89"/>
    </row>
    <row r="19" spans="1:22" x14ac:dyDescent="0.35">
      <c r="A19" s="91" t="s">
        <v>1134</v>
      </c>
      <c r="B19" s="83"/>
      <c r="C19" s="84"/>
      <c r="D19" s="83" t="s">
        <v>714</v>
      </c>
      <c r="E19" s="103" t="s">
        <v>631</v>
      </c>
      <c r="F19" s="85" t="s">
        <v>452</v>
      </c>
      <c r="G19" s="86" t="s">
        <v>662</v>
      </c>
      <c r="H19" s="87" t="s">
        <v>502</v>
      </c>
      <c r="I19" s="87" t="s">
        <v>548</v>
      </c>
      <c r="J19" s="88"/>
      <c r="K19" s="103" t="s">
        <v>14</v>
      </c>
      <c r="L19" s="83">
        <v>1</v>
      </c>
      <c r="M19" s="82" t="s">
        <v>104</v>
      </c>
      <c r="N19" s="83" t="s">
        <v>390</v>
      </c>
      <c r="O19" s="104">
        <v>184.8</v>
      </c>
      <c r="P19" s="105">
        <f t="shared" si="0"/>
        <v>184.8</v>
      </c>
      <c r="Q19" s="102">
        <v>44323</v>
      </c>
      <c r="R19" s="55">
        <v>44386</v>
      </c>
      <c r="S19" s="145">
        <v>44413</v>
      </c>
      <c r="T19" s="84" t="s">
        <v>31</v>
      </c>
      <c r="U19" s="82" t="s">
        <v>611</v>
      </c>
      <c r="V19" s="89"/>
    </row>
    <row r="20" spans="1:22" x14ac:dyDescent="0.35">
      <c r="A20" s="91" t="s">
        <v>1134</v>
      </c>
      <c r="B20" s="83"/>
      <c r="C20" s="84"/>
      <c r="D20" s="83" t="s">
        <v>714</v>
      </c>
      <c r="E20" s="103" t="s">
        <v>631</v>
      </c>
      <c r="F20" s="85" t="s">
        <v>453</v>
      </c>
      <c r="G20" s="86" t="s">
        <v>663</v>
      </c>
      <c r="H20" s="87" t="s">
        <v>647</v>
      </c>
      <c r="I20" s="87" t="s">
        <v>548</v>
      </c>
      <c r="J20" s="88"/>
      <c r="K20" s="103" t="s">
        <v>14</v>
      </c>
      <c r="L20" s="83">
        <v>1</v>
      </c>
      <c r="M20" s="82" t="s">
        <v>104</v>
      </c>
      <c r="N20" s="83" t="s">
        <v>390</v>
      </c>
      <c r="O20" s="104">
        <v>21.53</v>
      </c>
      <c r="P20" s="105">
        <f t="shared" si="0"/>
        <v>21.53</v>
      </c>
      <c r="Q20" s="102">
        <v>44323</v>
      </c>
      <c r="R20" s="55">
        <v>44386</v>
      </c>
      <c r="S20" s="145">
        <v>44413</v>
      </c>
      <c r="T20" s="84" t="s">
        <v>31</v>
      </c>
      <c r="U20" s="82" t="s">
        <v>611</v>
      </c>
      <c r="V20" s="89"/>
    </row>
    <row r="21" spans="1:22" x14ac:dyDescent="0.35">
      <c r="A21" s="91" t="s">
        <v>1134</v>
      </c>
      <c r="B21" s="83"/>
      <c r="C21" s="84"/>
      <c r="D21" s="83" t="s">
        <v>714</v>
      </c>
      <c r="E21" s="103" t="s">
        <v>631</v>
      </c>
      <c r="F21" s="85" t="s">
        <v>454</v>
      </c>
      <c r="G21" s="86" t="s">
        <v>664</v>
      </c>
      <c r="H21" s="87" t="s">
        <v>503</v>
      </c>
      <c r="I21" s="87" t="s">
        <v>548</v>
      </c>
      <c r="J21" s="88"/>
      <c r="K21" s="103" t="s">
        <v>14</v>
      </c>
      <c r="L21" s="83">
        <v>2</v>
      </c>
      <c r="M21" s="82" t="s">
        <v>104</v>
      </c>
      <c r="N21" s="83" t="s">
        <v>390</v>
      </c>
      <c r="O21" s="104">
        <v>11.76</v>
      </c>
      <c r="P21" s="105">
        <f t="shared" si="0"/>
        <v>23.52</v>
      </c>
      <c r="Q21" s="102">
        <v>44323</v>
      </c>
      <c r="R21" s="55">
        <v>44386</v>
      </c>
      <c r="S21" s="145">
        <v>44413</v>
      </c>
      <c r="T21" s="84" t="s">
        <v>31</v>
      </c>
      <c r="U21" s="82" t="s">
        <v>611</v>
      </c>
      <c r="V21" s="89"/>
    </row>
    <row r="22" spans="1:22" x14ac:dyDescent="0.35">
      <c r="A22" s="91" t="s">
        <v>1134</v>
      </c>
      <c r="B22" s="83"/>
      <c r="C22" s="84"/>
      <c r="D22" s="83" t="s">
        <v>714</v>
      </c>
      <c r="E22" s="103" t="s">
        <v>631</v>
      </c>
      <c r="F22" s="85" t="s">
        <v>455</v>
      </c>
      <c r="G22" s="86" t="s">
        <v>665</v>
      </c>
      <c r="H22" s="87" t="s">
        <v>504</v>
      </c>
      <c r="I22" s="87" t="s">
        <v>548</v>
      </c>
      <c r="J22" s="88"/>
      <c r="K22" s="103" t="s">
        <v>14</v>
      </c>
      <c r="L22" s="83">
        <v>2</v>
      </c>
      <c r="M22" s="82" t="s">
        <v>104</v>
      </c>
      <c r="N22" s="83" t="s">
        <v>390</v>
      </c>
      <c r="O22" s="104">
        <v>7.69</v>
      </c>
      <c r="P22" s="105">
        <f t="shared" si="0"/>
        <v>15.38</v>
      </c>
      <c r="Q22" s="102">
        <v>44323</v>
      </c>
      <c r="R22" s="55">
        <v>44386</v>
      </c>
      <c r="S22" s="145">
        <v>44413</v>
      </c>
      <c r="T22" s="84" t="s">
        <v>31</v>
      </c>
      <c r="U22" s="82" t="s">
        <v>611</v>
      </c>
      <c r="V22" s="89"/>
    </row>
    <row r="23" spans="1:22" x14ac:dyDescent="0.35">
      <c r="A23" s="91" t="s">
        <v>1134</v>
      </c>
      <c r="B23" s="83"/>
      <c r="C23" s="84"/>
      <c r="D23" s="83" t="s">
        <v>714</v>
      </c>
      <c r="E23" s="103" t="s">
        <v>631</v>
      </c>
      <c r="F23" s="85" t="s">
        <v>456</v>
      </c>
      <c r="G23" s="86" t="s">
        <v>666</v>
      </c>
      <c r="H23" s="87" t="s">
        <v>505</v>
      </c>
      <c r="I23" s="87" t="s">
        <v>548</v>
      </c>
      <c r="J23" s="88"/>
      <c r="K23" s="103" t="s">
        <v>14</v>
      </c>
      <c r="L23" s="83">
        <v>2</v>
      </c>
      <c r="M23" s="82" t="s">
        <v>104</v>
      </c>
      <c r="N23" s="83" t="s">
        <v>390</v>
      </c>
      <c r="O23" s="104">
        <v>99</v>
      </c>
      <c r="P23" s="105">
        <f t="shared" si="0"/>
        <v>198</v>
      </c>
      <c r="Q23" s="102">
        <v>44323</v>
      </c>
      <c r="R23" s="55">
        <v>44386</v>
      </c>
      <c r="S23" s="145">
        <v>44413</v>
      </c>
      <c r="T23" s="84" t="s">
        <v>31</v>
      </c>
      <c r="U23" s="82" t="s">
        <v>611</v>
      </c>
      <c r="V23" s="89"/>
    </row>
    <row r="24" spans="1:22" x14ac:dyDescent="0.35">
      <c r="A24" s="91" t="s">
        <v>1134</v>
      </c>
      <c r="B24" s="83"/>
      <c r="C24" s="84"/>
      <c r="D24" s="83" t="s">
        <v>714</v>
      </c>
      <c r="E24" s="103" t="s">
        <v>631</v>
      </c>
      <c r="F24" s="85" t="s">
        <v>457</v>
      </c>
      <c r="G24" s="86" t="s">
        <v>667</v>
      </c>
      <c r="H24" s="87" t="s">
        <v>506</v>
      </c>
      <c r="I24" s="87" t="s">
        <v>548</v>
      </c>
      <c r="J24" s="88"/>
      <c r="K24" s="103" t="s">
        <v>14</v>
      </c>
      <c r="L24" s="83">
        <v>2</v>
      </c>
      <c r="M24" s="82" t="s">
        <v>104</v>
      </c>
      <c r="N24" s="83" t="s">
        <v>390</v>
      </c>
      <c r="O24" s="104">
        <v>117.62</v>
      </c>
      <c r="P24" s="105">
        <f t="shared" si="0"/>
        <v>235.24</v>
      </c>
      <c r="Q24" s="102">
        <v>44323</v>
      </c>
      <c r="R24" s="55">
        <v>44386</v>
      </c>
      <c r="S24" s="145">
        <v>44413</v>
      </c>
      <c r="T24" s="84" t="s">
        <v>31</v>
      </c>
      <c r="U24" s="82" t="s">
        <v>611</v>
      </c>
      <c r="V24" s="89"/>
    </row>
    <row r="25" spans="1:22" x14ac:dyDescent="0.35">
      <c r="A25" s="91" t="s">
        <v>1134</v>
      </c>
      <c r="B25" s="83"/>
      <c r="C25" s="84"/>
      <c r="D25" s="83" t="s">
        <v>714</v>
      </c>
      <c r="E25" s="103" t="s">
        <v>631</v>
      </c>
      <c r="F25" s="85" t="s">
        <v>458</v>
      </c>
      <c r="G25" s="86" t="s">
        <v>668</v>
      </c>
      <c r="H25" s="87" t="s">
        <v>507</v>
      </c>
      <c r="I25" s="87" t="s">
        <v>548</v>
      </c>
      <c r="J25" s="88"/>
      <c r="K25" s="103" t="s">
        <v>14</v>
      </c>
      <c r="L25" s="83">
        <v>3</v>
      </c>
      <c r="M25" s="82" t="s">
        <v>104</v>
      </c>
      <c r="N25" s="83" t="s">
        <v>390</v>
      </c>
      <c r="O25" s="104">
        <v>60.89</v>
      </c>
      <c r="P25" s="105">
        <f t="shared" si="0"/>
        <v>182.67000000000002</v>
      </c>
      <c r="Q25" s="102">
        <v>44323</v>
      </c>
      <c r="R25" s="55">
        <v>44386</v>
      </c>
      <c r="S25" s="145">
        <v>44413</v>
      </c>
      <c r="T25" s="84" t="s">
        <v>31</v>
      </c>
      <c r="U25" s="82" t="s">
        <v>611</v>
      </c>
      <c r="V25" s="89"/>
    </row>
    <row r="26" spans="1:22" x14ac:dyDescent="0.35">
      <c r="A26" s="91" t="s">
        <v>1134</v>
      </c>
      <c r="B26" s="83"/>
      <c r="C26" s="84"/>
      <c r="D26" s="83" t="s">
        <v>714</v>
      </c>
      <c r="E26" s="103" t="s">
        <v>631</v>
      </c>
      <c r="F26" s="85" t="s">
        <v>459</v>
      </c>
      <c r="G26" s="86" t="s">
        <v>669</v>
      </c>
      <c r="H26" s="87" t="s">
        <v>508</v>
      </c>
      <c r="I26" s="87" t="s">
        <v>548</v>
      </c>
      <c r="J26" s="88"/>
      <c r="K26" s="103" t="s">
        <v>14</v>
      </c>
      <c r="L26" s="83">
        <v>1</v>
      </c>
      <c r="M26" s="82" t="s">
        <v>104</v>
      </c>
      <c r="N26" s="83" t="s">
        <v>390</v>
      </c>
      <c r="O26" s="104">
        <v>138.37</v>
      </c>
      <c r="P26" s="105">
        <f t="shared" si="0"/>
        <v>138.37</v>
      </c>
      <c r="Q26" s="102">
        <v>44323</v>
      </c>
      <c r="R26" s="55">
        <v>44386</v>
      </c>
      <c r="S26" s="145">
        <v>44413</v>
      </c>
      <c r="T26" s="84" t="s">
        <v>31</v>
      </c>
      <c r="U26" s="82" t="s">
        <v>611</v>
      </c>
      <c r="V26" s="89"/>
    </row>
    <row r="27" spans="1:22" x14ac:dyDescent="0.35">
      <c r="A27" s="91" t="s">
        <v>1134</v>
      </c>
      <c r="B27" s="83"/>
      <c r="C27" s="84"/>
      <c r="D27" s="83" t="s">
        <v>714</v>
      </c>
      <c r="E27" s="103" t="s">
        <v>631</v>
      </c>
      <c r="F27" s="85" t="s">
        <v>459</v>
      </c>
      <c r="G27" s="86" t="s">
        <v>669</v>
      </c>
      <c r="H27" s="87" t="s">
        <v>509</v>
      </c>
      <c r="I27" s="87" t="s">
        <v>548</v>
      </c>
      <c r="J27" s="88"/>
      <c r="K27" s="103" t="s">
        <v>14</v>
      </c>
      <c r="L27" s="83">
        <v>1</v>
      </c>
      <c r="M27" s="82" t="s">
        <v>104</v>
      </c>
      <c r="N27" s="83" t="s">
        <v>390</v>
      </c>
      <c r="O27" s="104">
        <v>80.260000000000005</v>
      </c>
      <c r="P27" s="105">
        <f t="shared" si="0"/>
        <v>80.260000000000005</v>
      </c>
      <c r="Q27" s="102">
        <v>44323</v>
      </c>
      <c r="R27" s="55">
        <v>44386</v>
      </c>
      <c r="S27" s="145">
        <v>44413</v>
      </c>
      <c r="T27" s="84" t="s">
        <v>31</v>
      </c>
      <c r="U27" s="82" t="s">
        <v>611</v>
      </c>
      <c r="V27" s="89"/>
    </row>
    <row r="28" spans="1:22" x14ac:dyDescent="0.35">
      <c r="A28" s="91" t="s">
        <v>1134</v>
      </c>
      <c r="B28" s="83"/>
      <c r="C28" s="84"/>
      <c r="D28" s="83" t="s">
        <v>714</v>
      </c>
      <c r="E28" s="103" t="s">
        <v>631</v>
      </c>
      <c r="F28" s="85" t="s">
        <v>460</v>
      </c>
      <c r="G28" s="86" t="s">
        <v>670</v>
      </c>
      <c r="H28" s="87" t="s">
        <v>510</v>
      </c>
      <c r="I28" s="87" t="s">
        <v>548</v>
      </c>
      <c r="J28" s="88"/>
      <c r="K28" s="103" t="s">
        <v>14</v>
      </c>
      <c r="L28" s="83">
        <v>2</v>
      </c>
      <c r="M28" s="82" t="s">
        <v>104</v>
      </c>
      <c r="N28" s="83" t="s">
        <v>390</v>
      </c>
      <c r="O28" s="104">
        <v>1.05</v>
      </c>
      <c r="P28" s="105">
        <f t="shared" si="0"/>
        <v>2.1</v>
      </c>
      <c r="Q28" s="102">
        <v>44323</v>
      </c>
      <c r="R28" s="55">
        <v>44386</v>
      </c>
      <c r="S28" s="145">
        <v>44413</v>
      </c>
      <c r="T28" s="84" t="s">
        <v>31</v>
      </c>
      <c r="U28" s="82" t="s">
        <v>611</v>
      </c>
      <c r="V28" s="89"/>
    </row>
    <row r="29" spans="1:22" x14ac:dyDescent="0.35">
      <c r="A29" s="91" t="s">
        <v>1134</v>
      </c>
      <c r="B29" s="83"/>
      <c r="C29" s="84"/>
      <c r="D29" s="83" t="s">
        <v>714</v>
      </c>
      <c r="E29" s="103" t="s">
        <v>631</v>
      </c>
      <c r="F29" s="85" t="s">
        <v>461</v>
      </c>
      <c r="G29" s="86" t="s">
        <v>671</v>
      </c>
      <c r="H29" s="87" t="s">
        <v>511</v>
      </c>
      <c r="I29" s="87" t="s">
        <v>548</v>
      </c>
      <c r="J29" s="88"/>
      <c r="K29" s="103" t="s">
        <v>14</v>
      </c>
      <c r="L29" s="83">
        <v>1</v>
      </c>
      <c r="M29" s="82" t="s">
        <v>104</v>
      </c>
      <c r="N29" s="83" t="s">
        <v>390</v>
      </c>
      <c r="O29" s="104">
        <v>498.14</v>
      </c>
      <c r="P29" s="105">
        <f t="shared" si="0"/>
        <v>498.14</v>
      </c>
      <c r="Q29" s="102">
        <v>44323</v>
      </c>
      <c r="R29" s="55">
        <v>44386</v>
      </c>
      <c r="S29" s="145">
        <v>44413</v>
      </c>
      <c r="T29" s="84" t="s">
        <v>31</v>
      </c>
      <c r="U29" s="82" t="s">
        <v>611</v>
      </c>
      <c r="V29" s="89"/>
    </row>
    <row r="30" spans="1:22" x14ac:dyDescent="0.35">
      <c r="A30" s="91" t="s">
        <v>1134</v>
      </c>
      <c r="B30" s="83"/>
      <c r="C30" s="84"/>
      <c r="D30" s="83" t="s">
        <v>714</v>
      </c>
      <c r="E30" s="103" t="s">
        <v>631</v>
      </c>
      <c r="F30" s="85" t="s">
        <v>460</v>
      </c>
      <c r="G30" s="86" t="s">
        <v>670</v>
      </c>
      <c r="H30" s="87" t="s">
        <v>512</v>
      </c>
      <c r="I30" s="87" t="s">
        <v>548</v>
      </c>
      <c r="J30" s="88"/>
      <c r="K30" s="103" t="s">
        <v>14</v>
      </c>
      <c r="L30" s="83">
        <v>1</v>
      </c>
      <c r="M30" s="82" t="s">
        <v>104</v>
      </c>
      <c r="N30" s="83" t="s">
        <v>390</v>
      </c>
      <c r="O30" s="104">
        <v>11.07</v>
      </c>
      <c r="P30" s="105">
        <f t="shared" si="0"/>
        <v>11.07</v>
      </c>
      <c r="Q30" s="102">
        <v>44323</v>
      </c>
      <c r="R30" s="55">
        <v>44386</v>
      </c>
      <c r="S30" s="145">
        <v>44413</v>
      </c>
      <c r="T30" s="84" t="s">
        <v>31</v>
      </c>
      <c r="U30" s="82" t="s">
        <v>611</v>
      </c>
      <c r="V30" s="89"/>
    </row>
    <row r="31" spans="1:22" x14ac:dyDescent="0.35">
      <c r="A31" s="91" t="s">
        <v>1134</v>
      </c>
      <c r="B31" s="83"/>
      <c r="C31" s="84"/>
      <c r="D31" s="83" t="s">
        <v>714</v>
      </c>
      <c r="E31" s="103" t="s">
        <v>631</v>
      </c>
      <c r="F31" s="85" t="s">
        <v>462</v>
      </c>
      <c r="G31" s="86" t="s">
        <v>672</v>
      </c>
      <c r="H31" s="87" t="s">
        <v>513</v>
      </c>
      <c r="I31" s="87" t="s">
        <v>548</v>
      </c>
      <c r="J31" s="88"/>
      <c r="K31" s="103" t="s">
        <v>14</v>
      </c>
      <c r="L31" s="83">
        <v>2</v>
      </c>
      <c r="M31" s="82" t="s">
        <v>104</v>
      </c>
      <c r="N31" s="83" t="s">
        <v>390</v>
      </c>
      <c r="O31" s="104">
        <v>16.61</v>
      </c>
      <c r="P31" s="105">
        <f t="shared" si="0"/>
        <v>33.22</v>
      </c>
      <c r="Q31" s="102">
        <v>44323</v>
      </c>
      <c r="R31" s="55">
        <v>44386</v>
      </c>
      <c r="S31" s="145">
        <v>44413</v>
      </c>
      <c r="T31" s="84" t="s">
        <v>31</v>
      </c>
      <c r="U31" s="82" t="s">
        <v>611</v>
      </c>
      <c r="V31" s="89"/>
    </row>
    <row r="32" spans="1:22" x14ac:dyDescent="0.35">
      <c r="A32" s="91" t="s">
        <v>1134</v>
      </c>
      <c r="B32" s="83"/>
      <c r="C32" s="84"/>
      <c r="D32" s="83" t="s">
        <v>714</v>
      </c>
      <c r="E32" s="103" t="s">
        <v>631</v>
      </c>
      <c r="F32" s="85" t="s">
        <v>463</v>
      </c>
      <c r="G32" s="86" t="s">
        <v>673</v>
      </c>
      <c r="H32" s="87" t="s">
        <v>514</v>
      </c>
      <c r="I32" s="87" t="s">
        <v>548</v>
      </c>
      <c r="J32" s="88"/>
      <c r="K32" s="103" t="s">
        <v>14</v>
      </c>
      <c r="L32" s="83">
        <v>2</v>
      </c>
      <c r="M32" s="82" t="s">
        <v>104</v>
      </c>
      <c r="N32" s="83" t="s">
        <v>390</v>
      </c>
      <c r="O32" s="104">
        <v>232.47</v>
      </c>
      <c r="P32" s="105">
        <f t="shared" si="0"/>
        <v>464.94</v>
      </c>
      <c r="Q32" s="102">
        <v>44323</v>
      </c>
      <c r="R32" s="55">
        <v>44386</v>
      </c>
      <c r="S32" s="145">
        <v>44413</v>
      </c>
      <c r="T32" s="84" t="s">
        <v>31</v>
      </c>
      <c r="U32" s="82" t="s">
        <v>611</v>
      </c>
      <c r="V32" s="89"/>
    </row>
    <row r="33" spans="1:22" x14ac:dyDescent="0.35">
      <c r="A33" s="91" t="s">
        <v>1134</v>
      </c>
      <c r="B33" s="83"/>
      <c r="C33" s="84"/>
      <c r="D33" s="83" t="s">
        <v>714</v>
      </c>
      <c r="E33" s="103" t="s">
        <v>631</v>
      </c>
      <c r="F33" s="85" t="s">
        <v>464</v>
      </c>
      <c r="G33" s="86" t="s">
        <v>674</v>
      </c>
      <c r="H33" s="87" t="s">
        <v>515</v>
      </c>
      <c r="I33" s="87" t="s">
        <v>548</v>
      </c>
      <c r="J33" s="88"/>
      <c r="K33" s="103" t="s">
        <v>14</v>
      </c>
      <c r="L33" s="83">
        <v>2</v>
      </c>
      <c r="M33" s="82" t="s">
        <v>104</v>
      </c>
      <c r="N33" s="83" t="s">
        <v>390</v>
      </c>
      <c r="O33" s="104">
        <v>215.86</v>
      </c>
      <c r="P33" s="105">
        <f t="shared" si="0"/>
        <v>431.72</v>
      </c>
      <c r="Q33" s="102">
        <v>44323</v>
      </c>
      <c r="R33" s="55">
        <v>44386</v>
      </c>
      <c r="S33" s="145">
        <v>44413</v>
      </c>
      <c r="T33" s="84" t="s">
        <v>31</v>
      </c>
      <c r="U33" s="82" t="s">
        <v>611</v>
      </c>
      <c r="V33" s="89"/>
    </row>
    <row r="34" spans="1:22" x14ac:dyDescent="0.35">
      <c r="A34" s="91" t="s">
        <v>1134</v>
      </c>
      <c r="B34" s="83"/>
      <c r="C34" s="84"/>
      <c r="D34" s="83" t="s">
        <v>714</v>
      </c>
      <c r="E34" s="103" t="s">
        <v>631</v>
      </c>
      <c r="F34" s="85" t="s">
        <v>465</v>
      </c>
      <c r="G34" s="86" t="s">
        <v>675</v>
      </c>
      <c r="H34" s="87" t="s">
        <v>516</v>
      </c>
      <c r="I34" s="87" t="s">
        <v>548</v>
      </c>
      <c r="J34" s="88"/>
      <c r="K34" s="103" t="s">
        <v>14</v>
      </c>
      <c r="L34" s="83">
        <v>3</v>
      </c>
      <c r="M34" s="82" t="s">
        <v>104</v>
      </c>
      <c r="N34" s="83" t="s">
        <v>390</v>
      </c>
      <c r="O34" s="104">
        <v>262.89999999999998</v>
      </c>
      <c r="P34" s="105">
        <f t="shared" si="0"/>
        <v>788.69999999999993</v>
      </c>
      <c r="Q34" s="102">
        <v>44323</v>
      </c>
      <c r="R34" s="55">
        <v>44386</v>
      </c>
      <c r="S34" s="145">
        <v>44413</v>
      </c>
      <c r="T34" s="84" t="s">
        <v>31</v>
      </c>
      <c r="U34" s="82" t="s">
        <v>611</v>
      </c>
      <c r="V34" s="89"/>
    </row>
    <row r="35" spans="1:22" x14ac:dyDescent="0.35">
      <c r="A35" s="91" t="s">
        <v>1134</v>
      </c>
      <c r="B35" s="83"/>
      <c r="C35" s="84"/>
      <c r="D35" s="83" t="s">
        <v>714</v>
      </c>
      <c r="E35" s="103" t="s">
        <v>631</v>
      </c>
      <c r="F35" s="85" t="s">
        <v>466</v>
      </c>
      <c r="G35" s="86" t="s">
        <v>676</v>
      </c>
      <c r="H35" s="87" t="s">
        <v>517</v>
      </c>
      <c r="I35" s="87" t="s">
        <v>548</v>
      </c>
      <c r="J35" s="88"/>
      <c r="K35" s="103" t="s">
        <v>14</v>
      </c>
      <c r="L35" s="83">
        <v>2</v>
      </c>
      <c r="M35" s="82" t="s">
        <v>104</v>
      </c>
      <c r="N35" s="83" t="s">
        <v>390</v>
      </c>
      <c r="O35" s="104">
        <v>238</v>
      </c>
      <c r="P35" s="105">
        <f t="shared" si="0"/>
        <v>476</v>
      </c>
      <c r="Q35" s="102">
        <v>44323</v>
      </c>
      <c r="R35" s="55">
        <v>44386</v>
      </c>
      <c r="S35" s="145">
        <v>44413</v>
      </c>
      <c r="T35" s="84" t="s">
        <v>31</v>
      </c>
      <c r="U35" s="82" t="s">
        <v>611</v>
      </c>
      <c r="V35" s="89"/>
    </row>
    <row r="36" spans="1:22" x14ac:dyDescent="0.35">
      <c r="A36" s="91" t="s">
        <v>1134</v>
      </c>
      <c r="B36" s="83"/>
      <c r="C36" s="84"/>
      <c r="D36" s="83" t="s">
        <v>714</v>
      </c>
      <c r="E36" s="103" t="s">
        <v>631</v>
      </c>
      <c r="F36" s="85" t="s">
        <v>467</v>
      </c>
      <c r="G36" s="86" t="s">
        <v>677</v>
      </c>
      <c r="H36" s="87" t="s">
        <v>518</v>
      </c>
      <c r="I36" s="87" t="s">
        <v>548</v>
      </c>
      <c r="J36" s="88"/>
      <c r="K36" s="103" t="s">
        <v>14</v>
      </c>
      <c r="L36" s="83">
        <v>2</v>
      </c>
      <c r="M36" s="82" t="s">
        <v>104</v>
      </c>
      <c r="N36" s="83" t="s">
        <v>390</v>
      </c>
      <c r="O36" s="104">
        <v>215.86</v>
      </c>
      <c r="P36" s="105">
        <f t="shared" si="0"/>
        <v>431.72</v>
      </c>
      <c r="Q36" s="102">
        <v>44323</v>
      </c>
      <c r="R36" s="55">
        <v>44386</v>
      </c>
      <c r="S36" s="145">
        <v>44413</v>
      </c>
      <c r="T36" s="84" t="s">
        <v>31</v>
      </c>
      <c r="U36" s="82" t="s">
        <v>611</v>
      </c>
      <c r="V36" s="89"/>
    </row>
    <row r="37" spans="1:22" x14ac:dyDescent="0.35">
      <c r="A37" s="91" t="s">
        <v>1134</v>
      </c>
      <c r="B37" s="83"/>
      <c r="C37" s="84"/>
      <c r="D37" s="83" t="s">
        <v>714</v>
      </c>
      <c r="E37" s="103" t="s">
        <v>631</v>
      </c>
      <c r="F37" s="85" t="s">
        <v>468</v>
      </c>
      <c r="G37" s="86" t="s">
        <v>678</v>
      </c>
      <c r="H37" s="87" t="s">
        <v>519</v>
      </c>
      <c r="I37" s="87" t="s">
        <v>548</v>
      </c>
      <c r="J37" s="88"/>
      <c r="K37" s="103" t="s">
        <v>14</v>
      </c>
      <c r="L37" s="83">
        <v>2</v>
      </c>
      <c r="M37" s="82" t="s">
        <v>104</v>
      </c>
      <c r="N37" s="83" t="s">
        <v>390</v>
      </c>
      <c r="O37" s="104">
        <v>215.86</v>
      </c>
      <c r="P37" s="105">
        <f t="shared" si="0"/>
        <v>431.72</v>
      </c>
      <c r="Q37" s="102">
        <v>44323</v>
      </c>
      <c r="R37" s="55">
        <v>44386</v>
      </c>
      <c r="S37" s="145">
        <v>44413</v>
      </c>
      <c r="T37" s="84" t="s">
        <v>31</v>
      </c>
      <c r="U37" s="82" t="s">
        <v>611</v>
      </c>
      <c r="V37" s="89"/>
    </row>
    <row r="38" spans="1:22" x14ac:dyDescent="0.35">
      <c r="A38" s="91" t="s">
        <v>1134</v>
      </c>
      <c r="B38" s="83"/>
      <c r="C38" s="84"/>
      <c r="D38" s="83" t="s">
        <v>714</v>
      </c>
      <c r="E38" s="103" t="s">
        <v>631</v>
      </c>
      <c r="F38" s="85" t="s">
        <v>469</v>
      </c>
      <c r="G38" s="86" t="s">
        <v>679</v>
      </c>
      <c r="H38" s="87" t="s">
        <v>520</v>
      </c>
      <c r="I38" s="87" t="s">
        <v>548</v>
      </c>
      <c r="J38" s="88"/>
      <c r="K38" s="103" t="s">
        <v>14</v>
      </c>
      <c r="L38" s="83">
        <v>12</v>
      </c>
      <c r="M38" s="82" t="s">
        <v>104</v>
      </c>
      <c r="N38" s="83" t="s">
        <v>390</v>
      </c>
      <c r="O38" s="104">
        <v>33.21</v>
      </c>
      <c r="P38" s="105">
        <f t="shared" si="0"/>
        <v>398.52</v>
      </c>
      <c r="Q38" s="102">
        <v>44323</v>
      </c>
      <c r="R38" s="55">
        <v>44386</v>
      </c>
      <c r="S38" s="145">
        <v>44413</v>
      </c>
      <c r="T38" s="84" t="s">
        <v>31</v>
      </c>
      <c r="U38" s="82" t="s">
        <v>611</v>
      </c>
      <c r="V38" s="89"/>
    </row>
    <row r="39" spans="1:22" x14ac:dyDescent="0.35">
      <c r="A39" s="91" t="s">
        <v>1134</v>
      </c>
      <c r="B39" s="83"/>
      <c r="C39" s="84"/>
      <c r="D39" s="83" t="s">
        <v>714</v>
      </c>
      <c r="E39" s="103" t="s">
        <v>631</v>
      </c>
      <c r="F39" s="85" t="s">
        <v>470</v>
      </c>
      <c r="G39" s="86" t="s">
        <v>680</v>
      </c>
      <c r="H39" s="87" t="s">
        <v>521</v>
      </c>
      <c r="I39" s="87" t="s">
        <v>548</v>
      </c>
      <c r="J39" s="88"/>
      <c r="K39" s="103" t="s">
        <v>14</v>
      </c>
      <c r="L39" s="83">
        <v>20</v>
      </c>
      <c r="M39" s="82" t="s">
        <v>104</v>
      </c>
      <c r="N39" s="83" t="s">
        <v>390</v>
      </c>
      <c r="O39" s="104">
        <v>29.29</v>
      </c>
      <c r="P39" s="105">
        <f t="shared" si="0"/>
        <v>585.79999999999995</v>
      </c>
      <c r="Q39" s="102">
        <v>44323</v>
      </c>
      <c r="R39" s="55">
        <v>44386</v>
      </c>
      <c r="S39" s="145">
        <v>44413</v>
      </c>
      <c r="T39" s="84" t="s">
        <v>31</v>
      </c>
      <c r="U39" s="82" t="s">
        <v>611</v>
      </c>
      <c r="V39" s="89"/>
    </row>
    <row r="40" spans="1:22" x14ac:dyDescent="0.35">
      <c r="A40" s="91" t="s">
        <v>1134</v>
      </c>
      <c r="B40" s="83"/>
      <c r="C40" s="84"/>
      <c r="D40" s="83" t="s">
        <v>714</v>
      </c>
      <c r="E40" s="103" t="s">
        <v>631</v>
      </c>
      <c r="F40" s="85" t="s">
        <v>471</v>
      </c>
      <c r="G40" s="86" t="s">
        <v>681</v>
      </c>
      <c r="H40" s="87" t="s">
        <v>522</v>
      </c>
      <c r="I40" s="87" t="s">
        <v>548</v>
      </c>
      <c r="J40" s="88"/>
      <c r="K40" s="103" t="s">
        <v>14</v>
      </c>
      <c r="L40" s="83">
        <v>20</v>
      </c>
      <c r="M40" s="82" t="s">
        <v>104</v>
      </c>
      <c r="N40" s="83" t="s">
        <v>390</v>
      </c>
      <c r="O40" s="104">
        <v>30.5</v>
      </c>
      <c r="P40" s="105">
        <f t="shared" si="0"/>
        <v>610</v>
      </c>
      <c r="Q40" s="102">
        <v>44323</v>
      </c>
      <c r="R40" s="55">
        <v>44386</v>
      </c>
      <c r="S40" s="145">
        <v>44413</v>
      </c>
      <c r="T40" s="84" t="s">
        <v>31</v>
      </c>
      <c r="U40" s="82" t="s">
        <v>611</v>
      </c>
      <c r="V40" s="89"/>
    </row>
    <row r="41" spans="1:22" x14ac:dyDescent="0.35">
      <c r="A41" s="91" t="s">
        <v>1134</v>
      </c>
      <c r="B41" s="83"/>
      <c r="C41" s="84"/>
      <c r="D41" s="83" t="s">
        <v>714</v>
      </c>
      <c r="E41" s="103" t="s">
        <v>631</v>
      </c>
      <c r="F41" s="85" t="s">
        <v>472</v>
      </c>
      <c r="G41" s="86" t="s">
        <v>682</v>
      </c>
      <c r="H41" s="87" t="s">
        <v>523</v>
      </c>
      <c r="I41" s="87" t="s">
        <v>548</v>
      </c>
      <c r="J41" s="88"/>
      <c r="K41" s="103" t="s">
        <v>14</v>
      </c>
      <c r="L41" s="83">
        <v>24</v>
      </c>
      <c r="M41" s="82" t="s">
        <v>104</v>
      </c>
      <c r="N41" s="83" t="s">
        <v>390</v>
      </c>
      <c r="O41" s="104">
        <v>9.3000000000000007</v>
      </c>
      <c r="P41" s="105">
        <f t="shared" si="0"/>
        <v>223.20000000000002</v>
      </c>
      <c r="Q41" s="102">
        <v>44323</v>
      </c>
      <c r="R41" s="55">
        <v>44386</v>
      </c>
      <c r="S41" s="145">
        <v>44413</v>
      </c>
      <c r="T41" s="84" t="s">
        <v>31</v>
      </c>
      <c r="U41" s="82" t="s">
        <v>611</v>
      </c>
      <c r="V41" s="89"/>
    </row>
    <row r="42" spans="1:22" x14ac:dyDescent="0.35">
      <c r="A42" s="91" t="s">
        <v>1134</v>
      </c>
      <c r="B42" s="83"/>
      <c r="C42" s="84"/>
      <c r="D42" s="83" t="s">
        <v>714</v>
      </c>
      <c r="E42" s="103" t="s">
        <v>631</v>
      </c>
      <c r="F42" s="85" t="s">
        <v>473</v>
      </c>
      <c r="G42" s="86" t="s">
        <v>683</v>
      </c>
      <c r="H42" s="87" t="s">
        <v>524</v>
      </c>
      <c r="I42" s="87" t="s">
        <v>548</v>
      </c>
      <c r="J42" s="88"/>
      <c r="K42" s="103" t="s">
        <v>14</v>
      </c>
      <c r="L42" s="83">
        <v>30</v>
      </c>
      <c r="M42" s="82" t="s">
        <v>104</v>
      </c>
      <c r="N42" s="83" t="s">
        <v>390</v>
      </c>
      <c r="O42" s="104">
        <v>0.57999999999999996</v>
      </c>
      <c r="P42" s="105">
        <f t="shared" si="0"/>
        <v>17.399999999999999</v>
      </c>
      <c r="Q42" s="102">
        <v>44323</v>
      </c>
      <c r="R42" s="55">
        <v>44386</v>
      </c>
      <c r="S42" s="145">
        <v>44413</v>
      </c>
      <c r="T42" s="84" t="s">
        <v>31</v>
      </c>
      <c r="U42" s="82" t="s">
        <v>611</v>
      </c>
      <c r="V42" s="89"/>
    </row>
    <row r="43" spans="1:22" x14ac:dyDescent="0.35">
      <c r="A43" s="91" t="s">
        <v>1134</v>
      </c>
      <c r="B43" s="83"/>
      <c r="C43" s="84"/>
      <c r="D43" s="83" t="s">
        <v>714</v>
      </c>
      <c r="E43" s="103" t="s">
        <v>631</v>
      </c>
      <c r="F43" s="85" t="s">
        <v>473</v>
      </c>
      <c r="G43" s="86" t="s">
        <v>683</v>
      </c>
      <c r="H43" s="87" t="s">
        <v>525</v>
      </c>
      <c r="I43" s="87" t="s">
        <v>548</v>
      </c>
      <c r="J43" s="88"/>
      <c r="K43" s="103" t="s">
        <v>14</v>
      </c>
      <c r="L43" s="83">
        <v>20</v>
      </c>
      <c r="M43" s="82" t="s">
        <v>104</v>
      </c>
      <c r="N43" s="83" t="s">
        <v>390</v>
      </c>
      <c r="O43" s="104">
        <v>0.57999999999999996</v>
      </c>
      <c r="P43" s="105">
        <f t="shared" si="0"/>
        <v>11.6</v>
      </c>
      <c r="Q43" s="102">
        <v>44323</v>
      </c>
      <c r="R43" s="55">
        <v>44386</v>
      </c>
      <c r="S43" s="145">
        <v>44413</v>
      </c>
      <c r="T43" s="84" t="s">
        <v>31</v>
      </c>
      <c r="U43" s="82" t="s">
        <v>611</v>
      </c>
      <c r="V43" s="89"/>
    </row>
    <row r="44" spans="1:22" x14ac:dyDescent="0.35">
      <c r="A44" s="91" t="s">
        <v>1134</v>
      </c>
      <c r="B44" s="83"/>
      <c r="C44" s="84"/>
      <c r="D44" s="83" t="s">
        <v>714</v>
      </c>
      <c r="E44" s="103" t="s">
        <v>631</v>
      </c>
      <c r="F44" s="85" t="s">
        <v>722</v>
      </c>
      <c r="G44" s="86" t="s">
        <v>684</v>
      </c>
      <c r="H44" s="87" t="s">
        <v>526</v>
      </c>
      <c r="I44" s="87" t="s">
        <v>548</v>
      </c>
      <c r="J44" s="88"/>
      <c r="K44" s="103" t="s">
        <v>14</v>
      </c>
      <c r="L44" s="83">
        <v>1</v>
      </c>
      <c r="M44" s="82" t="s">
        <v>104</v>
      </c>
      <c r="N44" s="83" t="s">
        <v>390</v>
      </c>
      <c r="O44" s="104">
        <v>569.78</v>
      </c>
      <c r="P44" s="105">
        <f t="shared" si="0"/>
        <v>569.78</v>
      </c>
      <c r="Q44" s="102">
        <v>44323</v>
      </c>
      <c r="R44" s="55">
        <v>44386</v>
      </c>
      <c r="S44" s="145">
        <v>44413</v>
      </c>
      <c r="T44" s="84" t="s">
        <v>31</v>
      </c>
      <c r="U44" s="82" t="s">
        <v>611</v>
      </c>
      <c r="V44" s="89"/>
    </row>
    <row r="45" spans="1:22" x14ac:dyDescent="0.35">
      <c r="A45" s="91" t="s">
        <v>1134</v>
      </c>
      <c r="B45" s="83"/>
      <c r="C45" s="84"/>
      <c r="D45" s="83" t="s">
        <v>714</v>
      </c>
      <c r="E45" s="103" t="s">
        <v>631</v>
      </c>
      <c r="F45" s="85" t="s">
        <v>460</v>
      </c>
      <c r="G45" s="86" t="s">
        <v>670</v>
      </c>
      <c r="H45" s="87" t="s">
        <v>527</v>
      </c>
      <c r="I45" s="87" t="s">
        <v>548</v>
      </c>
      <c r="J45" s="88"/>
      <c r="K45" s="103" t="s">
        <v>14</v>
      </c>
      <c r="L45" s="83">
        <v>50</v>
      </c>
      <c r="M45" s="82" t="s">
        <v>104</v>
      </c>
      <c r="N45" s="83" t="s">
        <v>390</v>
      </c>
      <c r="O45" s="104">
        <v>0.06</v>
      </c>
      <c r="P45" s="105">
        <f t="shared" si="0"/>
        <v>3</v>
      </c>
      <c r="Q45" s="102">
        <v>44323</v>
      </c>
      <c r="R45" s="55">
        <v>44386</v>
      </c>
      <c r="S45" s="145">
        <v>44413</v>
      </c>
      <c r="T45" s="84" t="s">
        <v>31</v>
      </c>
      <c r="U45" s="82" t="s">
        <v>611</v>
      </c>
      <c r="V45" s="89"/>
    </row>
    <row r="46" spans="1:22" x14ac:dyDescent="0.35">
      <c r="A46" s="91" t="s">
        <v>1134</v>
      </c>
      <c r="B46" s="83"/>
      <c r="C46" s="84"/>
      <c r="D46" s="83" t="s">
        <v>714</v>
      </c>
      <c r="E46" s="103" t="s">
        <v>631</v>
      </c>
      <c r="F46" s="85" t="s">
        <v>460</v>
      </c>
      <c r="G46" s="86" t="s">
        <v>670</v>
      </c>
      <c r="H46" s="87" t="s">
        <v>528</v>
      </c>
      <c r="I46" s="87" t="s">
        <v>548</v>
      </c>
      <c r="J46" s="88"/>
      <c r="K46" s="103" t="s">
        <v>14</v>
      </c>
      <c r="L46" s="83">
        <v>24</v>
      </c>
      <c r="M46" s="82" t="s">
        <v>104</v>
      </c>
      <c r="N46" s="83" t="s">
        <v>390</v>
      </c>
      <c r="O46" s="104">
        <v>0.04</v>
      </c>
      <c r="P46" s="105">
        <f t="shared" si="0"/>
        <v>0.96</v>
      </c>
      <c r="Q46" s="102">
        <v>44323</v>
      </c>
      <c r="R46" s="55">
        <v>44386</v>
      </c>
      <c r="S46" s="145">
        <v>44413</v>
      </c>
      <c r="T46" s="84" t="s">
        <v>31</v>
      </c>
      <c r="U46" s="82" t="s">
        <v>611</v>
      </c>
      <c r="V46" s="89"/>
    </row>
    <row r="47" spans="1:22" x14ac:dyDescent="0.35">
      <c r="A47" s="91" t="s">
        <v>1134</v>
      </c>
      <c r="B47" s="83"/>
      <c r="C47" s="84"/>
      <c r="D47" s="83" t="s">
        <v>714</v>
      </c>
      <c r="E47" s="103" t="s">
        <v>631</v>
      </c>
      <c r="F47" s="85" t="s">
        <v>460</v>
      </c>
      <c r="G47" s="86" t="s">
        <v>670</v>
      </c>
      <c r="H47" s="87" t="s">
        <v>529</v>
      </c>
      <c r="I47" s="87" t="s">
        <v>548</v>
      </c>
      <c r="J47" s="88"/>
      <c r="K47" s="103" t="s">
        <v>14</v>
      </c>
      <c r="L47" s="83">
        <v>60</v>
      </c>
      <c r="M47" s="82" t="s">
        <v>104</v>
      </c>
      <c r="N47" s="83" t="s">
        <v>390</v>
      </c>
      <c r="O47" s="104">
        <v>0.04</v>
      </c>
      <c r="P47" s="105">
        <f t="shared" si="0"/>
        <v>2.4</v>
      </c>
      <c r="Q47" s="102">
        <v>44323</v>
      </c>
      <c r="R47" s="55">
        <v>44386</v>
      </c>
      <c r="S47" s="145">
        <v>44413</v>
      </c>
      <c r="T47" s="84" t="s">
        <v>31</v>
      </c>
      <c r="U47" s="82" t="s">
        <v>611</v>
      </c>
      <c r="V47" s="89"/>
    </row>
    <row r="48" spans="1:22" x14ac:dyDescent="0.35">
      <c r="A48" s="91" t="s">
        <v>1134</v>
      </c>
      <c r="B48" s="83"/>
      <c r="C48" s="84"/>
      <c r="D48" s="83" t="s">
        <v>714</v>
      </c>
      <c r="E48" s="103" t="s">
        <v>631</v>
      </c>
      <c r="F48" s="85" t="s">
        <v>460</v>
      </c>
      <c r="G48" s="86" t="s">
        <v>670</v>
      </c>
      <c r="H48" s="87" t="s">
        <v>530</v>
      </c>
      <c r="I48" s="87" t="s">
        <v>548</v>
      </c>
      <c r="J48" s="88"/>
      <c r="K48" s="103" t="s">
        <v>14</v>
      </c>
      <c r="L48" s="83">
        <v>4</v>
      </c>
      <c r="M48" s="82" t="s">
        <v>104</v>
      </c>
      <c r="N48" s="83" t="s">
        <v>390</v>
      </c>
      <c r="O48" s="104">
        <v>7.0000000000000007E-2</v>
      </c>
      <c r="P48" s="105">
        <f t="shared" si="0"/>
        <v>0.28000000000000003</v>
      </c>
      <c r="Q48" s="102">
        <v>44323</v>
      </c>
      <c r="R48" s="55">
        <v>44386</v>
      </c>
      <c r="S48" s="145">
        <v>44413</v>
      </c>
      <c r="T48" s="84" t="s">
        <v>31</v>
      </c>
      <c r="U48" s="82" t="s">
        <v>611</v>
      </c>
      <c r="V48" s="89"/>
    </row>
    <row r="49" spans="1:22" x14ac:dyDescent="0.35">
      <c r="A49" s="91" t="s">
        <v>1134</v>
      </c>
      <c r="B49" s="83"/>
      <c r="C49" s="84"/>
      <c r="D49" s="83" t="s">
        <v>714</v>
      </c>
      <c r="E49" s="103" t="s">
        <v>631</v>
      </c>
      <c r="F49" s="85" t="s">
        <v>474</v>
      </c>
      <c r="G49" s="86" t="s">
        <v>685</v>
      </c>
      <c r="H49" s="87" t="s">
        <v>531</v>
      </c>
      <c r="I49" s="87" t="s">
        <v>548</v>
      </c>
      <c r="J49" s="88"/>
      <c r="K49" s="103" t="s">
        <v>14</v>
      </c>
      <c r="L49" s="83">
        <v>24</v>
      </c>
      <c r="M49" s="82" t="s">
        <v>104</v>
      </c>
      <c r="N49" s="83" t="s">
        <v>390</v>
      </c>
      <c r="O49" s="104">
        <v>3.24</v>
      </c>
      <c r="P49" s="105">
        <f t="shared" si="0"/>
        <v>77.760000000000005</v>
      </c>
      <c r="Q49" s="102">
        <v>44323</v>
      </c>
      <c r="R49" s="55">
        <v>44386</v>
      </c>
      <c r="S49" s="145">
        <v>44413</v>
      </c>
      <c r="T49" s="84" t="s">
        <v>31</v>
      </c>
      <c r="U49" s="82" t="s">
        <v>611</v>
      </c>
      <c r="V49" s="89"/>
    </row>
    <row r="50" spans="1:22" x14ac:dyDescent="0.35">
      <c r="A50" s="91" t="s">
        <v>1134</v>
      </c>
      <c r="B50" s="83"/>
      <c r="C50" s="84"/>
      <c r="D50" s="83" t="s">
        <v>714</v>
      </c>
      <c r="E50" s="103" t="s">
        <v>631</v>
      </c>
      <c r="F50" s="85" t="s">
        <v>475</v>
      </c>
      <c r="G50" s="86" t="s">
        <v>686</v>
      </c>
      <c r="H50" s="87" t="s">
        <v>532</v>
      </c>
      <c r="I50" s="87" t="s">
        <v>548</v>
      </c>
      <c r="J50" s="88"/>
      <c r="K50" s="103" t="s">
        <v>14</v>
      </c>
      <c r="L50" s="83">
        <v>20</v>
      </c>
      <c r="M50" s="82" t="s">
        <v>104</v>
      </c>
      <c r="N50" s="83" t="s">
        <v>390</v>
      </c>
      <c r="O50" s="104">
        <v>6.92</v>
      </c>
      <c r="P50" s="105">
        <f t="shared" si="0"/>
        <v>138.4</v>
      </c>
      <c r="Q50" s="102">
        <v>44323</v>
      </c>
      <c r="R50" s="55">
        <v>44386</v>
      </c>
      <c r="S50" s="145">
        <v>44413</v>
      </c>
      <c r="T50" s="84" t="s">
        <v>31</v>
      </c>
      <c r="U50" s="82" t="s">
        <v>611</v>
      </c>
      <c r="V50" s="89"/>
    </row>
    <row r="51" spans="1:22" x14ac:dyDescent="0.35">
      <c r="A51" s="91" t="s">
        <v>1134</v>
      </c>
      <c r="B51" s="83"/>
      <c r="C51" s="84"/>
      <c r="D51" s="83" t="s">
        <v>714</v>
      </c>
      <c r="E51" s="103" t="s">
        <v>631</v>
      </c>
      <c r="F51" s="85" t="s">
        <v>476</v>
      </c>
      <c r="G51" s="86" t="s">
        <v>687</v>
      </c>
      <c r="H51" s="87" t="s">
        <v>533</v>
      </c>
      <c r="I51" s="87" t="s">
        <v>548</v>
      </c>
      <c r="J51" s="88"/>
      <c r="K51" s="103" t="s">
        <v>14</v>
      </c>
      <c r="L51" s="83">
        <v>20</v>
      </c>
      <c r="M51" s="82" t="s">
        <v>104</v>
      </c>
      <c r="N51" s="83" t="s">
        <v>390</v>
      </c>
      <c r="O51" s="104">
        <v>0.06</v>
      </c>
      <c r="P51" s="105">
        <f t="shared" si="0"/>
        <v>1.2</v>
      </c>
      <c r="Q51" s="102">
        <v>44323</v>
      </c>
      <c r="R51" s="55">
        <v>44386</v>
      </c>
      <c r="S51" s="145">
        <v>44413</v>
      </c>
      <c r="T51" s="84" t="s">
        <v>31</v>
      </c>
      <c r="U51" s="82" t="s">
        <v>611</v>
      </c>
      <c r="V51" s="89"/>
    </row>
    <row r="52" spans="1:22" x14ac:dyDescent="0.35">
      <c r="A52" s="91" t="s">
        <v>1134</v>
      </c>
      <c r="B52" s="83"/>
      <c r="C52" s="84"/>
      <c r="D52" s="83" t="s">
        <v>714</v>
      </c>
      <c r="E52" s="103" t="s">
        <v>631</v>
      </c>
      <c r="F52" s="85" t="s">
        <v>477</v>
      </c>
      <c r="G52" s="86" t="s">
        <v>688</v>
      </c>
      <c r="H52" s="87" t="s">
        <v>534</v>
      </c>
      <c r="I52" s="87" t="s">
        <v>548</v>
      </c>
      <c r="J52" s="88"/>
      <c r="K52" s="103" t="s">
        <v>14</v>
      </c>
      <c r="L52" s="83">
        <v>30</v>
      </c>
      <c r="M52" s="82" t="s">
        <v>104</v>
      </c>
      <c r="N52" s="83" t="s">
        <v>390</v>
      </c>
      <c r="O52" s="104">
        <v>0.25</v>
      </c>
      <c r="P52" s="105">
        <f t="shared" si="0"/>
        <v>7.5</v>
      </c>
      <c r="Q52" s="102">
        <v>44323</v>
      </c>
      <c r="R52" s="55">
        <v>44386</v>
      </c>
      <c r="S52" s="145">
        <v>44413</v>
      </c>
      <c r="T52" s="84" t="s">
        <v>31</v>
      </c>
      <c r="U52" s="82" t="s">
        <v>611</v>
      </c>
      <c r="V52" s="89"/>
    </row>
    <row r="53" spans="1:22" x14ac:dyDescent="0.35">
      <c r="A53" s="91" t="s">
        <v>1134</v>
      </c>
      <c r="B53" s="83"/>
      <c r="C53" s="84"/>
      <c r="D53" s="83" t="s">
        <v>714</v>
      </c>
      <c r="E53" s="103" t="s">
        <v>631</v>
      </c>
      <c r="F53" s="85" t="s">
        <v>478</v>
      </c>
      <c r="G53" s="86" t="s">
        <v>689</v>
      </c>
      <c r="H53" s="87" t="s">
        <v>535</v>
      </c>
      <c r="I53" s="87" t="s">
        <v>548</v>
      </c>
      <c r="J53" s="88"/>
      <c r="K53" s="103" t="s">
        <v>14</v>
      </c>
      <c r="L53" s="83">
        <v>24</v>
      </c>
      <c r="M53" s="82" t="s">
        <v>104</v>
      </c>
      <c r="N53" s="83" t="s">
        <v>390</v>
      </c>
      <c r="O53" s="104">
        <v>19.22</v>
      </c>
      <c r="P53" s="105">
        <f t="shared" si="0"/>
        <v>461.28</v>
      </c>
      <c r="Q53" s="102">
        <v>44323</v>
      </c>
      <c r="R53" s="55">
        <v>44386</v>
      </c>
      <c r="S53" s="145">
        <v>44413</v>
      </c>
      <c r="T53" s="84" t="s">
        <v>31</v>
      </c>
      <c r="U53" s="82" t="s">
        <v>611</v>
      </c>
      <c r="V53" s="89"/>
    </row>
    <row r="54" spans="1:22" x14ac:dyDescent="0.35">
      <c r="A54" s="91" t="s">
        <v>1134</v>
      </c>
      <c r="B54" s="83"/>
      <c r="C54" s="84"/>
      <c r="D54" s="83" t="s">
        <v>714</v>
      </c>
      <c r="E54" s="103" t="s">
        <v>631</v>
      </c>
      <c r="F54" s="85" t="s">
        <v>479</v>
      </c>
      <c r="G54" s="86" t="s">
        <v>690</v>
      </c>
      <c r="H54" s="87" t="s">
        <v>536</v>
      </c>
      <c r="I54" s="87" t="s">
        <v>548</v>
      </c>
      <c r="J54" s="88"/>
      <c r="K54" s="103" t="s">
        <v>14</v>
      </c>
      <c r="L54" s="83">
        <v>50</v>
      </c>
      <c r="M54" s="82" t="s">
        <v>104</v>
      </c>
      <c r="N54" s="83" t="s">
        <v>390</v>
      </c>
      <c r="O54" s="104">
        <v>3.08</v>
      </c>
      <c r="P54" s="105">
        <f t="shared" si="0"/>
        <v>154</v>
      </c>
      <c r="Q54" s="102">
        <v>44323</v>
      </c>
      <c r="R54" s="55">
        <v>44386</v>
      </c>
      <c r="S54" s="145">
        <v>44413</v>
      </c>
      <c r="T54" s="84" t="s">
        <v>31</v>
      </c>
      <c r="U54" s="82" t="s">
        <v>611</v>
      </c>
      <c r="V54" s="89"/>
    </row>
    <row r="55" spans="1:22" x14ac:dyDescent="0.35">
      <c r="A55" s="91" t="s">
        <v>1134</v>
      </c>
      <c r="B55" s="83"/>
      <c r="C55" s="84"/>
      <c r="D55" s="83" t="s">
        <v>714</v>
      </c>
      <c r="E55" s="103" t="s">
        <v>631</v>
      </c>
      <c r="F55" s="85" t="s">
        <v>480</v>
      </c>
      <c r="G55" s="86" t="s">
        <v>691</v>
      </c>
      <c r="H55" s="87" t="s">
        <v>537</v>
      </c>
      <c r="I55" s="87" t="s">
        <v>548</v>
      </c>
      <c r="J55" s="88"/>
      <c r="K55" s="103" t="s">
        <v>14</v>
      </c>
      <c r="L55" s="83">
        <v>20</v>
      </c>
      <c r="M55" s="82" t="s">
        <v>104</v>
      </c>
      <c r="N55" s="83" t="s">
        <v>390</v>
      </c>
      <c r="O55" s="104">
        <v>9.84</v>
      </c>
      <c r="P55" s="105">
        <f t="shared" si="0"/>
        <v>196.8</v>
      </c>
      <c r="Q55" s="102">
        <v>44323</v>
      </c>
      <c r="R55" s="55">
        <v>44386</v>
      </c>
      <c r="S55" s="145">
        <v>44413</v>
      </c>
      <c r="T55" s="84" t="s">
        <v>31</v>
      </c>
      <c r="U55" s="82" t="s">
        <v>611</v>
      </c>
      <c r="V55" s="89"/>
    </row>
    <row r="56" spans="1:22" x14ac:dyDescent="0.35">
      <c r="A56" s="91" t="s">
        <v>1134</v>
      </c>
      <c r="B56" s="83"/>
      <c r="C56" s="84"/>
      <c r="D56" s="83" t="s">
        <v>714</v>
      </c>
      <c r="E56" s="103" t="s">
        <v>631</v>
      </c>
      <c r="F56" s="85" t="s">
        <v>481</v>
      </c>
      <c r="G56" s="86" t="s">
        <v>692</v>
      </c>
      <c r="H56" s="87" t="s">
        <v>538</v>
      </c>
      <c r="I56" s="87" t="s">
        <v>548</v>
      </c>
      <c r="J56" s="88"/>
      <c r="K56" s="103" t="s">
        <v>14</v>
      </c>
      <c r="L56" s="83">
        <v>1</v>
      </c>
      <c r="M56" s="82" t="s">
        <v>104</v>
      </c>
      <c r="N56" s="83" t="s">
        <v>390</v>
      </c>
      <c r="O56" s="104">
        <v>2010.24</v>
      </c>
      <c r="P56" s="105">
        <f t="shared" si="0"/>
        <v>2010.24</v>
      </c>
      <c r="Q56" s="102">
        <v>44323</v>
      </c>
      <c r="R56" s="55">
        <v>44386</v>
      </c>
      <c r="S56" s="145">
        <v>44413</v>
      </c>
      <c r="T56" s="84" t="s">
        <v>31</v>
      </c>
      <c r="U56" s="82" t="s">
        <v>611</v>
      </c>
      <c r="V56" s="89"/>
    </row>
    <row r="57" spans="1:22" x14ac:dyDescent="0.35">
      <c r="A57" s="91" t="s">
        <v>1134</v>
      </c>
      <c r="B57" s="83"/>
      <c r="C57" s="84"/>
      <c r="D57" s="83" t="s">
        <v>714</v>
      </c>
      <c r="E57" s="103" t="s">
        <v>631</v>
      </c>
      <c r="F57" s="85" t="s">
        <v>482</v>
      </c>
      <c r="G57" s="86" t="s">
        <v>693</v>
      </c>
      <c r="H57" s="87" t="s">
        <v>539</v>
      </c>
      <c r="I57" s="87" t="s">
        <v>548</v>
      </c>
      <c r="J57" s="88"/>
      <c r="K57" s="103" t="s">
        <v>14</v>
      </c>
      <c r="L57" s="83">
        <v>1</v>
      </c>
      <c r="M57" s="82" t="s">
        <v>104</v>
      </c>
      <c r="N57" s="83" t="s">
        <v>390</v>
      </c>
      <c r="O57" s="104">
        <v>1270.4100000000001</v>
      </c>
      <c r="P57" s="105">
        <f t="shared" si="0"/>
        <v>1270.4100000000001</v>
      </c>
      <c r="Q57" s="102">
        <v>44323</v>
      </c>
      <c r="R57" s="55">
        <v>44386</v>
      </c>
      <c r="S57" s="145">
        <v>44413</v>
      </c>
      <c r="T57" s="84" t="s">
        <v>31</v>
      </c>
      <c r="U57" s="82" t="s">
        <v>611</v>
      </c>
      <c r="V57" s="89"/>
    </row>
    <row r="58" spans="1:22" x14ac:dyDescent="0.35">
      <c r="A58" s="91" t="s">
        <v>1134</v>
      </c>
      <c r="B58" s="83"/>
      <c r="C58" s="84"/>
      <c r="D58" s="83" t="s">
        <v>714</v>
      </c>
      <c r="E58" s="103" t="s">
        <v>631</v>
      </c>
      <c r="F58" s="85" t="s">
        <v>483</v>
      </c>
      <c r="G58" s="86" t="s">
        <v>694</v>
      </c>
      <c r="H58" s="87" t="s">
        <v>540</v>
      </c>
      <c r="I58" s="87" t="s">
        <v>548</v>
      </c>
      <c r="J58" s="88"/>
      <c r="K58" s="103" t="s">
        <v>14</v>
      </c>
      <c r="L58" s="83">
        <v>1</v>
      </c>
      <c r="M58" s="82" t="s">
        <v>104</v>
      </c>
      <c r="N58" s="83" t="s">
        <v>390</v>
      </c>
      <c r="O58" s="104">
        <v>69.88</v>
      </c>
      <c r="P58" s="105">
        <f t="shared" si="0"/>
        <v>69.88</v>
      </c>
      <c r="Q58" s="102">
        <v>44323</v>
      </c>
      <c r="R58" s="55">
        <v>44386</v>
      </c>
      <c r="S58" s="145">
        <v>44413</v>
      </c>
      <c r="T58" s="84" t="s">
        <v>31</v>
      </c>
      <c r="U58" s="82" t="s">
        <v>611</v>
      </c>
      <c r="V58" s="89"/>
    </row>
    <row r="59" spans="1:22" x14ac:dyDescent="0.35">
      <c r="A59" s="91" t="s">
        <v>1134</v>
      </c>
      <c r="B59" s="83"/>
      <c r="C59" s="84"/>
      <c r="D59" s="83" t="s">
        <v>714</v>
      </c>
      <c r="E59" s="103" t="s">
        <v>631</v>
      </c>
      <c r="F59" s="85" t="s">
        <v>484</v>
      </c>
      <c r="G59" s="86" t="s">
        <v>695</v>
      </c>
      <c r="H59" s="87" t="s">
        <v>541</v>
      </c>
      <c r="I59" s="87" t="s">
        <v>548</v>
      </c>
      <c r="J59" s="88"/>
      <c r="K59" s="103" t="s">
        <v>14</v>
      </c>
      <c r="L59" s="83">
        <v>1</v>
      </c>
      <c r="M59" s="82" t="s">
        <v>104</v>
      </c>
      <c r="N59" s="83" t="s">
        <v>390</v>
      </c>
      <c r="O59" s="104">
        <v>10.76</v>
      </c>
      <c r="P59" s="105">
        <f t="shared" si="0"/>
        <v>10.76</v>
      </c>
      <c r="Q59" s="102">
        <v>44323</v>
      </c>
      <c r="R59" s="55">
        <v>44386</v>
      </c>
      <c r="S59" s="145">
        <v>44413</v>
      </c>
      <c r="T59" s="84" t="s">
        <v>31</v>
      </c>
      <c r="U59" s="82" t="s">
        <v>611</v>
      </c>
      <c r="V59" s="89"/>
    </row>
    <row r="60" spans="1:22" x14ac:dyDescent="0.35">
      <c r="A60" s="91" t="s">
        <v>1134</v>
      </c>
      <c r="B60" s="83"/>
      <c r="C60" s="84"/>
      <c r="D60" s="83" t="s">
        <v>714</v>
      </c>
      <c r="E60" s="103" t="s">
        <v>631</v>
      </c>
      <c r="F60" s="85" t="s">
        <v>485</v>
      </c>
      <c r="G60" s="86" t="s">
        <v>696</v>
      </c>
      <c r="H60" s="87" t="s">
        <v>542</v>
      </c>
      <c r="I60" s="87" t="s">
        <v>548</v>
      </c>
      <c r="J60" s="88"/>
      <c r="K60" s="103" t="s">
        <v>14</v>
      </c>
      <c r="L60" s="83">
        <v>15</v>
      </c>
      <c r="M60" s="82" t="s">
        <v>104</v>
      </c>
      <c r="N60" s="83" t="s">
        <v>390</v>
      </c>
      <c r="O60" s="104">
        <v>63.42</v>
      </c>
      <c r="P60" s="105">
        <f t="shared" si="0"/>
        <v>951.30000000000007</v>
      </c>
      <c r="Q60" s="102">
        <v>44323</v>
      </c>
      <c r="R60" s="55">
        <v>44386</v>
      </c>
      <c r="S60" s="145">
        <v>44413</v>
      </c>
      <c r="T60" s="84" t="s">
        <v>31</v>
      </c>
      <c r="U60" s="82" t="s">
        <v>611</v>
      </c>
      <c r="V60" s="89"/>
    </row>
    <row r="61" spans="1:22" x14ac:dyDescent="0.35">
      <c r="A61" s="91" t="s">
        <v>1134</v>
      </c>
      <c r="B61" s="83"/>
      <c r="C61" s="84"/>
      <c r="D61" s="83" t="s">
        <v>714</v>
      </c>
      <c r="E61" s="103" t="s">
        <v>631</v>
      </c>
      <c r="F61" s="85" t="s">
        <v>486</v>
      </c>
      <c r="G61" s="86" t="s">
        <v>697</v>
      </c>
      <c r="H61" s="87" t="s">
        <v>543</v>
      </c>
      <c r="I61" s="87" t="s">
        <v>548</v>
      </c>
      <c r="J61" s="88"/>
      <c r="K61" s="103" t="s">
        <v>14</v>
      </c>
      <c r="L61" s="83">
        <v>15</v>
      </c>
      <c r="M61" s="82" t="s">
        <v>104</v>
      </c>
      <c r="N61" s="83" t="s">
        <v>390</v>
      </c>
      <c r="O61" s="104">
        <v>429.88</v>
      </c>
      <c r="P61" s="105">
        <f t="shared" si="0"/>
        <v>6448.2</v>
      </c>
      <c r="Q61" s="102">
        <v>44323</v>
      </c>
      <c r="R61" s="55">
        <v>44386</v>
      </c>
      <c r="S61" s="145">
        <v>44413</v>
      </c>
      <c r="T61" s="84" t="s">
        <v>31</v>
      </c>
      <c r="U61" s="82" t="s">
        <v>611</v>
      </c>
      <c r="V61" s="89"/>
    </row>
    <row r="62" spans="1:22" x14ac:dyDescent="0.35">
      <c r="A62" s="91" t="s">
        <v>1134</v>
      </c>
      <c r="B62" s="83"/>
      <c r="C62" s="84"/>
      <c r="D62" s="83" t="s">
        <v>714</v>
      </c>
      <c r="E62" s="103" t="s">
        <v>631</v>
      </c>
      <c r="F62" s="85" t="s">
        <v>487</v>
      </c>
      <c r="G62" s="86" t="s">
        <v>698</v>
      </c>
      <c r="H62" s="87" t="s">
        <v>544</v>
      </c>
      <c r="I62" s="87" t="s">
        <v>548</v>
      </c>
      <c r="J62" s="88"/>
      <c r="K62" s="103" t="s">
        <v>14</v>
      </c>
      <c r="L62" s="83">
        <v>15</v>
      </c>
      <c r="M62" s="82" t="s">
        <v>104</v>
      </c>
      <c r="N62" s="83" t="s">
        <v>390</v>
      </c>
      <c r="O62" s="104">
        <v>13.3</v>
      </c>
      <c r="P62" s="105">
        <f t="shared" si="0"/>
        <v>199.5</v>
      </c>
      <c r="Q62" s="102">
        <v>44323</v>
      </c>
      <c r="R62" s="55">
        <v>44386</v>
      </c>
      <c r="S62" s="145">
        <v>44413</v>
      </c>
      <c r="T62" s="84" t="s">
        <v>31</v>
      </c>
      <c r="U62" s="82" t="s">
        <v>611</v>
      </c>
      <c r="V62" s="89"/>
    </row>
    <row r="63" spans="1:22" x14ac:dyDescent="0.35">
      <c r="A63" s="91" t="s">
        <v>1134</v>
      </c>
      <c r="B63" s="83"/>
      <c r="C63" s="84"/>
      <c r="D63" s="83" t="s">
        <v>714</v>
      </c>
      <c r="E63" s="103" t="s">
        <v>631</v>
      </c>
      <c r="F63" s="85" t="s">
        <v>460</v>
      </c>
      <c r="G63" s="86" t="s">
        <v>670</v>
      </c>
      <c r="H63" s="87" t="s">
        <v>545</v>
      </c>
      <c r="I63" s="87" t="s">
        <v>548</v>
      </c>
      <c r="J63" s="88"/>
      <c r="K63" s="103" t="s">
        <v>14</v>
      </c>
      <c r="L63" s="83">
        <v>24</v>
      </c>
      <c r="M63" s="82" t="s">
        <v>104</v>
      </c>
      <c r="N63" s="83" t="s">
        <v>390</v>
      </c>
      <c r="O63" s="104">
        <v>5.23</v>
      </c>
      <c r="P63" s="105">
        <f t="shared" si="0"/>
        <v>125.52000000000001</v>
      </c>
      <c r="Q63" s="102">
        <v>44323</v>
      </c>
      <c r="R63" s="55">
        <v>44386</v>
      </c>
      <c r="S63" s="145">
        <v>44413</v>
      </c>
      <c r="T63" s="84" t="s">
        <v>31</v>
      </c>
      <c r="U63" s="82" t="s">
        <v>611</v>
      </c>
      <c r="V63" s="89"/>
    </row>
    <row r="64" spans="1:22" x14ac:dyDescent="0.35">
      <c r="A64" s="91" t="s">
        <v>1134</v>
      </c>
      <c r="B64" s="82"/>
      <c r="C64" s="82"/>
      <c r="D64" s="83" t="s">
        <v>714</v>
      </c>
      <c r="E64" s="82" t="s">
        <v>631</v>
      </c>
      <c r="F64" s="85" t="s">
        <v>460</v>
      </c>
      <c r="G64" s="85" t="s">
        <v>670</v>
      </c>
      <c r="H64" s="82" t="s">
        <v>546</v>
      </c>
      <c r="I64" s="82" t="s">
        <v>548</v>
      </c>
      <c r="J64" s="107"/>
      <c r="K64" s="103" t="s">
        <v>14</v>
      </c>
      <c r="L64" s="82">
        <v>24</v>
      </c>
      <c r="M64" s="82" t="s">
        <v>104</v>
      </c>
      <c r="N64" s="82" t="s">
        <v>390</v>
      </c>
      <c r="O64" s="105">
        <v>2.4900000000000002</v>
      </c>
      <c r="P64" s="105">
        <f t="shared" si="0"/>
        <v>59.760000000000005</v>
      </c>
      <c r="Q64" s="102">
        <v>44323</v>
      </c>
      <c r="R64" s="55">
        <v>44386</v>
      </c>
      <c r="S64" s="145">
        <v>44413</v>
      </c>
      <c r="T64" s="82" t="s">
        <v>31</v>
      </c>
      <c r="U64" s="82" t="s">
        <v>611</v>
      </c>
      <c r="V64" s="89"/>
    </row>
    <row r="65" spans="1:22" x14ac:dyDescent="0.35">
      <c r="A65" s="91" t="s">
        <v>1134</v>
      </c>
      <c r="B65" s="82"/>
      <c r="C65" s="82"/>
      <c r="D65" s="83" t="s">
        <v>714</v>
      </c>
      <c r="E65" s="82" t="s">
        <v>631</v>
      </c>
      <c r="F65" s="85" t="s">
        <v>460</v>
      </c>
      <c r="G65" s="85" t="s">
        <v>670</v>
      </c>
      <c r="H65" s="82" t="s">
        <v>547</v>
      </c>
      <c r="I65" s="82" t="s">
        <v>548</v>
      </c>
      <c r="J65" s="107"/>
      <c r="K65" s="103" t="s">
        <v>14</v>
      </c>
      <c r="L65" s="82">
        <v>48</v>
      </c>
      <c r="M65" s="82" t="s">
        <v>104</v>
      </c>
      <c r="N65" s="82" t="s">
        <v>390</v>
      </c>
      <c r="O65" s="105">
        <v>0.48</v>
      </c>
      <c r="P65" s="105">
        <f t="shared" si="0"/>
        <v>23.04</v>
      </c>
      <c r="Q65" s="102">
        <v>44323</v>
      </c>
      <c r="R65" s="55">
        <v>44386</v>
      </c>
      <c r="S65" s="145">
        <v>44413</v>
      </c>
      <c r="T65" s="82" t="s">
        <v>31</v>
      </c>
      <c r="U65" s="82" t="s">
        <v>611</v>
      </c>
      <c r="V65" s="89"/>
    </row>
    <row r="66" spans="1:22" x14ac:dyDescent="0.35">
      <c r="F66" s="110"/>
      <c r="G66" s="110"/>
      <c r="H66" s="71"/>
      <c r="J66" s="109"/>
      <c r="K66" s="71"/>
    </row>
  </sheetData>
  <conditionalFormatting sqref="S67:S303">
    <cfRule type="expression" dxfId="134" priority="12">
      <formula>AND(#REF!="",$S67&lt;$W$2)</formula>
    </cfRule>
  </conditionalFormatting>
  <conditionalFormatting sqref="H1 H67:H1048576 F66:G66">
    <cfRule type="duplicateValues" dxfId="133" priority="13"/>
  </conditionalFormatting>
  <conditionalFormatting sqref="H9:H65">
    <cfRule type="duplicateValues" dxfId="132" priority="3"/>
  </conditionalFormatting>
  <conditionalFormatting sqref="R66">
    <cfRule type="expression" dxfId="131" priority="58">
      <formula>AND(#REF!="",$R66&lt;$W$2)</formula>
    </cfRule>
  </conditionalFormatting>
  <conditionalFormatting sqref="S9:S65">
    <cfRule type="expression" dxfId="130" priority="63">
      <formula>AND(#REF!="",$S9&lt;$X$2)</formula>
    </cfRule>
  </conditionalFormatting>
  <conditionalFormatting sqref="A1:V1 A3:V1048576">
    <cfRule type="expression" dxfId="129" priority="1">
      <formula>$S1&lt;&gt;""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FDD974A-DD3C-481D-B8F5-C32EA1AA4BD5}">
          <x14:formula1>
            <xm:f>Data!$A:$A</xm:f>
          </x14:formula1>
          <xm:sqref>M3:M65 N3:N5</xm:sqref>
        </x14:dataValidation>
        <x14:dataValidation type="list" allowBlank="1" showInputMessage="1" showErrorMessage="1" xr:uid="{6668C963-64EB-4FC2-87F2-6A045E3FDC27}">
          <x14:formula1>
            <xm:f>Data!$C:$C</xm:f>
          </x14:formula1>
          <xm:sqref>U3:U65</xm:sqref>
        </x14:dataValidation>
        <x14:dataValidation type="list" allowBlank="1" showInputMessage="1" showErrorMessage="1" xr:uid="{3F57B58D-7117-432A-B2A0-A4B93B590B82}">
          <x14:formula1>
            <xm:f>Data!$B:$B</xm:f>
          </x14:formula1>
          <xm:sqref>T3:T65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B7540-DACD-4475-90CE-742807EF3ACC}">
  <sheetPr codeName="Sheet5">
    <tabColor theme="8" tint="0.39997558519241921"/>
  </sheetPr>
  <dimension ref="A1:AC98"/>
  <sheetViews>
    <sheetView zoomScale="70" zoomScaleNormal="70" workbookViewId="0">
      <pane xSplit="8" ySplit="4" topLeftCell="I28" activePane="bottomRight" state="frozen"/>
      <selection activeCell="H28" sqref="H28"/>
      <selection pane="topRight" activeCell="H28" sqref="H28"/>
      <selection pane="bottomLeft" activeCell="H28" sqref="H28"/>
      <selection pane="bottomRight" activeCell="H39" sqref="H39"/>
    </sheetView>
  </sheetViews>
  <sheetFormatPr defaultColWidth="9.1796875" defaultRowHeight="14.5" x14ac:dyDescent="0.35"/>
  <cols>
    <col min="1" max="1" width="11.81640625" bestFit="1" customWidth="1"/>
    <col min="2" max="2" width="17.453125" style="2" bestFit="1" customWidth="1"/>
    <col min="3" max="3" width="9.54296875" style="2" bestFit="1" customWidth="1"/>
    <col min="4" max="4" width="11.81640625" style="133" bestFit="1" customWidth="1"/>
    <col min="5" max="5" width="11.81640625" style="2" bestFit="1" customWidth="1"/>
    <col min="6" max="6" width="24.54296875" style="2" customWidth="1"/>
    <col min="7" max="7" width="30.1796875" style="2" bestFit="1" customWidth="1"/>
    <col min="8" max="8" width="47" style="2" bestFit="1" customWidth="1"/>
    <col min="9" max="9" width="41.1796875" style="2" customWidth="1"/>
    <col min="10" max="10" width="37.1796875" style="2" customWidth="1"/>
    <col min="11" max="11" width="34" style="2" bestFit="1" customWidth="1"/>
    <col min="12" max="12" width="27.26953125" style="18" bestFit="1" customWidth="1"/>
    <col min="13" max="13" width="28.54296875" style="18" bestFit="1" customWidth="1"/>
    <col min="14" max="14" width="18.7265625" style="2" bestFit="1" customWidth="1"/>
    <col min="15" max="15" width="9.1796875" style="18" customWidth="1"/>
    <col min="16" max="16" width="12.453125" style="2" customWidth="1"/>
    <col min="17" max="17" width="12.453125" style="18" customWidth="1"/>
    <col min="18" max="18" width="14.7265625" style="18" bestFit="1" customWidth="1"/>
    <col min="19" max="19" width="13" style="18" customWidth="1"/>
    <col min="20" max="20" width="13" style="144" customWidth="1"/>
    <col min="21" max="21" width="11.81640625" style="144" bestFit="1" customWidth="1"/>
    <col min="22" max="22" width="11.7265625" style="138" bestFit="1" customWidth="1"/>
    <col min="23" max="23" width="19" style="18" bestFit="1" customWidth="1"/>
    <col min="24" max="24" width="15.1796875" style="18" bestFit="1" customWidth="1"/>
    <col min="25" max="25" width="23.26953125" style="71" bestFit="1" customWidth="1"/>
    <col min="26" max="29" width="47" style="2" bestFit="1" customWidth="1"/>
    <col min="30" max="16384" width="9.1796875" style="18"/>
  </cols>
  <sheetData>
    <row r="1" spans="1:29" ht="31" x14ac:dyDescent="0.35">
      <c r="A1" s="165" t="s">
        <v>1794</v>
      </c>
      <c r="B1" s="18"/>
      <c r="C1" s="18"/>
      <c r="D1" s="18"/>
      <c r="E1" s="18"/>
      <c r="F1" s="18"/>
      <c r="G1" s="18"/>
      <c r="H1" s="18"/>
      <c r="I1" s="18"/>
      <c r="J1" s="18"/>
      <c r="K1" s="18"/>
      <c r="N1" s="18"/>
      <c r="P1" s="18"/>
      <c r="T1" s="18"/>
      <c r="U1" s="18"/>
      <c r="V1" s="18"/>
      <c r="Y1" s="18"/>
      <c r="Z1" s="18"/>
      <c r="AA1" s="18"/>
      <c r="AB1" s="18"/>
      <c r="AC1" s="18"/>
    </row>
    <row r="2" spans="1:29" ht="14.15" customHeight="1" x14ac:dyDescent="0.35">
      <c r="A2" s="187"/>
      <c r="B2" s="18"/>
      <c r="C2" s="18"/>
      <c r="D2" s="18"/>
      <c r="E2" s="18"/>
      <c r="F2" s="18"/>
      <c r="G2" s="18"/>
      <c r="H2" s="18"/>
      <c r="I2" s="18"/>
      <c r="J2" s="18"/>
      <c r="K2" s="18"/>
      <c r="N2" s="18"/>
      <c r="P2" s="18"/>
      <c r="T2" s="18"/>
      <c r="U2" s="18"/>
      <c r="V2" s="18"/>
      <c r="Y2" s="18"/>
      <c r="Z2" s="18"/>
      <c r="AA2" s="18"/>
      <c r="AB2" s="18"/>
      <c r="AC2" s="18"/>
    </row>
    <row r="3" spans="1:29" ht="18" customHeight="1" x14ac:dyDescent="0.35">
      <c r="A3" s="187"/>
      <c r="B3" s="18"/>
      <c r="C3" s="18"/>
      <c r="D3" s="18"/>
      <c r="E3" s="18"/>
      <c r="F3" s="18"/>
      <c r="G3" s="18"/>
      <c r="H3" s="18"/>
      <c r="I3" s="18"/>
      <c r="J3" s="18"/>
      <c r="K3" s="18"/>
      <c r="N3" s="18"/>
      <c r="P3" s="18"/>
      <c r="T3" s="18"/>
      <c r="U3" s="18"/>
      <c r="V3" s="18"/>
      <c r="Y3" s="18"/>
      <c r="Z3" s="18"/>
      <c r="AA3" s="18"/>
      <c r="AB3" s="18"/>
      <c r="AC3" s="18"/>
    </row>
    <row r="4" spans="1:29" s="36" customFormat="1" ht="44.25" customHeight="1" x14ac:dyDescent="0.35">
      <c r="A4" s="173" t="s">
        <v>1904</v>
      </c>
      <c r="B4" s="5" t="s">
        <v>1903</v>
      </c>
      <c r="C4" s="5" t="s">
        <v>15</v>
      </c>
      <c r="D4" s="174" t="s">
        <v>1111</v>
      </c>
      <c r="E4" s="174" t="s">
        <v>1906</v>
      </c>
      <c r="F4" s="4" t="s">
        <v>1911</v>
      </c>
      <c r="G4" s="4" t="s">
        <v>1912</v>
      </c>
      <c r="H4" s="5" t="s">
        <v>1928</v>
      </c>
      <c r="I4" s="5" t="s">
        <v>1900</v>
      </c>
      <c r="J4" s="5" t="s">
        <v>1913</v>
      </c>
      <c r="K4" s="5" t="s">
        <v>1154</v>
      </c>
      <c r="L4" s="5" t="s">
        <v>1901</v>
      </c>
      <c r="M4" s="5" t="s">
        <v>1914</v>
      </c>
      <c r="N4" s="5" t="s">
        <v>1429</v>
      </c>
      <c r="O4" s="5" t="s">
        <v>1915</v>
      </c>
      <c r="P4" s="5" t="s">
        <v>1902</v>
      </c>
      <c r="Q4" s="5" t="s">
        <v>1916</v>
      </c>
      <c r="R4" s="5" t="s">
        <v>1917</v>
      </c>
      <c r="S4" s="5" t="s">
        <v>1918</v>
      </c>
      <c r="T4" s="183" t="s">
        <v>1919</v>
      </c>
      <c r="U4" s="183" t="s">
        <v>1920</v>
      </c>
      <c r="V4" s="184" t="s">
        <v>1921</v>
      </c>
      <c r="W4" s="5" t="s">
        <v>1922</v>
      </c>
      <c r="X4" s="5" t="s">
        <v>1923</v>
      </c>
      <c r="Y4" s="186" t="s">
        <v>1924</v>
      </c>
      <c r="Z4" s="200" t="s">
        <v>1925</v>
      </c>
      <c r="AA4" s="200" t="s">
        <v>1927</v>
      </c>
      <c r="AB4" s="200" t="s">
        <v>199</v>
      </c>
      <c r="AC4" s="200">
        <f ca="1">TODAY()</f>
        <v>45054</v>
      </c>
    </row>
    <row r="5" spans="1:29" x14ac:dyDescent="0.35">
      <c r="A5" s="115" t="s">
        <v>110</v>
      </c>
      <c r="B5" s="126"/>
      <c r="C5" s="115" t="s">
        <v>110</v>
      </c>
      <c r="D5" s="134">
        <v>1714</v>
      </c>
      <c r="E5" s="134"/>
      <c r="F5" s="113" t="s">
        <v>1567</v>
      </c>
      <c r="G5" s="115" t="s">
        <v>1581</v>
      </c>
      <c r="H5" s="137" t="s">
        <v>1591</v>
      </c>
      <c r="I5" s="117" t="s">
        <v>1521</v>
      </c>
      <c r="J5" s="151" t="s">
        <v>1522</v>
      </c>
      <c r="K5" s="128" t="s">
        <v>733</v>
      </c>
      <c r="L5" s="128" t="s">
        <v>733</v>
      </c>
      <c r="M5" s="121" t="s">
        <v>63</v>
      </c>
      <c r="N5" s="113" t="s">
        <v>642</v>
      </c>
      <c r="O5" s="126">
        <v>1</v>
      </c>
      <c r="P5" s="126" t="s">
        <v>44</v>
      </c>
      <c r="Q5" s="129" t="s">
        <v>108</v>
      </c>
      <c r="R5" s="129">
        <v>22120000</v>
      </c>
      <c r="S5" s="130">
        <f>Product_Name[[#This Row],[Đơn giá
Unit Price]]*Product_Name[[#This Row],[Số lượng
Quantity]]</f>
        <v>25600000</v>
      </c>
      <c r="T5" s="141">
        <v>44538</v>
      </c>
      <c r="U5" s="140">
        <v>44206</v>
      </c>
      <c r="V5" s="150"/>
      <c r="W5" s="135" t="s">
        <v>21</v>
      </c>
      <c r="X5" s="115" t="s">
        <v>16</v>
      </c>
      <c r="Y5" s="18" t="s">
        <v>1592</v>
      </c>
      <c r="Z5" s="137"/>
      <c r="AA5" s="137"/>
      <c r="AB5" s="137"/>
      <c r="AC5" s="137"/>
    </row>
    <row r="6" spans="1:29" x14ac:dyDescent="0.35">
      <c r="A6" s="115" t="s">
        <v>110</v>
      </c>
      <c r="B6" s="126" t="s">
        <v>1657</v>
      </c>
      <c r="C6" s="115" t="s">
        <v>110</v>
      </c>
      <c r="D6" s="134">
        <v>1721</v>
      </c>
      <c r="E6" s="134">
        <v>3960</v>
      </c>
      <c r="F6" s="113" t="s">
        <v>110</v>
      </c>
      <c r="G6" s="115" t="s">
        <v>110</v>
      </c>
      <c r="H6" s="137" t="s">
        <v>1077</v>
      </c>
      <c r="I6" s="117" t="s">
        <v>1078</v>
      </c>
      <c r="J6" s="151" t="s">
        <v>1547</v>
      </c>
      <c r="K6" s="128" t="s">
        <v>1588</v>
      </c>
      <c r="L6" s="128" t="s">
        <v>733</v>
      </c>
      <c r="M6" s="121" t="s">
        <v>796</v>
      </c>
      <c r="N6" s="113" t="s">
        <v>642</v>
      </c>
      <c r="O6" s="126">
        <v>2</v>
      </c>
      <c r="P6" s="126" t="s">
        <v>37</v>
      </c>
      <c r="Q6" s="129" t="s">
        <v>108</v>
      </c>
      <c r="R6" s="129">
        <v>595000</v>
      </c>
      <c r="S6" s="130">
        <f>Product_Name[[#This Row],[Đơn giá
Unit Price]]*Product_Name[[#This Row],[Số lượng
Quantity]]</f>
        <v>3650000</v>
      </c>
      <c r="T6" s="141">
        <v>44538</v>
      </c>
      <c r="U6" s="140">
        <v>44235</v>
      </c>
      <c r="V6" s="150">
        <v>44200</v>
      </c>
      <c r="W6" s="135" t="s">
        <v>1565</v>
      </c>
      <c r="X6" s="115" t="s">
        <v>16</v>
      </c>
      <c r="Y6" s="18" t="s">
        <v>1548</v>
      </c>
      <c r="Z6" s="137"/>
      <c r="AA6" s="137"/>
      <c r="AB6" s="137"/>
      <c r="AC6" s="137"/>
    </row>
    <row r="7" spans="1:29" x14ac:dyDescent="0.35">
      <c r="A7" s="115" t="s">
        <v>110</v>
      </c>
      <c r="B7" s="126" t="s">
        <v>1656</v>
      </c>
      <c r="C7" s="115" t="s">
        <v>110</v>
      </c>
      <c r="D7" s="134">
        <v>1735</v>
      </c>
      <c r="E7" s="134">
        <v>4000</v>
      </c>
      <c r="F7" s="113" t="s">
        <v>1600</v>
      </c>
      <c r="G7" s="115" t="s">
        <v>1601</v>
      </c>
      <c r="H7" s="137" t="s">
        <v>1161</v>
      </c>
      <c r="I7" s="117" t="s">
        <v>1162</v>
      </c>
      <c r="J7" s="151" t="s">
        <v>1586</v>
      </c>
      <c r="K7" s="128" t="s">
        <v>1588</v>
      </c>
      <c r="L7" s="128" t="s">
        <v>1589</v>
      </c>
      <c r="M7" s="121" t="s">
        <v>796</v>
      </c>
      <c r="N7" s="113" t="s">
        <v>642</v>
      </c>
      <c r="O7" s="126">
        <v>1</v>
      </c>
      <c r="P7" s="126" t="s">
        <v>37</v>
      </c>
      <c r="Q7" s="129" t="s">
        <v>108</v>
      </c>
      <c r="R7" s="129">
        <v>16704000</v>
      </c>
      <c r="S7" s="130">
        <f>Product_Name[[#This Row],[Đơn giá
Unit Price]]*Product_Name[[#This Row],[Số lượng
Quantity]]</f>
        <v>3850000</v>
      </c>
      <c r="T7" s="141">
        <v>44541</v>
      </c>
      <c r="U7" s="140">
        <v>44547</v>
      </c>
      <c r="V7" s="150">
        <v>44565</v>
      </c>
      <c r="W7" s="135" t="s">
        <v>1565</v>
      </c>
      <c r="X7" s="115" t="s">
        <v>16</v>
      </c>
      <c r="Y7" s="18" t="s">
        <v>1548</v>
      </c>
      <c r="Z7" s="137"/>
      <c r="AA7" s="137" t="s">
        <v>1514</v>
      </c>
      <c r="AB7" s="137"/>
      <c r="AC7" s="137"/>
    </row>
    <row r="8" spans="1:29" x14ac:dyDescent="0.35">
      <c r="A8" s="115" t="s">
        <v>110</v>
      </c>
      <c r="B8" s="126" t="s">
        <v>1656</v>
      </c>
      <c r="C8" s="115" t="s">
        <v>110</v>
      </c>
      <c r="D8" s="134">
        <v>1735</v>
      </c>
      <c r="E8" s="134">
        <v>4000</v>
      </c>
      <c r="F8" s="113" t="s">
        <v>1600</v>
      </c>
      <c r="G8" s="115" t="s">
        <v>1601</v>
      </c>
      <c r="H8" s="137" t="s">
        <v>1161</v>
      </c>
      <c r="I8" s="117" t="s">
        <v>1162</v>
      </c>
      <c r="J8" s="151" t="s">
        <v>1587</v>
      </c>
      <c r="K8" s="128" t="s">
        <v>1588</v>
      </c>
      <c r="L8" s="128" t="s">
        <v>1589</v>
      </c>
      <c r="M8" s="121" t="s">
        <v>796</v>
      </c>
      <c r="N8" s="113" t="s">
        <v>642</v>
      </c>
      <c r="O8" s="126">
        <v>2</v>
      </c>
      <c r="P8" s="126" t="s">
        <v>37</v>
      </c>
      <c r="Q8" s="129" t="s">
        <v>108</v>
      </c>
      <c r="R8" s="129">
        <v>27475000</v>
      </c>
      <c r="S8" s="130">
        <f>Product_Name[[#This Row],[Đơn giá
Unit Price]]*Product_Name[[#This Row],[Số lượng
Quantity]]</f>
        <v>90750000</v>
      </c>
      <c r="T8" s="141">
        <v>44541</v>
      </c>
      <c r="U8" s="140">
        <v>44547</v>
      </c>
      <c r="V8" s="150">
        <v>44565</v>
      </c>
      <c r="W8" s="135" t="s">
        <v>1565</v>
      </c>
      <c r="X8" s="115" t="s">
        <v>16</v>
      </c>
      <c r="Y8" s="18" t="s">
        <v>1548</v>
      </c>
      <c r="Z8" s="137"/>
      <c r="AA8" s="137" t="s">
        <v>1514</v>
      </c>
      <c r="AB8" s="137"/>
      <c r="AC8" s="137"/>
    </row>
    <row r="9" spans="1:29" x14ac:dyDescent="0.35">
      <c r="A9" s="115"/>
      <c r="B9" s="126" t="s">
        <v>1745</v>
      </c>
      <c r="C9" s="115"/>
      <c r="D9" s="134">
        <v>1755</v>
      </c>
      <c r="E9" s="134">
        <v>4032</v>
      </c>
      <c r="F9" s="113" t="s">
        <v>1611</v>
      </c>
      <c r="G9" s="115" t="s">
        <v>1612</v>
      </c>
      <c r="H9" s="137" t="s">
        <v>1544</v>
      </c>
      <c r="I9" s="117" t="s">
        <v>1541</v>
      </c>
      <c r="J9" s="151" t="s">
        <v>1608</v>
      </c>
      <c r="K9" s="128" t="s">
        <v>1426</v>
      </c>
      <c r="L9" s="128" t="s">
        <v>924</v>
      </c>
      <c r="M9" s="121" t="s">
        <v>796</v>
      </c>
      <c r="N9" s="113" t="s">
        <v>642</v>
      </c>
      <c r="O9" s="126">
        <v>2</v>
      </c>
      <c r="P9" s="126" t="s">
        <v>37</v>
      </c>
      <c r="Q9" s="129" t="s">
        <v>108</v>
      </c>
      <c r="R9" s="129">
        <v>1890000</v>
      </c>
      <c r="S9" s="130">
        <v>3780000</v>
      </c>
      <c r="T9" s="141">
        <v>44546</v>
      </c>
      <c r="U9" s="140">
        <v>44565</v>
      </c>
      <c r="V9" s="150">
        <v>44580</v>
      </c>
      <c r="W9" s="135" t="s">
        <v>1565</v>
      </c>
      <c r="X9" s="115" t="s">
        <v>16</v>
      </c>
      <c r="Y9" s="18" t="s">
        <v>1610</v>
      </c>
      <c r="Z9" s="137"/>
      <c r="AA9" s="137" t="s">
        <v>1514</v>
      </c>
      <c r="AB9" s="137"/>
      <c r="AC9" s="137"/>
    </row>
    <row r="10" spans="1:29" x14ac:dyDescent="0.35">
      <c r="A10" s="115"/>
      <c r="B10" s="126" t="s">
        <v>1745</v>
      </c>
      <c r="C10" s="115"/>
      <c r="D10" s="134">
        <v>1755</v>
      </c>
      <c r="E10" s="134">
        <v>4032</v>
      </c>
      <c r="F10" s="113" t="s">
        <v>1611</v>
      </c>
      <c r="G10" s="115" t="s">
        <v>1612</v>
      </c>
      <c r="H10" s="147" t="s">
        <v>1552</v>
      </c>
      <c r="I10" s="117" t="s">
        <v>1553</v>
      </c>
      <c r="J10" s="128" t="s">
        <v>1613</v>
      </c>
      <c r="K10" s="128" t="s">
        <v>1609</v>
      </c>
      <c r="L10" s="128" t="s">
        <v>924</v>
      </c>
      <c r="M10" s="121" t="s">
        <v>796</v>
      </c>
      <c r="N10" s="113" t="s">
        <v>642</v>
      </c>
      <c r="O10" s="126">
        <v>2</v>
      </c>
      <c r="P10" s="126" t="s">
        <v>37</v>
      </c>
      <c r="Q10" s="136" t="s">
        <v>108</v>
      </c>
      <c r="R10" s="129">
        <v>13525000</v>
      </c>
      <c r="S10" s="130">
        <v>27050000</v>
      </c>
      <c r="T10" s="141">
        <v>44546</v>
      </c>
      <c r="U10" s="140">
        <v>44565</v>
      </c>
      <c r="V10" s="150">
        <v>44580</v>
      </c>
      <c r="W10" s="135" t="s">
        <v>1565</v>
      </c>
      <c r="X10" s="115" t="s">
        <v>16</v>
      </c>
      <c r="Y10" s="18" t="s">
        <v>1610</v>
      </c>
      <c r="Z10" s="147"/>
      <c r="AA10" s="147" t="s">
        <v>1514</v>
      </c>
      <c r="AB10" s="147"/>
      <c r="AC10" s="147"/>
    </row>
    <row r="11" spans="1:29" x14ac:dyDescent="0.35">
      <c r="A11" s="115" t="s">
        <v>110</v>
      </c>
      <c r="B11" s="126" t="s">
        <v>2058</v>
      </c>
      <c r="C11" s="115" t="s">
        <v>110</v>
      </c>
      <c r="D11" s="134">
        <v>1794</v>
      </c>
      <c r="E11" s="134">
        <v>4140</v>
      </c>
      <c r="F11" s="113" t="s">
        <v>1630</v>
      </c>
      <c r="G11" s="115" t="s">
        <v>1640</v>
      </c>
      <c r="H11" s="137" t="s">
        <v>1545</v>
      </c>
      <c r="I11" s="117" t="s">
        <v>1546</v>
      </c>
      <c r="J11" s="128" t="s">
        <v>1543</v>
      </c>
      <c r="K11" s="128" t="s">
        <v>1609</v>
      </c>
      <c r="L11" s="128" t="s">
        <v>924</v>
      </c>
      <c r="M11" s="121" t="s">
        <v>63</v>
      </c>
      <c r="N11" s="113" t="s">
        <v>642</v>
      </c>
      <c r="O11" s="126">
        <v>1</v>
      </c>
      <c r="P11" s="126" t="s">
        <v>37</v>
      </c>
      <c r="Q11" s="129" t="s">
        <v>108</v>
      </c>
      <c r="R11" s="129">
        <v>143000000</v>
      </c>
      <c r="S11" s="130">
        <v>27050000</v>
      </c>
      <c r="T11" s="141">
        <v>44558</v>
      </c>
      <c r="U11" s="140">
        <v>44285</v>
      </c>
      <c r="V11" s="150">
        <v>44669</v>
      </c>
      <c r="W11" s="135" t="s">
        <v>1565</v>
      </c>
      <c r="X11" s="115" t="s">
        <v>16</v>
      </c>
      <c r="Y11" s="18" t="s">
        <v>1548</v>
      </c>
      <c r="Z11" s="137" t="s">
        <v>2059</v>
      </c>
      <c r="AA11" s="137" t="s">
        <v>2060</v>
      </c>
      <c r="AB11" s="137"/>
      <c r="AC11" s="137"/>
    </row>
    <row r="12" spans="1:29" x14ac:dyDescent="0.35">
      <c r="A12" s="115">
        <v>4232</v>
      </c>
      <c r="B12" s="126" t="s">
        <v>1832</v>
      </c>
      <c r="C12" s="127">
        <v>4904</v>
      </c>
      <c r="D12" s="134" t="s">
        <v>110</v>
      </c>
      <c r="E12" s="134" t="s">
        <v>110</v>
      </c>
      <c r="F12" s="113" t="s">
        <v>1676</v>
      </c>
      <c r="G12" s="115" t="s">
        <v>1719</v>
      </c>
      <c r="H12" s="147" t="s">
        <v>1624</v>
      </c>
      <c r="I12" s="117" t="s">
        <v>1625</v>
      </c>
      <c r="J12" s="151" t="s">
        <v>1626</v>
      </c>
      <c r="K12" s="128" t="s">
        <v>1627</v>
      </c>
      <c r="L12" s="128" t="s">
        <v>924</v>
      </c>
      <c r="M12" s="121" t="s">
        <v>124</v>
      </c>
      <c r="N12" s="123" t="s">
        <v>14</v>
      </c>
      <c r="O12" s="126">
        <v>3</v>
      </c>
      <c r="P12" s="115" t="s">
        <v>276</v>
      </c>
      <c r="Q12" s="124" t="s">
        <v>108</v>
      </c>
      <c r="R12" s="129">
        <v>18000000</v>
      </c>
      <c r="S12" s="130">
        <f>Table15[[#This Row],[Đơn giá
Unit Price]]*Table15[[#This Row],[Số lượng
Quantity]]</f>
        <v>54000000</v>
      </c>
      <c r="T12" s="141">
        <v>44575</v>
      </c>
      <c r="U12" s="140">
        <v>44628</v>
      </c>
      <c r="V12" s="150">
        <v>44631</v>
      </c>
      <c r="W12" s="135" t="s">
        <v>1565</v>
      </c>
      <c r="X12" s="116" t="s">
        <v>16</v>
      </c>
      <c r="Y12" s="18" t="s">
        <v>1628</v>
      </c>
      <c r="Z12" s="147"/>
      <c r="AA12" s="147"/>
      <c r="AB12" s="147"/>
      <c r="AC12" s="147"/>
    </row>
    <row r="13" spans="1:29" ht="28" x14ac:dyDescent="0.35">
      <c r="A13" s="115" t="s">
        <v>110</v>
      </c>
      <c r="B13" s="126" t="s">
        <v>1799</v>
      </c>
      <c r="C13" s="127" t="s">
        <v>110</v>
      </c>
      <c r="D13" s="134">
        <v>1834</v>
      </c>
      <c r="E13" s="134">
        <v>4231</v>
      </c>
      <c r="F13" s="113" t="s">
        <v>1687</v>
      </c>
      <c r="G13" s="114" t="s">
        <v>1720</v>
      </c>
      <c r="H13" s="125" t="s">
        <v>938</v>
      </c>
      <c r="I13" s="117" t="s">
        <v>937</v>
      </c>
      <c r="J13" s="128" t="s">
        <v>1594</v>
      </c>
      <c r="K13" s="128" t="s">
        <v>1153</v>
      </c>
      <c r="L13" s="128" t="s">
        <v>1153</v>
      </c>
      <c r="M13" s="121" t="s">
        <v>796</v>
      </c>
      <c r="N13" s="113" t="s">
        <v>642</v>
      </c>
      <c r="O13" s="126">
        <v>2</v>
      </c>
      <c r="P13" s="115" t="s">
        <v>276</v>
      </c>
      <c r="Q13" s="136" t="s">
        <v>108</v>
      </c>
      <c r="R13" s="129">
        <v>19500000</v>
      </c>
      <c r="S13" s="130">
        <f>Table15[[#This Row],[Đơn giá
Unit Price]]*Table15[[#This Row],[Số lượng
Quantity]]</f>
        <v>39000000</v>
      </c>
      <c r="T13" s="141">
        <v>44575</v>
      </c>
      <c r="U13" s="140">
        <v>44602</v>
      </c>
      <c r="V13" s="150">
        <v>44615</v>
      </c>
      <c r="W13" s="135" t="s">
        <v>1008</v>
      </c>
      <c r="X13" s="115" t="s">
        <v>16</v>
      </c>
      <c r="Y13" s="18" t="s">
        <v>1595</v>
      </c>
      <c r="Z13" s="125"/>
      <c r="AA13" s="125" t="s">
        <v>1596</v>
      </c>
      <c r="AB13" s="125"/>
      <c r="AC13" s="125"/>
    </row>
    <row r="14" spans="1:29" x14ac:dyDescent="0.35">
      <c r="A14" s="115" t="s">
        <v>110</v>
      </c>
      <c r="B14" s="126" t="s">
        <v>1837</v>
      </c>
      <c r="C14" s="127" t="s">
        <v>110</v>
      </c>
      <c r="D14" s="134">
        <v>1890</v>
      </c>
      <c r="E14" s="134">
        <v>4381</v>
      </c>
      <c r="F14" s="134" t="s">
        <v>110</v>
      </c>
      <c r="G14" s="115" t="s">
        <v>1725</v>
      </c>
      <c r="H14" s="137" t="s">
        <v>1724</v>
      </c>
      <c r="I14" s="117" t="s">
        <v>1728</v>
      </c>
      <c r="J14" s="128" t="s">
        <v>1727</v>
      </c>
      <c r="K14" s="128" t="s">
        <v>733</v>
      </c>
      <c r="L14" s="128" t="s">
        <v>733</v>
      </c>
      <c r="M14" s="131" t="s">
        <v>796</v>
      </c>
      <c r="N14" s="113" t="s">
        <v>642</v>
      </c>
      <c r="O14" s="126">
        <v>1</v>
      </c>
      <c r="P14" s="116" t="s">
        <v>276</v>
      </c>
      <c r="Q14" s="114" t="s">
        <v>108</v>
      </c>
      <c r="R14" s="129">
        <v>1665000</v>
      </c>
      <c r="S14" s="130">
        <f>Table15[[#This Row],[Đơn giá
Unit Price]]*Table15[[#This Row],[Số lượng
Quantity]]</f>
        <v>1665000</v>
      </c>
      <c r="T14" s="157">
        <v>44606</v>
      </c>
      <c r="U14" s="164">
        <v>44634</v>
      </c>
      <c r="V14" s="158">
        <v>44637</v>
      </c>
      <c r="W14" s="135" t="s">
        <v>1008</v>
      </c>
      <c r="X14" s="115" t="s">
        <v>16</v>
      </c>
      <c r="Y14" s="18" t="s">
        <v>1726</v>
      </c>
      <c r="Z14" s="137"/>
      <c r="AA14" s="137" t="s">
        <v>1514</v>
      </c>
      <c r="AB14" s="137"/>
      <c r="AC14" s="137"/>
    </row>
    <row r="15" spans="1:29" x14ac:dyDescent="0.35">
      <c r="A15" s="126">
        <v>4344</v>
      </c>
      <c r="B15" s="126" t="s">
        <v>1839</v>
      </c>
      <c r="C15" s="126">
        <v>5085</v>
      </c>
      <c r="D15" s="127" t="s">
        <v>110</v>
      </c>
      <c r="E15" s="127" t="s">
        <v>110</v>
      </c>
      <c r="F15" s="127" t="s">
        <v>110</v>
      </c>
      <c r="G15" s="115" t="s">
        <v>1735</v>
      </c>
      <c r="H15" s="117" t="s">
        <v>1675</v>
      </c>
      <c r="I15" s="117" t="s">
        <v>1673</v>
      </c>
      <c r="J15" s="128" t="s">
        <v>1731</v>
      </c>
      <c r="K15" s="128" t="s">
        <v>1733</v>
      </c>
      <c r="L15" s="128" t="s">
        <v>924</v>
      </c>
      <c r="M15" s="121" t="s">
        <v>124</v>
      </c>
      <c r="N15" s="123" t="s">
        <v>14</v>
      </c>
      <c r="O15" s="126">
        <v>4</v>
      </c>
      <c r="P15" s="126" t="s">
        <v>37</v>
      </c>
      <c r="Q15" s="120" t="s">
        <v>108</v>
      </c>
      <c r="R15" s="129">
        <v>192000</v>
      </c>
      <c r="S15" s="130">
        <f>Table15[[#This Row],[Đơn giá
Unit Price]]*Table15[[#This Row],[Số lượng
Quantity]]</f>
        <v>768000</v>
      </c>
      <c r="T15" s="157">
        <v>44606</v>
      </c>
      <c r="U15" s="164">
        <v>44634</v>
      </c>
      <c r="V15" s="150">
        <v>44641</v>
      </c>
      <c r="W15" s="135" t="s">
        <v>31</v>
      </c>
      <c r="X15" s="116" t="s">
        <v>16</v>
      </c>
      <c r="Y15" s="18" t="s">
        <v>1677</v>
      </c>
      <c r="Z15" s="117"/>
      <c r="AA15" s="117" t="s">
        <v>1519</v>
      </c>
      <c r="AB15" s="117"/>
      <c r="AC15" s="117"/>
    </row>
    <row r="16" spans="1:29" x14ac:dyDescent="0.35">
      <c r="A16" s="126">
        <v>4454</v>
      </c>
      <c r="B16" s="126" t="s">
        <v>1833</v>
      </c>
      <c r="C16" s="126">
        <v>5191</v>
      </c>
      <c r="D16" s="119" t="s">
        <v>110</v>
      </c>
      <c r="E16" s="119" t="s">
        <v>110</v>
      </c>
      <c r="F16" s="113" t="s">
        <v>110</v>
      </c>
      <c r="G16" s="115" t="s">
        <v>1831</v>
      </c>
      <c r="H16" s="137" t="s">
        <v>341</v>
      </c>
      <c r="I16" s="117" t="s">
        <v>1793</v>
      </c>
      <c r="J16" s="128" t="s">
        <v>342</v>
      </c>
      <c r="K16" s="128" t="s">
        <v>1792</v>
      </c>
      <c r="L16" s="128" t="s">
        <v>99</v>
      </c>
      <c r="M16" s="121" t="s">
        <v>124</v>
      </c>
      <c r="N16" s="123" t="s">
        <v>14</v>
      </c>
      <c r="O16" s="126">
        <v>1</v>
      </c>
      <c r="P16" s="126" t="s">
        <v>37</v>
      </c>
      <c r="Q16" s="114" t="s">
        <v>108</v>
      </c>
      <c r="R16" s="129">
        <v>1566000</v>
      </c>
      <c r="S16" s="130">
        <f>Table15[[#This Row],[Đơn giá
Unit Price]]*Table15[[#This Row],[Số lượng
Quantity]]</f>
        <v>1566000</v>
      </c>
      <c r="T16" s="157">
        <v>44614</v>
      </c>
      <c r="U16" s="164">
        <v>44635</v>
      </c>
      <c r="V16" s="158">
        <v>44631</v>
      </c>
      <c r="W16" s="135" t="s">
        <v>21</v>
      </c>
      <c r="X16" s="115" t="s">
        <v>16</v>
      </c>
      <c r="Y16" s="18" t="s">
        <v>1785</v>
      </c>
      <c r="Z16" s="137"/>
      <c r="AA16" s="137"/>
      <c r="AB16" s="137"/>
      <c r="AC16" s="137"/>
    </row>
    <row r="17" spans="1:29" x14ac:dyDescent="0.35">
      <c r="A17" s="126">
        <v>4487</v>
      </c>
      <c r="B17" s="126" t="s">
        <v>1820</v>
      </c>
      <c r="C17" s="126">
        <v>5194</v>
      </c>
      <c r="D17" s="119" t="s">
        <v>110</v>
      </c>
      <c r="E17" s="119" t="s">
        <v>110</v>
      </c>
      <c r="F17" s="113" t="s">
        <v>110</v>
      </c>
      <c r="G17" s="115" t="s">
        <v>110</v>
      </c>
      <c r="H17" s="137" t="s">
        <v>1202</v>
      </c>
      <c r="I17" s="117" t="s">
        <v>1203</v>
      </c>
      <c r="J17" s="128" t="s">
        <v>1201</v>
      </c>
      <c r="K17" s="128" t="s">
        <v>1150</v>
      </c>
      <c r="L17" s="128" t="s">
        <v>1150</v>
      </c>
      <c r="M17" s="121" t="s">
        <v>123</v>
      </c>
      <c r="N17" s="113" t="s">
        <v>14</v>
      </c>
      <c r="O17" s="126">
        <v>100</v>
      </c>
      <c r="P17" s="126" t="s">
        <v>47</v>
      </c>
      <c r="Q17" s="114" t="s">
        <v>108</v>
      </c>
      <c r="R17" s="129">
        <v>40000</v>
      </c>
      <c r="S17" s="130">
        <f>Table15[[#This Row],[Đơn giá
Unit Price]]*Table15[[#This Row],[Số lượng
Quantity]]</f>
        <v>4000000</v>
      </c>
      <c r="T17" s="157">
        <v>44614</v>
      </c>
      <c r="U17" s="164">
        <v>44621</v>
      </c>
      <c r="V17" s="158">
        <v>44622</v>
      </c>
      <c r="W17" s="135" t="s">
        <v>31</v>
      </c>
      <c r="X17" s="115" t="s">
        <v>16</v>
      </c>
      <c r="Y17" s="18" t="s">
        <v>1785</v>
      </c>
      <c r="Z17" s="137"/>
      <c r="AA17" s="137"/>
      <c r="AB17" s="137"/>
      <c r="AC17" s="137"/>
    </row>
    <row r="18" spans="1:29" x14ac:dyDescent="0.35">
      <c r="A18" s="126">
        <v>4799</v>
      </c>
      <c r="B18" s="126" t="s">
        <v>1907</v>
      </c>
      <c r="C18" s="126">
        <v>5825</v>
      </c>
      <c r="D18" s="119" t="s">
        <v>110</v>
      </c>
      <c r="E18" s="119" t="s">
        <v>110</v>
      </c>
      <c r="F18" s="113" t="s">
        <v>110</v>
      </c>
      <c r="G18" s="115" t="s">
        <v>110</v>
      </c>
      <c r="H18" s="137" t="s">
        <v>1019</v>
      </c>
      <c r="I18" s="117" t="s">
        <v>1020</v>
      </c>
      <c r="J18" s="128" t="s">
        <v>1235</v>
      </c>
      <c r="K18" s="128" t="s">
        <v>1237</v>
      </c>
      <c r="L18" s="128" t="s">
        <v>1238</v>
      </c>
      <c r="M18" s="121" t="s">
        <v>795</v>
      </c>
      <c r="N18" s="113" t="s">
        <v>14</v>
      </c>
      <c r="O18" s="126">
        <v>18</v>
      </c>
      <c r="P18" s="126" t="s">
        <v>1015</v>
      </c>
      <c r="Q18" s="114" t="s">
        <v>108</v>
      </c>
      <c r="R18" s="129">
        <v>776000</v>
      </c>
      <c r="S18" s="130">
        <f>Product_Name[[#This Row],[Đơn giá
Unit Price]]*Product_Name[[#This Row],[Số lượng
Quantity]]</f>
        <v>41047.21</v>
      </c>
      <c r="T18" s="157">
        <v>44645</v>
      </c>
      <c r="U18" s="164">
        <v>44652</v>
      </c>
      <c r="V18" s="158">
        <v>44652</v>
      </c>
      <c r="W18" s="135" t="s">
        <v>1008</v>
      </c>
      <c r="X18" s="115" t="s">
        <v>16</v>
      </c>
      <c r="Y18" s="18"/>
      <c r="Z18" s="137"/>
      <c r="AA18" s="137"/>
      <c r="AB18" s="137"/>
      <c r="AC18" s="137"/>
    </row>
    <row r="19" spans="1:29" x14ac:dyDescent="0.35">
      <c r="A19" s="126">
        <v>4799</v>
      </c>
      <c r="B19" s="126" t="s">
        <v>1907</v>
      </c>
      <c r="C19" s="126">
        <v>5825</v>
      </c>
      <c r="D19" s="119" t="s">
        <v>110</v>
      </c>
      <c r="E19" s="119" t="s">
        <v>110</v>
      </c>
      <c r="F19" s="113" t="s">
        <v>110</v>
      </c>
      <c r="G19" s="115" t="s">
        <v>110</v>
      </c>
      <c r="H19" s="137" t="s">
        <v>1033</v>
      </c>
      <c r="I19" s="117" t="s">
        <v>1034</v>
      </c>
      <c r="J19" s="128" t="s">
        <v>1035</v>
      </c>
      <c r="K19" s="128" t="s">
        <v>1237</v>
      </c>
      <c r="L19" s="128" t="s">
        <v>1238</v>
      </c>
      <c r="M19" s="121" t="s">
        <v>795</v>
      </c>
      <c r="N19" s="113" t="s">
        <v>14</v>
      </c>
      <c r="O19" s="126">
        <v>60</v>
      </c>
      <c r="P19" s="126" t="s">
        <v>798</v>
      </c>
      <c r="Q19" s="114" t="s">
        <v>108</v>
      </c>
      <c r="R19" s="129">
        <v>79540</v>
      </c>
      <c r="S19" s="130">
        <f>Product_Name[[#This Row],[Đơn giá
Unit Price]]*Product_Name[[#This Row],[Số lượng
Quantity]]</f>
        <v>73900000</v>
      </c>
      <c r="T19" s="157">
        <v>44645</v>
      </c>
      <c r="U19" s="164">
        <v>44652</v>
      </c>
      <c r="V19" s="158">
        <v>44652</v>
      </c>
      <c r="W19" s="135" t="s">
        <v>1008</v>
      </c>
      <c r="X19" s="115" t="s">
        <v>16</v>
      </c>
      <c r="Y19" s="18"/>
      <c r="Z19" s="137"/>
      <c r="AA19" s="137"/>
      <c r="AB19" s="137"/>
      <c r="AC19" s="137"/>
    </row>
    <row r="20" spans="1:29" x14ac:dyDescent="0.35">
      <c r="A20" s="126">
        <v>4801</v>
      </c>
      <c r="B20" s="126" t="s">
        <v>2020</v>
      </c>
      <c r="C20" s="126">
        <v>5827</v>
      </c>
      <c r="D20" s="119" t="s">
        <v>110</v>
      </c>
      <c r="E20" s="119" t="s">
        <v>110</v>
      </c>
      <c r="F20" s="113" t="s">
        <v>110</v>
      </c>
      <c r="G20" s="115" t="s">
        <v>110</v>
      </c>
      <c r="H20" s="137" t="s">
        <v>1115</v>
      </c>
      <c r="I20" s="117" t="s">
        <v>1116</v>
      </c>
      <c r="J20" s="128" t="s">
        <v>1136</v>
      </c>
      <c r="K20" s="128" t="s">
        <v>321</v>
      </c>
      <c r="L20" s="128" t="s">
        <v>321</v>
      </c>
      <c r="M20" s="121" t="s">
        <v>795</v>
      </c>
      <c r="N20" s="113" t="s">
        <v>14</v>
      </c>
      <c r="O20" s="126">
        <v>2</v>
      </c>
      <c r="P20" s="126" t="s">
        <v>799</v>
      </c>
      <c r="Q20" s="114" t="s">
        <v>108</v>
      </c>
      <c r="R20" s="129">
        <v>4200000</v>
      </c>
      <c r="S20" s="130">
        <f>Product_Name[[#This Row],[Đơn giá
Unit Price]]*Product_Name[[#This Row],[Số lượng
Quantity]]</f>
        <v>169000</v>
      </c>
      <c r="T20" s="157">
        <v>44645</v>
      </c>
      <c r="U20" s="164">
        <v>44652</v>
      </c>
      <c r="V20" s="158">
        <v>44658</v>
      </c>
      <c r="W20" s="135" t="s">
        <v>1008</v>
      </c>
      <c r="X20" s="115" t="s">
        <v>16</v>
      </c>
      <c r="Y20" s="18"/>
      <c r="Z20" s="137"/>
      <c r="AA20" s="137"/>
      <c r="AB20" s="137"/>
      <c r="AC20" s="137"/>
    </row>
    <row r="21" spans="1:29" x14ac:dyDescent="0.35">
      <c r="A21" s="126">
        <v>4803</v>
      </c>
      <c r="B21" s="126" t="s">
        <v>2021</v>
      </c>
      <c r="C21" s="126">
        <v>5828</v>
      </c>
      <c r="D21" s="119" t="s">
        <v>110</v>
      </c>
      <c r="E21" s="119" t="s">
        <v>110</v>
      </c>
      <c r="F21" s="113" t="s">
        <v>110</v>
      </c>
      <c r="G21" s="115" t="s">
        <v>110</v>
      </c>
      <c r="H21" s="137" t="s">
        <v>1129</v>
      </c>
      <c r="I21" s="117" t="s">
        <v>1841</v>
      </c>
      <c r="J21" s="128" t="s">
        <v>1121</v>
      </c>
      <c r="K21" s="128" t="s">
        <v>321</v>
      </c>
      <c r="L21" s="128" t="s">
        <v>321</v>
      </c>
      <c r="M21" s="121" t="s">
        <v>795</v>
      </c>
      <c r="N21" s="113" t="s">
        <v>14</v>
      </c>
      <c r="O21" s="126">
        <v>2</v>
      </c>
      <c r="P21" s="126" t="s">
        <v>276</v>
      </c>
      <c r="Q21" s="114" t="s">
        <v>108</v>
      </c>
      <c r="R21" s="129">
        <v>800000</v>
      </c>
      <c r="S21" s="130">
        <f>Product_Name[[#This Row],[Đơn giá
Unit Price]]*Product_Name[[#This Row],[Số lượng
Quantity]]</f>
        <v>72000</v>
      </c>
      <c r="T21" s="157">
        <v>44645</v>
      </c>
      <c r="U21" s="164">
        <v>44652</v>
      </c>
      <c r="V21" s="158">
        <v>44658</v>
      </c>
      <c r="W21" s="135" t="s">
        <v>1008</v>
      </c>
      <c r="X21" s="115" t="s">
        <v>16</v>
      </c>
      <c r="Y21" s="18"/>
      <c r="Z21" s="137"/>
      <c r="AA21" s="137"/>
      <c r="AB21" s="137"/>
      <c r="AC21" s="137"/>
    </row>
    <row r="22" spans="1:29" x14ac:dyDescent="0.35">
      <c r="A22" s="126">
        <v>4804</v>
      </c>
      <c r="B22" s="126" t="s">
        <v>2022</v>
      </c>
      <c r="C22" s="126">
        <v>5829</v>
      </c>
      <c r="D22" s="119" t="s">
        <v>110</v>
      </c>
      <c r="E22" s="119" t="s">
        <v>110</v>
      </c>
      <c r="F22" s="113" t="s">
        <v>110</v>
      </c>
      <c r="G22" s="115" t="s">
        <v>110</v>
      </c>
      <c r="H22" s="137" t="s">
        <v>1252</v>
      </c>
      <c r="I22" s="117" t="s">
        <v>1251</v>
      </c>
      <c r="J22" s="128" t="s">
        <v>1253</v>
      </c>
      <c r="K22" s="128" t="s">
        <v>1270</v>
      </c>
      <c r="L22" s="128" t="s">
        <v>321</v>
      </c>
      <c r="M22" s="121" t="s">
        <v>795</v>
      </c>
      <c r="N22" s="113" t="s">
        <v>14</v>
      </c>
      <c r="O22" s="126">
        <v>2</v>
      </c>
      <c r="P22" s="126" t="s">
        <v>799</v>
      </c>
      <c r="Q22" s="114" t="s">
        <v>108</v>
      </c>
      <c r="R22" s="129">
        <v>415200</v>
      </c>
      <c r="S22" s="130">
        <f>Table15[[#This Row],[Đơn giá
Unit Price]]*Table15[[#This Row],[Số lượng
Quantity]]</f>
        <v>830400</v>
      </c>
      <c r="T22" s="157">
        <v>44645</v>
      </c>
      <c r="U22" s="164">
        <v>44652</v>
      </c>
      <c r="V22" s="158">
        <v>44658</v>
      </c>
      <c r="W22" s="135" t="s">
        <v>1009</v>
      </c>
      <c r="X22" s="115" t="s">
        <v>16</v>
      </c>
      <c r="Y22" s="18" t="s">
        <v>1297</v>
      </c>
      <c r="Z22" s="137"/>
      <c r="AA22" s="137"/>
      <c r="AB22" s="137"/>
      <c r="AC22" s="137"/>
    </row>
    <row r="23" spans="1:29" x14ac:dyDescent="0.35">
      <c r="A23" s="126" t="s">
        <v>110</v>
      </c>
      <c r="B23" s="126" t="s">
        <v>2049</v>
      </c>
      <c r="C23" s="126" t="s">
        <v>110</v>
      </c>
      <c r="D23" s="134">
        <v>2199</v>
      </c>
      <c r="E23" s="134">
        <v>4895</v>
      </c>
      <c r="F23" s="113"/>
      <c r="G23" s="115"/>
      <c r="H23" s="137" t="s">
        <v>1849</v>
      </c>
      <c r="I23" s="117" t="s">
        <v>1852</v>
      </c>
      <c r="J23" s="128" t="s">
        <v>1850</v>
      </c>
      <c r="K23" s="128" t="s">
        <v>733</v>
      </c>
      <c r="L23" s="128" t="s">
        <v>733</v>
      </c>
      <c r="M23" s="121" t="s">
        <v>796</v>
      </c>
      <c r="N23" s="113" t="s">
        <v>642</v>
      </c>
      <c r="O23" s="126">
        <v>1</v>
      </c>
      <c r="P23" s="126" t="s">
        <v>37</v>
      </c>
      <c r="Q23" s="114" t="s">
        <v>108</v>
      </c>
      <c r="R23" s="129">
        <v>1650000</v>
      </c>
      <c r="S23" s="130">
        <f>Table15[[#This Row],[Đơn giá
Unit Price]]*Table15[[#This Row],[Số lượng
Quantity]]</f>
        <v>1650000</v>
      </c>
      <c r="T23" s="157">
        <v>44650</v>
      </c>
      <c r="U23" s="164">
        <v>44657</v>
      </c>
      <c r="V23" s="158">
        <v>44666</v>
      </c>
      <c r="W23" s="135" t="s">
        <v>1565</v>
      </c>
      <c r="X23" s="115" t="s">
        <v>16</v>
      </c>
      <c r="Y23" s="18" t="s">
        <v>1851</v>
      </c>
      <c r="Z23" s="137"/>
      <c r="AA23" s="137"/>
      <c r="AB23" s="137"/>
      <c r="AC23" s="137"/>
    </row>
    <row r="24" spans="1:29" x14ac:dyDescent="0.35">
      <c r="A24" s="126"/>
      <c r="B24" s="126"/>
      <c r="C24" s="126"/>
      <c r="D24" s="134">
        <v>2235</v>
      </c>
      <c r="E24" s="134">
        <v>4946</v>
      </c>
      <c r="F24" s="113" t="s">
        <v>1853</v>
      </c>
      <c r="G24" s="115"/>
      <c r="H24" s="137" t="s">
        <v>735</v>
      </c>
      <c r="I24" s="117" t="s">
        <v>736</v>
      </c>
      <c r="J24" s="128" t="s">
        <v>737</v>
      </c>
      <c r="K24" s="128" t="s">
        <v>924</v>
      </c>
      <c r="L24" s="128" t="s">
        <v>924</v>
      </c>
      <c r="M24" s="121" t="s">
        <v>796</v>
      </c>
      <c r="N24" s="113" t="s">
        <v>642</v>
      </c>
      <c r="O24" s="126">
        <v>1</v>
      </c>
      <c r="P24" s="126" t="s">
        <v>276</v>
      </c>
      <c r="Q24" s="114" t="s">
        <v>108</v>
      </c>
      <c r="R24" s="129">
        <v>10000000</v>
      </c>
      <c r="S24" s="130">
        <f>Table15[[#This Row],[Đơn giá
Unit Price]]*Table15[[#This Row],[Số lượng
Quantity]]</f>
        <v>10000000</v>
      </c>
      <c r="T24" s="157">
        <v>44655</v>
      </c>
      <c r="U24" s="164">
        <v>44676</v>
      </c>
      <c r="V24" s="158"/>
      <c r="W24" s="135" t="s">
        <v>31</v>
      </c>
      <c r="X24" s="115" t="s">
        <v>16</v>
      </c>
      <c r="Y24" s="18" t="s">
        <v>1854</v>
      </c>
      <c r="Z24" s="137"/>
      <c r="AA24" s="137"/>
      <c r="AB24" s="137"/>
      <c r="AC24" s="137"/>
    </row>
    <row r="25" spans="1:29" x14ac:dyDescent="0.35">
      <c r="A25" s="9"/>
      <c r="B25" s="12"/>
      <c r="C25" s="16"/>
      <c r="D25" s="13"/>
      <c r="E25" s="13"/>
      <c r="F25" s="19" t="s">
        <v>1998</v>
      </c>
      <c r="G25" s="21"/>
      <c r="H25" s="27" t="s">
        <v>1997</v>
      </c>
      <c r="I25" s="86" t="s">
        <v>1645</v>
      </c>
      <c r="J25" s="11" t="s">
        <v>1646</v>
      </c>
      <c r="K25" s="11" t="s">
        <v>1647</v>
      </c>
      <c r="L25" s="11" t="s">
        <v>1647</v>
      </c>
      <c r="M25" s="17" t="s">
        <v>63</v>
      </c>
      <c r="N25" s="14" t="s">
        <v>642</v>
      </c>
      <c r="O25" s="12">
        <v>1</v>
      </c>
      <c r="P25" s="12" t="s">
        <v>1092</v>
      </c>
      <c r="Q25" s="23" t="s">
        <v>390</v>
      </c>
      <c r="R25" s="15">
        <v>38480</v>
      </c>
      <c r="S25" s="10">
        <f>Table15[[#This Row],[Đơn giá
Unit Price]]*Table15[[#This Row],[Số lượng
Quantity]]</f>
        <v>38480</v>
      </c>
      <c r="T25" s="139"/>
      <c r="U25" s="139"/>
      <c r="V25" s="149"/>
      <c r="W25" s="39" t="s">
        <v>31</v>
      </c>
      <c r="X25" s="82" t="s">
        <v>16</v>
      </c>
      <c r="Y25" s="18" t="s">
        <v>1653</v>
      </c>
      <c r="Z25" s="27"/>
      <c r="AA25" s="27" t="s">
        <v>1514</v>
      </c>
      <c r="AB25" s="27"/>
      <c r="AC25" s="27"/>
    </row>
    <row r="26" spans="1:29" x14ac:dyDescent="0.35">
      <c r="A26" s="12"/>
      <c r="B26" s="12"/>
      <c r="C26" s="12"/>
      <c r="D26" s="13"/>
      <c r="E26" s="13"/>
      <c r="F26" s="19"/>
      <c r="G26" s="21"/>
      <c r="H26" s="27" t="s">
        <v>1842</v>
      </c>
      <c r="I26" s="86" t="s">
        <v>1845</v>
      </c>
      <c r="J26" s="11" t="s">
        <v>1847</v>
      </c>
      <c r="K26" s="11" t="s">
        <v>1844</v>
      </c>
      <c r="L26" s="11"/>
      <c r="M26" s="17" t="s">
        <v>796</v>
      </c>
      <c r="N26" s="14" t="s">
        <v>642</v>
      </c>
      <c r="O26" s="12">
        <v>4</v>
      </c>
      <c r="P26" s="12" t="s">
        <v>37</v>
      </c>
      <c r="Q26" s="23" t="s">
        <v>108</v>
      </c>
      <c r="R26" s="15"/>
      <c r="S26" s="10">
        <f>Product_Name[[#This Row],[Đơn giá
Unit Price]]*Product_Name[[#This Row],[Số lượng
Quantity]]</f>
        <v>6456000</v>
      </c>
      <c r="T26" s="142"/>
      <c r="U26" s="143"/>
      <c r="V26" s="37"/>
      <c r="W26" s="39"/>
      <c r="X26" s="82" t="s">
        <v>16</v>
      </c>
      <c r="Y26" s="18" t="s">
        <v>1843</v>
      </c>
      <c r="Z26" s="27"/>
      <c r="AA26" s="27"/>
      <c r="AB26" s="27"/>
      <c r="AC26" s="27"/>
    </row>
    <row r="27" spans="1:29" x14ac:dyDescent="0.35">
      <c r="A27" s="40"/>
      <c r="B27" s="40"/>
      <c r="C27" s="40"/>
      <c r="D27" s="167"/>
      <c r="E27" s="167"/>
      <c r="F27" s="41"/>
      <c r="G27" s="38" t="s">
        <v>1896</v>
      </c>
      <c r="H27" s="148" t="s">
        <v>425</v>
      </c>
      <c r="I27" s="168" t="s">
        <v>699</v>
      </c>
      <c r="J27" s="24" t="s">
        <v>1846</v>
      </c>
      <c r="K27" s="24" t="s">
        <v>1844</v>
      </c>
      <c r="L27" s="24"/>
      <c r="M27" s="43" t="s">
        <v>796</v>
      </c>
      <c r="N27" s="41" t="s">
        <v>642</v>
      </c>
      <c r="O27" s="40">
        <v>4</v>
      </c>
      <c r="P27" s="40" t="s">
        <v>37</v>
      </c>
      <c r="Q27" s="44"/>
      <c r="R27" s="169"/>
      <c r="S27" s="45">
        <f>Product_Name[[#This Row],[Đơn giá
Unit Price]]*Product_Name[[#This Row],[Số lượng
Quantity]]</f>
        <v>23190000</v>
      </c>
      <c r="T27" s="166"/>
      <c r="U27" s="164"/>
      <c r="V27" s="170"/>
      <c r="W27" s="171"/>
      <c r="X27" s="172" t="s">
        <v>16</v>
      </c>
      <c r="Y27" s="18" t="s">
        <v>1843</v>
      </c>
      <c r="Z27" s="148"/>
      <c r="AA27" s="148"/>
      <c r="AB27" s="148"/>
      <c r="AC27" s="148"/>
    </row>
    <row r="28" spans="1:29" x14ac:dyDescent="0.35">
      <c r="A28" s="126"/>
      <c r="B28" s="126"/>
      <c r="C28" s="126"/>
      <c r="D28" s="134"/>
      <c r="E28" s="134"/>
      <c r="F28" s="113" t="s">
        <v>1898</v>
      </c>
      <c r="G28" s="115" t="s">
        <v>2014</v>
      </c>
      <c r="H28" s="137" t="s">
        <v>1894</v>
      </c>
      <c r="I28" s="117" t="s">
        <v>1895</v>
      </c>
      <c r="J28" s="128" t="s">
        <v>1897</v>
      </c>
      <c r="K28" s="113" t="s">
        <v>924</v>
      </c>
      <c r="L28" s="113" t="s">
        <v>924</v>
      </c>
      <c r="M28" s="131" t="s">
        <v>796</v>
      </c>
      <c r="N28" s="113" t="s">
        <v>642</v>
      </c>
      <c r="O28" s="126">
        <v>5</v>
      </c>
      <c r="P28" s="126" t="s">
        <v>37</v>
      </c>
      <c r="Q28" s="136" t="s">
        <v>108</v>
      </c>
      <c r="R28" s="129">
        <v>1840000</v>
      </c>
      <c r="S28" s="130">
        <f>Product_Name[[#This Row],[Đơn giá
Unit Price]]*Product_Name[[#This Row],[Số lượng
Quantity]]</f>
        <v>200000</v>
      </c>
      <c r="T28" s="141">
        <v>44659</v>
      </c>
      <c r="U28" s="141"/>
      <c r="V28" s="150"/>
      <c r="W28" s="135" t="s">
        <v>31</v>
      </c>
      <c r="X28" s="116" t="s">
        <v>16</v>
      </c>
      <c r="Y28" s="18" t="s">
        <v>1777</v>
      </c>
      <c r="Z28" s="137"/>
      <c r="AA28" s="137" t="s">
        <v>1519</v>
      </c>
      <c r="AB28" s="137"/>
      <c r="AC28" s="137"/>
    </row>
    <row r="29" spans="1:29" x14ac:dyDescent="0.35">
      <c r="A29" s="12"/>
      <c r="B29" s="12"/>
      <c r="C29" s="12">
        <v>6258</v>
      </c>
      <c r="D29" s="83"/>
      <c r="E29" s="83"/>
      <c r="F29" s="14" t="s">
        <v>2078</v>
      </c>
      <c r="G29" s="9" t="s">
        <v>2079</v>
      </c>
      <c r="H29" s="27" t="s">
        <v>621</v>
      </c>
      <c r="I29" s="86" t="s">
        <v>1468</v>
      </c>
      <c r="J29" s="11" t="s">
        <v>615</v>
      </c>
      <c r="K29" s="11" t="s">
        <v>176</v>
      </c>
      <c r="L29" s="11" t="s">
        <v>176</v>
      </c>
      <c r="M29" s="17" t="s">
        <v>63</v>
      </c>
      <c r="N29" s="14" t="s">
        <v>642</v>
      </c>
      <c r="O29" s="12">
        <v>3</v>
      </c>
      <c r="P29" s="12" t="s">
        <v>37</v>
      </c>
      <c r="Q29" s="23" t="s">
        <v>108</v>
      </c>
      <c r="R29" s="15">
        <v>2408000</v>
      </c>
      <c r="S29" s="10">
        <f>Table15[[#This Row],[Đơn giá
Unit Price]]*Table15[[#This Row],[Số lượng
Quantity]]</f>
        <v>7224000</v>
      </c>
      <c r="T29" s="142">
        <v>44671</v>
      </c>
      <c r="U29" s="143">
        <v>44701</v>
      </c>
      <c r="V29" s="37"/>
      <c r="W29" s="39" t="s">
        <v>31</v>
      </c>
      <c r="X29" s="9" t="s">
        <v>16</v>
      </c>
      <c r="Y29" s="18"/>
      <c r="Z29" s="27"/>
      <c r="AA29" s="27" t="s">
        <v>1503</v>
      </c>
      <c r="AB29" s="27"/>
      <c r="AC29" s="27" t="s">
        <v>1504</v>
      </c>
    </row>
    <row r="30" spans="1:29" x14ac:dyDescent="0.35">
      <c r="A30" s="12"/>
      <c r="B30" s="12"/>
      <c r="C30" s="12">
        <v>6258</v>
      </c>
      <c r="D30" s="83"/>
      <c r="E30" s="83"/>
      <c r="F30" s="14" t="s">
        <v>2078</v>
      </c>
      <c r="G30" s="9" t="s">
        <v>2079</v>
      </c>
      <c r="H30" s="27" t="s">
        <v>621</v>
      </c>
      <c r="I30" s="86" t="s">
        <v>1468</v>
      </c>
      <c r="J30" s="11" t="s">
        <v>616</v>
      </c>
      <c r="K30" s="11" t="s">
        <v>176</v>
      </c>
      <c r="L30" s="11" t="s">
        <v>176</v>
      </c>
      <c r="M30" s="17" t="s">
        <v>63</v>
      </c>
      <c r="N30" s="14" t="s">
        <v>642</v>
      </c>
      <c r="O30" s="12">
        <v>7</v>
      </c>
      <c r="P30" s="12" t="s">
        <v>37</v>
      </c>
      <c r="Q30" s="23" t="s">
        <v>108</v>
      </c>
      <c r="R30" s="15">
        <v>1120000</v>
      </c>
      <c r="S30" s="10">
        <f>Table15[[#This Row],[Đơn giá
Unit Price]]*Table15[[#This Row],[Số lượng
Quantity]]</f>
        <v>7840000</v>
      </c>
      <c r="T30" s="142">
        <v>44671</v>
      </c>
      <c r="U30" s="143">
        <v>44701</v>
      </c>
      <c r="V30" s="37"/>
      <c r="W30" s="39" t="s">
        <v>31</v>
      </c>
      <c r="X30" s="9" t="s">
        <v>16</v>
      </c>
      <c r="Y30" s="18"/>
      <c r="Z30" s="27"/>
      <c r="AA30" s="27" t="s">
        <v>1503</v>
      </c>
      <c r="AB30" s="27"/>
      <c r="AC30" s="27" t="s">
        <v>1504</v>
      </c>
    </row>
    <row r="31" spans="1:29" x14ac:dyDescent="0.35">
      <c r="A31" s="12"/>
      <c r="B31" s="12"/>
      <c r="C31" s="12">
        <v>6258</v>
      </c>
      <c r="D31" s="83"/>
      <c r="E31" s="83"/>
      <c r="F31" s="14" t="s">
        <v>2078</v>
      </c>
      <c r="G31" s="9" t="s">
        <v>2079</v>
      </c>
      <c r="H31" s="27" t="s">
        <v>621</v>
      </c>
      <c r="I31" s="86" t="s">
        <v>1468</v>
      </c>
      <c r="J31" s="11" t="s">
        <v>617</v>
      </c>
      <c r="K31" s="11" t="s">
        <v>176</v>
      </c>
      <c r="L31" s="11" t="s">
        <v>176</v>
      </c>
      <c r="M31" s="17" t="s">
        <v>63</v>
      </c>
      <c r="N31" s="14" t="s">
        <v>642</v>
      </c>
      <c r="O31" s="12">
        <v>3</v>
      </c>
      <c r="P31" s="12" t="s">
        <v>37</v>
      </c>
      <c r="Q31" s="23" t="s">
        <v>108</v>
      </c>
      <c r="R31" s="15">
        <v>1994000</v>
      </c>
      <c r="S31" s="10">
        <f>Table15[[#This Row],[Đơn giá
Unit Price]]*Table15[[#This Row],[Số lượng
Quantity]]</f>
        <v>5982000</v>
      </c>
      <c r="T31" s="142">
        <v>44671</v>
      </c>
      <c r="U31" s="143">
        <v>44701</v>
      </c>
      <c r="V31" s="37"/>
      <c r="W31" s="39" t="s">
        <v>31</v>
      </c>
      <c r="X31" s="9" t="s">
        <v>16</v>
      </c>
      <c r="Y31" s="18"/>
      <c r="Z31" s="27"/>
      <c r="AA31" s="27" t="s">
        <v>1503</v>
      </c>
      <c r="AB31" s="27"/>
      <c r="AC31" s="27" t="s">
        <v>1504</v>
      </c>
    </row>
    <row r="32" spans="1:29" x14ac:dyDescent="0.35">
      <c r="A32" s="12"/>
      <c r="B32" s="12"/>
      <c r="C32" s="12">
        <v>6258</v>
      </c>
      <c r="D32" s="83"/>
      <c r="E32" s="83"/>
      <c r="F32" s="14" t="s">
        <v>2078</v>
      </c>
      <c r="G32" s="9" t="s">
        <v>2079</v>
      </c>
      <c r="H32" s="27" t="s">
        <v>621</v>
      </c>
      <c r="I32" s="86" t="s">
        <v>970</v>
      </c>
      <c r="J32" s="11" t="s">
        <v>618</v>
      </c>
      <c r="K32" s="11" t="s">
        <v>176</v>
      </c>
      <c r="L32" s="11" t="s">
        <v>176</v>
      </c>
      <c r="M32" s="17" t="s">
        <v>63</v>
      </c>
      <c r="N32" s="14" t="s">
        <v>642</v>
      </c>
      <c r="O32" s="12">
        <v>5</v>
      </c>
      <c r="P32" s="12" t="s">
        <v>37</v>
      </c>
      <c r="Q32" s="23" t="s">
        <v>108</v>
      </c>
      <c r="R32" s="15">
        <v>1781000</v>
      </c>
      <c r="S32" s="10">
        <f>Table15[[#This Row],[Đơn giá
Unit Price]]*Table15[[#This Row],[Số lượng
Quantity]]</f>
        <v>8905000</v>
      </c>
      <c r="T32" s="142">
        <v>44671</v>
      </c>
      <c r="U32" s="143">
        <v>44701</v>
      </c>
      <c r="V32" s="37"/>
      <c r="W32" s="39" t="s">
        <v>31</v>
      </c>
      <c r="X32" s="9" t="s">
        <v>16</v>
      </c>
      <c r="Y32" s="18"/>
      <c r="Z32" s="27"/>
      <c r="AA32" s="27" t="s">
        <v>1503</v>
      </c>
      <c r="AB32" s="27"/>
      <c r="AC32" s="27" t="s">
        <v>1504</v>
      </c>
    </row>
    <row r="33" spans="1:29" ht="15.5" x14ac:dyDescent="0.35">
      <c r="A33" s="177"/>
      <c r="B33" s="177"/>
      <c r="C33" s="177"/>
      <c r="D33" s="178"/>
      <c r="E33" s="178"/>
      <c r="F33" s="177"/>
      <c r="G33" s="177"/>
      <c r="H33" s="181" t="s">
        <v>614</v>
      </c>
      <c r="I33" s="179" t="s">
        <v>1470</v>
      </c>
      <c r="J33" s="177" t="s">
        <v>613</v>
      </c>
      <c r="K33" s="177" t="s">
        <v>1540</v>
      </c>
      <c r="L33" s="177" t="s">
        <v>99</v>
      </c>
      <c r="M33" s="177" t="s">
        <v>124</v>
      </c>
      <c r="N33" s="177" t="s">
        <v>14</v>
      </c>
      <c r="O33" s="177">
        <v>100</v>
      </c>
      <c r="P33" s="177" t="s">
        <v>37</v>
      </c>
      <c r="Q33" s="176" t="s">
        <v>108</v>
      </c>
      <c r="R33" s="182">
        <v>15000</v>
      </c>
      <c r="S33" s="182">
        <f>Table15[[#This Row],[Đơn giá
Unit Price]]*Table15[[#This Row],[Số lượng
Quantity]]</f>
        <v>1500000</v>
      </c>
      <c r="T33" s="175"/>
      <c r="U33" s="175"/>
      <c r="V33" s="180"/>
      <c r="W33" s="177"/>
      <c r="X33" s="177" t="s">
        <v>16</v>
      </c>
      <c r="Y33" s="175"/>
      <c r="Z33" s="181"/>
      <c r="AA33" s="181"/>
      <c r="AB33" s="181"/>
      <c r="AC33" s="181"/>
    </row>
    <row r="34" spans="1:29" x14ac:dyDescent="0.35">
      <c r="A34" s="126"/>
      <c r="B34" s="126" t="s">
        <v>2051</v>
      </c>
      <c r="C34" s="126"/>
      <c r="D34" s="134">
        <v>2268</v>
      </c>
      <c r="E34" s="134">
        <v>4981</v>
      </c>
      <c r="F34" s="113" t="s">
        <v>2011</v>
      </c>
      <c r="G34" s="115" t="s">
        <v>2012</v>
      </c>
      <c r="H34" s="137" t="s">
        <v>2006</v>
      </c>
      <c r="I34" s="117" t="s">
        <v>2008</v>
      </c>
      <c r="J34" s="128"/>
      <c r="K34" s="128" t="s">
        <v>1647</v>
      </c>
      <c r="L34" s="128" t="s">
        <v>35</v>
      </c>
      <c r="M34" s="121" t="s">
        <v>63</v>
      </c>
      <c r="N34" s="113" t="s">
        <v>642</v>
      </c>
      <c r="O34" s="126">
        <v>1</v>
      </c>
      <c r="P34" s="126" t="s">
        <v>799</v>
      </c>
      <c r="Q34" s="114" t="s">
        <v>390</v>
      </c>
      <c r="R34" s="129">
        <v>96310.21</v>
      </c>
      <c r="S34" s="130">
        <f>Table15[[#This Row],[Đơn giá
Unit Price]]*Table15[[#This Row],[Số lượng
Quantity]]</f>
        <v>96310.21</v>
      </c>
      <c r="T34" s="157">
        <v>44659</v>
      </c>
      <c r="U34" s="164">
        <v>44666</v>
      </c>
      <c r="V34" s="158">
        <v>44664</v>
      </c>
      <c r="W34" s="135" t="s">
        <v>31</v>
      </c>
      <c r="X34" s="115" t="s">
        <v>54</v>
      </c>
      <c r="Y34" s="18"/>
      <c r="Z34" s="137"/>
      <c r="AA34" s="137" t="s">
        <v>2067</v>
      </c>
      <c r="AB34" s="137"/>
      <c r="AC34" s="137"/>
    </row>
    <row r="35" spans="1:29" x14ac:dyDescent="0.35">
      <c r="A35" s="126"/>
      <c r="B35" s="126" t="s">
        <v>2050</v>
      </c>
      <c r="C35" s="126"/>
      <c r="D35" s="134"/>
      <c r="E35" s="134">
        <v>5011</v>
      </c>
      <c r="F35" s="113" t="s">
        <v>2011</v>
      </c>
      <c r="G35" s="115" t="s">
        <v>2013</v>
      </c>
      <c r="H35" s="137" t="s">
        <v>2007</v>
      </c>
      <c r="I35" s="117" t="s">
        <v>2009</v>
      </c>
      <c r="J35" s="128"/>
      <c r="K35" s="128" t="s">
        <v>2010</v>
      </c>
      <c r="L35" s="128" t="s">
        <v>35</v>
      </c>
      <c r="M35" s="121" t="s">
        <v>63</v>
      </c>
      <c r="N35" s="113" t="s">
        <v>642</v>
      </c>
      <c r="O35" s="126">
        <v>1</v>
      </c>
      <c r="P35" s="126" t="s">
        <v>799</v>
      </c>
      <c r="Q35" s="114" t="s">
        <v>390</v>
      </c>
      <c r="R35" s="129">
        <v>47690.34</v>
      </c>
      <c r="S35" s="130">
        <f>Table15[[#This Row],[Đơn giá
Unit Price]]*Table15[[#This Row],[Số lượng
Quantity]]</f>
        <v>47690.34</v>
      </c>
      <c r="T35" s="157">
        <v>44664</v>
      </c>
      <c r="U35" s="164">
        <v>44664</v>
      </c>
      <c r="V35" s="158">
        <v>44664</v>
      </c>
      <c r="W35" s="135" t="s">
        <v>31</v>
      </c>
      <c r="X35" s="115" t="s">
        <v>54</v>
      </c>
      <c r="Y35" s="18"/>
      <c r="Z35" s="137"/>
      <c r="AA35" s="137" t="s">
        <v>2068</v>
      </c>
      <c r="AB35" s="137"/>
      <c r="AC35" s="137"/>
    </row>
    <row r="36" spans="1:29" ht="15.5" x14ac:dyDescent="0.35">
      <c r="A36" s="9"/>
      <c r="B36" s="12"/>
      <c r="C36" s="16"/>
      <c r="D36" s="13"/>
      <c r="E36" s="13"/>
      <c r="F36" s="19"/>
      <c r="G36" s="21"/>
      <c r="H36" s="27" t="s">
        <v>2095</v>
      </c>
      <c r="I36" s="80" t="s">
        <v>2096</v>
      </c>
      <c r="J36" s="11" t="s">
        <v>2097</v>
      </c>
      <c r="K36" s="11"/>
      <c r="L36" s="11"/>
      <c r="M36" s="17" t="s">
        <v>796</v>
      </c>
      <c r="N36" s="14" t="s">
        <v>642</v>
      </c>
      <c r="O36" s="12">
        <v>2</v>
      </c>
      <c r="P36" s="12" t="s">
        <v>37</v>
      </c>
      <c r="Q36" s="23"/>
      <c r="R36" s="15"/>
      <c r="S36" s="182">
        <f>Table15[[#This Row],[Đơn giá
Unit Price]]*Table15[[#This Row],[Số lượng
Quantity]]</f>
        <v>0</v>
      </c>
      <c r="T36" s="142"/>
      <c r="U36" s="143"/>
      <c r="V36" s="37"/>
      <c r="W36" s="39"/>
      <c r="X36" s="9"/>
      <c r="Y36" s="89" t="s">
        <v>2098</v>
      </c>
      <c r="Z36" s="27">
        <v>7</v>
      </c>
      <c r="AA36" s="27" t="s">
        <v>2099</v>
      </c>
      <c r="AB36" s="27"/>
      <c r="AC36" s="27"/>
    </row>
    <row r="37" spans="1:29" x14ac:dyDescent="0.35">
      <c r="A37" s="127"/>
      <c r="B37" s="126"/>
      <c r="C37" s="127"/>
      <c r="D37" s="134"/>
      <c r="E37" s="134"/>
      <c r="F37" s="113"/>
      <c r="G37" s="115"/>
      <c r="H37" s="137"/>
      <c r="I37" s="117"/>
      <c r="J37" s="128"/>
      <c r="K37" s="118"/>
      <c r="L37" s="118"/>
      <c r="M37" s="121"/>
      <c r="N37" s="113"/>
      <c r="O37" s="126"/>
      <c r="P37" s="126"/>
      <c r="Q37" s="124"/>
      <c r="R37" s="129"/>
      <c r="S37" s="130"/>
      <c r="T37" s="157"/>
      <c r="U37" s="166"/>
      <c r="V37" s="158"/>
      <c r="W37" s="135"/>
      <c r="X37" s="116"/>
      <c r="Y37" s="18"/>
      <c r="Z37" s="137"/>
      <c r="AA37" s="137"/>
      <c r="AB37" s="137"/>
      <c r="AC37" s="137"/>
    </row>
    <row r="38" spans="1:29" ht="28" x14ac:dyDescent="0.35">
      <c r="A38" s="9"/>
      <c r="B38" s="12"/>
      <c r="C38" s="16"/>
      <c r="D38" s="13">
        <v>2479</v>
      </c>
      <c r="E38" s="13"/>
      <c r="F38" s="197" t="s">
        <v>2149</v>
      </c>
      <c r="G38" s="188" t="s">
        <v>2150</v>
      </c>
      <c r="H38" s="26" t="s">
        <v>2152</v>
      </c>
      <c r="I38" s="80" t="s">
        <v>2154</v>
      </c>
      <c r="J38" s="11"/>
      <c r="K38" s="11"/>
      <c r="L38" s="11"/>
      <c r="M38" s="17"/>
      <c r="N38" s="14"/>
      <c r="O38" s="12"/>
      <c r="P38" s="12"/>
      <c r="Q38" s="23"/>
      <c r="R38" s="15"/>
      <c r="S38" s="182">
        <f>Table15[[#This Row],[Đơn giá
Unit Price]]*Table15[[#This Row],[Số lượng
Quantity]]</f>
        <v>0</v>
      </c>
      <c r="T38" s="142"/>
      <c r="U38" s="143"/>
      <c r="V38" s="37"/>
      <c r="W38" s="39"/>
      <c r="X38" s="9"/>
      <c r="Y38" s="89"/>
      <c r="Z38" s="26"/>
      <c r="AA38" s="26" t="s">
        <v>2149</v>
      </c>
      <c r="AB38" s="26"/>
      <c r="AC38" s="26"/>
    </row>
    <row r="39" spans="1:29" ht="56" x14ac:dyDescent="0.35">
      <c r="A39" s="9"/>
      <c r="B39" s="12"/>
      <c r="C39" s="16"/>
      <c r="D39" s="13">
        <v>2479</v>
      </c>
      <c r="E39" s="13"/>
      <c r="F39" s="197" t="s">
        <v>2148</v>
      </c>
      <c r="G39" s="188" t="s">
        <v>2151</v>
      </c>
      <c r="H39" s="199" t="s">
        <v>2153</v>
      </c>
      <c r="I39" s="80"/>
      <c r="J39" s="11"/>
      <c r="K39" s="11"/>
      <c r="L39" s="11"/>
      <c r="M39" s="17"/>
      <c r="N39" s="14"/>
      <c r="O39" s="12"/>
      <c r="P39" s="12"/>
      <c r="Q39" s="23"/>
      <c r="R39" s="15"/>
      <c r="S39" s="182">
        <f>Table15[[#This Row],[Đơn giá
Unit Price]]*Table15[[#This Row],[Số lượng
Quantity]]</f>
        <v>0</v>
      </c>
      <c r="T39" s="142"/>
      <c r="U39" s="143"/>
      <c r="V39" s="37"/>
      <c r="W39" s="39"/>
      <c r="X39" s="9"/>
      <c r="Y39" s="89"/>
      <c r="Z39" s="199"/>
      <c r="AA39" s="199" t="s">
        <v>2148</v>
      </c>
      <c r="AB39" s="199"/>
      <c r="AC39" s="199"/>
    </row>
    <row r="40" spans="1:29" ht="15.5" x14ac:dyDescent="0.3">
      <c r="A40" s="9"/>
      <c r="B40" s="12"/>
      <c r="C40" s="16"/>
      <c r="D40" s="13"/>
      <c r="E40" s="13"/>
      <c r="F40" s="19"/>
      <c r="G40" s="21"/>
      <c r="H40" s="198"/>
      <c r="I40" s="80"/>
      <c r="J40" s="11"/>
      <c r="K40" s="11"/>
      <c r="L40" s="11"/>
      <c r="M40" s="17"/>
      <c r="N40" s="14"/>
      <c r="O40" s="12"/>
      <c r="P40" s="12"/>
      <c r="Q40" s="23"/>
      <c r="R40" s="15"/>
      <c r="S40" s="182">
        <f>Table15[[#This Row],[Đơn giá
Unit Price]]*Table15[[#This Row],[Số lượng
Quantity]]</f>
        <v>0</v>
      </c>
      <c r="T40" s="142"/>
      <c r="U40" s="143"/>
      <c r="V40" s="37"/>
      <c r="W40" s="39"/>
      <c r="X40" s="9"/>
      <c r="Y40" s="89"/>
      <c r="Z40" s="198"/>
      <c r="AA40" s="198"/>
      <c r="AB40" s="198"/>
      <c r="AC40" s="198"/>
    </row>
    <row r="41" spans="1:29" ht="15.5" x14ac:dyDescent="0.35">
      <c r="A41" s="9"/>
      <c r="B41" s="12"/>
      <c r="C41" s="16"/>
      <c r="D41" s="13"/>
      <c r="E41" s="13"/>
      <c r="F41" s="19"/>
      <c r="G41" s="21"/>
      <c r="H41" s="27"/>
      <c r="I41" s="80"/>
      <c r="J41" s="11"/>
      <c r="K41" s="11"/>
      <c r="L41" s="11"/>
      <c r="M41" s="17"/>
      <c r="N41" s="14"/>
      <c r="O41" s="12"/>
      <c r="P41" s="12"/>
      <c r="Q41" s="23"/>
      <c r="R41" s="15"/>
      <c r="S41" s="182">
        <f>Table15[[#This Row],[Đơn giá
Unit Price]]*Table15[[#This Row],[Số lượng
Quantity]]</f>
        <v>0</v>
      </c>
      <c r="T41" s="142"/>
      <c r="U41" s="143"/>
      <c r="V41" s="37"/>
      <c r="W41" s="39"/>
      <c r="X41" s="9"/>
      <c r="Y41" s="89"/>
      <c r="Z41" s="27"/>
      <c r="AA41" s="27"/>
      <c r="AB41" s="27"/>
      <c r="AC41" s="27"/>
    </row>
    <row r="42" spans="1:29" ht="15.5" x14ac:dyDescent="0.35">
      <c r="A42" s="9"/>
      <c r="B42" s="12"/>
      <c r="C42" s="16"/>
      <c r="D42" s="13"/>
      <c r="E42" s="13"/>
      <c r="F42" s="19"/>
      <c r="G42" s="21"/>
      <c r="H42" s="27"/>
      <c r="I42" s="80"/>
      <c r="J42" s="11"/>
      <c r="K42" s="11"/>
      <c r="L42" s="11"/>
      <c r="M42" s="17"/>
      <c r="N42" s="14"/>
      <c r="O42" s="12"/>
      <c r="P42" s="12"/>
      <c r="Q42" s="23"/>
      <c r="R42" s="15"/>
      <c r="S42" s="182">
        <f>Table15[[#This Row],[Đơn giá
Unit Price]]*Table15[[#This Row],[Số lượng
Quantity]]</f>
        <v>0</v>
      </c>
      <c r="T42" s="142"/>
      <c r="U42" s="143"/>
      <c r="V42" s="37"/>
      <c r="W42" s="39"/>
      <c r="X42" s="9"/>
      <c r="Y42" s="89"/>
      <c r="Z42" s="27"/>
      <c r="AA42" s="27"/>
      <c r="AB42" s="27"/>
      <c r="AC42" s="27"/>
    </row>
    <row r="43" spans="1:29" ht="15.5" x14ac:dyDescent="0.35">
      <c r="A43" s="9"/>
      <c r="B43" s="12"/>
      <c r="C43" s="16"/>
      <c r="D43" s="13"/>
      <c r="E43" s="13"/>
      <c r="F43" s="19"/>
      <c r="G43" s="21"/>
      <c r="H43" s="27"/>
      <c r="I43" s="80"/>
      <c r="J43" s="11"/>
      <c r="K43" s="11"/>
      <c r="L43" s="11"/>
      <c r="M43" s="17"/>
      <c r="N43" s="14"/>
      <c r="O43" s="12"/>
      <c r="P43" s="12"/>
      <c r="Q43" s="23"/>
      <c r="R43" s="15"/>
      <c r="S43" s="182">
        <f>Table15[[#This Row],[Đơn giá
Unit Price]]*Table15[[#This Row],[Số lượng
Quantity]]</f>
        <v>0</v>
      </c>
      <c r="T43" s="142"/>
      <c r="U43" s="143"/>
      <c r="V43" s="37"/>
      <c r="W43" s="39"/>
      <c r="X43" s="9"/>
      <c r="Y43" s="89"/>
      <c r="Z43" s="27"/>
      <c r="AA43" s="27"/>
      <c r="AB43" s="27"/>
      <c r="AC43" s="27"/>
    </row>
    <row r="44" spans="1:29" ht="15.5" x14ac:dyDescent="0.35">
      <c r="A44" s="9"/>
      <c r="B44" s="12"/>
      <c r="C44" s="16"/>
      <c r="D44" s="13"/>
      <c r="E44" s="13"/>
      <c r="F44" s="19"/>
      <c r="G44" s="21"/>
      <c r="H44" s="27"/>
      <c r="I44" s="80"/>
      <c r="J44" s="11"/>
      <c r="K44" s="11"/>
      <c r="L44" s="11"/>
      <c r="M44" s="17"/>
      <c r="N44" s="14"/>
      <c r="O44" s="12"/>
      <c r="P44" s="12"/>
      <c r="Q44" s="23"/>
      <c r="R44" s="15"/>
      <c r="S44" s="182">
        <f>Table15[[#This Row],[Đơn giá
Unit Price]]*Table15[[#This Row],[Số lượng
Quantity]]</f>
        <v>0</v>
      </c>
      <c r="T44" s="142"/>
      <c r="U44" s="143"/>
      <c r="V44" s="37"/>
      <c r="W44" s="39"/>
      <c r="X44" s="9"/>
      <c r="Y44" s="89"/>
      <c r="Z44" s="27"/>
      <c r="AA44" s="27"/>
      <c r="AB44" s="27"/>
      <c r="AC44" s="27"/>
    </row>
    <row r="45" spans="1:29" ht="15.5" x14ac:dyDescent="0.35">
      <c r="A45" s="9"/>
      <c r="B45" s="12"/>
      <c r="C45" s="16"/>
      <c r="D45" s="13"/>
      <c r="E45" s="13"/>
      <c r="F45" s="19"/>
      <c r="G45" s="21"/>
      <c r="H45" s="27"/>
      <c r="I45" s="80"/>
      <c r="J45" s="11"/>
      <c r="K45" s="11"/>
      <c r="L45" s="11"/>
      <c r="M45" s="17"/>
      <c r="N45" s="14"/>
      <c r="O45" s="12"/>
      <c r="P45" s="12"/>
      <c r="Q45" s="23"/>
      <c r="R45" s="15"/>
      <c r="S45" s="182">
        <f>Table15[[#This Row],[Đơn giá
Unit Price]]*Table15[[#This Row],[Số lượng
Quantity]]</f>
        <v>0</v>
      </c>
      <c r="T45" s="142"/>
      <c r="U45" s="143"/>
      <c r="V45" s="37"/>
      <c r="W45" s="39"/>
      <c r="X45" s="9"/>
      <c r="Y45" s="89"/>
      <c r="Z45" s="27"/>
      <c r="AA45" s="27"/>
      <c r="AB45" s="27"/>
      <c r="AC45" s="27"/>
    </row>
    <row r="46" spans="1:29" ht="15.5" x14ac:dyDescent="0.35">
      <c r="A46" s="9"/>
      <c r="B46" s="12"/>
      <c r="C46" s="16"/>
      <c r="D46" s="13"/>
      <c r="E46" s="13"/>
      <c r="F46" s="19"/>
      <c r="G46" s="21"/>
      <c r="H46" s="27"/>
      <c r="I46" s="80"/>
      <c r="J46" s="11"/>
      <c r="K46" s="11"/>
      <c r="L46" s="11"/>
      <c r="M46" s="17"/>
      <c r="N46" s="14"/>
      <c r="O46" s="12"/>
      <c r="P46" s="12"/>
      <c r="Q46" s="23"/>
      <c r="R46" s="15"/>
      <c r="S46" s="182">
        <f>Table15[[#This Row],[Đơn giá
Unit Price]]*Table15[[#This Row],[Số lượng
Quantity]]</f>
        <v>0</v>
      </c>
      <c r="T46" s="142"/>
      <c r="U46" s="143"/>
      <c r="V46" s="37"/>
      <c r="W46" s="39"/>
      <c r="X46" s="9"/>
      <c r="Y46" s="89"/>
      <c r="Z46" s="27"/>
      <c r="AA46" s="27"/>
      <c r="AB46" s="27"/>
      <c r="AC46" s="27"/>
    </row>
    <row r="47" spans="1:29" ht="15.5" x14ac:dyDescent="0.35">
      <c r="A47" s="9"/>
      <c r="B47" s="12"/>
      <c r="C47" s="16"/>
      <c r="D47" s="13"/>
      <c r="E47" s="13"/>
      <c r="F47" s="19"/>
      <c r="G47" s="21"/>
      <c r="H47" s="27"/>
      <c r="I47" s="80"/>
      <c r="J47" s="11"/>
      <c r="K47" s="11"/>
      <c r="L47" s="11"/>
      <c r="M47" s="17"/>
      <c r="N47" s="14"/>
      <c r="O47" s="12"/>
      <c r="P47" s="12"/>
      <c r="Q47" s="23"/>
      <c r="R47" s="15"/>
      <c r="S47" s="182">
        <f>Table15[[#This Row],[Đơn giá
Unit Price]]*Table15[[#This Row],[Số lượng
Quantity]]</f>
        <v>0</v>
      </c>
      <c r="T47" s="142"/>
      <c r="U47" s="143"/>
      <c r="V47" s="37"/>
      <c r="W47" s="39"/>
      <c r="X47" s="9"/>
      <c r="Y47" s="89"/>
      <c r="Z47" s="27"/>
      <c r="AA47" s="27"/>
      <c r="AB47" s="27"/>
      <c r="AC47" s="27"/>
    </row>
    <row r="48" spans="1:29" ht="15.5" x14ac:dyDescent="0.35">
      <c r="A48" s="9"/>
      <c r="B48" s="12"/>
      <c r="C48" s="16"/>
      <c r="D48" s="13"/>
      <c r="E48" s="13"/>
      <c r="F48" s="19"/>
      <c r="G48" s="21"/>
      <c r="H48" s="27"/>
      <c r="I48" s="80"/>
      <c r="J48" s="11"/>
      <c r="K48" s="11"/>
      <c r="L48" s="11"/>
      <c r="M48" s="17"/>
      <c r="N48" s="14"/>
      <c r="O48" s="12"/>
      <c r="P48" s="12"/>
      <c r="Q48" s="23"/>
      <c r="R48" s="15"/>
      <c r="S48" s="182">
        <f>Table15[[#This Row],[Đơn giá
Unit Price]]*Table15[[#This Row],[Số lượng
Quantity]]</f>
        <v>0</v>
      </c>
      <c r="T48" s="142"/>
      <c r="U48" s="143"/>
      <c r="V48" s="37"/>
      <c r="W48" s="39"/>
      <c r="X48" s="9"/>
      <c r="Y48" s="89"/>
      <c r="Z48" s="27"/>
      <c r="AA48" s="27"/>
      <c r="AB48" s="27"/>
      <c r="AC48" s="27"/>
    </row>
    <row r="49" spans="1:29" ht="15.5" x14ac:dyDescent="0.35">
      <c r="A49" s="9"/>
      <c r="B49" s="12"/>
      <c r="C49" s="16"/>
      <c r="D49" s="13"/>
      <c r="E49" s="13"/>
      <c r="F49" s="19"/>
      <c r="G49" s="21"/>
      <c r="H49" s="27"/>
      <c r="I49" s="80"/>
      <c r="J49" s="11"/>
      <c r="K49" s="11"/>
      <c r="L49" s="11"/>
      <c r="M49" s="17"/>
      <c r="N49" s="14"/>
      <c r="O49" s="12"/>
      <c r="P49" s="12"/>
      <c r="Q49" s="23"/>
      <c r="R49" s="15"/>
      <c r="S49" s="182">
        <f>Table15[[#This Row],[Đơn giá
Unit Price]]*Table15[[#This Row],[Số lượng
Quantity]]</f>
        <v>0</v>
      </c>
      <c r="T49" s="142"/>
      <c r="U49" s="143"/>
      <c r="V49" s="37"/>
      <c r="W49" s="39"/>
      <c r="X49" s="9"/>
      <c r="Y49" s="89"/>
      <c r="Z49" s="27"/>
      <c r="AA49" s="27"/>
      <c r="AB49" s="27"/>
      <c r="AC49" s="27"/>
    </row>
    <row r="50" spans="1:29" ht="15.5" x14ac:dyDescent="0.35">
      <c r="A50" s="9"/>
      <c r="B50" s="12"/>
      <c r="C50" s="16"/>
      <c r="D50" s="13"/>
      <c r="E50" s="13"/>
      <c r="F50" s="19"/>
      <c r="G50" s="21"/>
      <c r="H50" s="27"/>
      <c r="I50" s="80"/>
      <c r="J50" s="11"/>
      <c r="K50" s="11"/>
      <c r="L50" s="11"/>
      <c r="M50" s="17"/>
      <c r="N50" s="14"/>
      <c r="O50" s="12"/>
      <c r="P50" s="12"/>
      <c r="Q50" s="23"/>
      <c r="R50" s="15"/>
      <c r="S50" s="182">
        <f>Table15[[#This Row],[Đơn giá
Unit Price]]*Table15[[#This Row],[Số lượng
Quantity]]</f>
        <v>0</v>
      </c>
      <c r="T50" s="142"/>
      <c r="U50" s="143"/>
      <c r="V50" s="37"/>
      <c r="W50" s="39"/>
      <c r="X50" s="9"/>
      <c r="Y50" s="89"/>
      <c r="Z50" s="27"/>
      <c r="AA50" s="27"/>
      <c r="AB50" s="27"/>
      <c r="AC50" s="27"/>
    </row>
    <row r="51" spans="1:29" ht="15.5" x14ac:dyDescent="0.35">
      <c r="A51" s="9"/>
      <c r="B51" s="12"/>
      <c r="C51" s="16"/>
      <c r="D51" s="13"/>
      <c r="E51" s="13"/>
      <c r="F51" s="19"/>
      <c r="G51" s="21"/>
      <c r="H51" s="27"/>
      <c r="I51" s="80"/>
      <c r="J51" s="11"/>
      <c r="K51" s="11"/>
      <c r="L51" s="11"/>
      <c r="M51" s="17"/>
      <c r="N51" s="14"/>
      <c r="O51" s="12"/>
      <c r="P51" s="12"/>
      <c r="Q51" s="23"/>
      <c r="R51" s="15"/>
      <c r="S51" s="182">
        <f>Table15[[#This Row],[Đơn giá
Unit Price]]*Table15[[#This Row],[Số lượng
Quantity]]</f>
        <v>0</v>
      </c>
      <c r="T51" s="142"/>
      <c r="U51" s="143"/>
      <c r="V51" s="37"/>
      <c r="W51" s="39"/>
      <c r="X51" s="9"/>
      <c r="Y51" s="89"/>
      <c r="Z51" s="27"/>
      <c r="AA51" s="27"/>
      <c r="AB51" s="27"/>
      <c r="AC51" s="27"/>
    </row>
    <row r="52" spans="1:29" ht="15.5" x14ac:dyDescent="0.35">
      <c r="A52" s="9"/>
      <c r="B52" s="12"/>
      <c r="C52" s="16"/>
      <c r="D52" s="13"/>
      <c r="E52" s="13"/>
      <c r="F52" s="19"/>
      <c r="G52" s="21"/>
      <c r="H52" s="27"/>
      <c r="I52" s="80"/>
      <c r="J52" s="11"/>
      <c r="K52" s="11"/>
      <c r="L52" s="11"/>
      <c r="M52" s="17"/>
      <c r="N52" s="14"/>
      <c r="O52" s="12"/>
      <c r="P52" s="12"/>
      <c r="Q52" s="23"/>
      <c r="R52" s="15"/>
      <c r="S52" s="182">
        <f>Table15[[#This Row],[Đơn giá
Unit Price]]*Table15[[#This Row],[Số lượng
Quantity]]</f>
        <v>0</v>
      </c>
      <c r="T52" s="142"/>
      <c r="U52" s="143"/>
      <c r="V52" s="37"/>
      <c r="W52" s="39"/>
      <c r="X52" s="9"/>
      <c r="Y52" s="89"/>
      <c r="Z52" s="27"/>
      <c r="AA52" s="27"/>
      <c r="AB52" s="27"/>
      <c r="AC52" s="27"/>
    </row>
    <row r="53" spans="1:29" ht="15.5" x14ac:dyDescent="0.35">
      <c r="A53" s="9"/>
      <c r="B53" s="12"/>
      <c r="C53" s="16"/>
      <c r="D53" s="13"/>
      <c r="E53" s="13"/>
      <c r="F53" s="19"/>
      <c r="G53" s="21"/>
      <c r="H53" s="27"/>
      <c r="I53" s="80"/>
      <c r="J53" s="11"/>
      <c r="K53" s="11"/>
      <c r="L53" s="11"/>
      <c r="M53" s="17"/>
      <c r="N53" s="14"/>
      <c r="O53" s="12"/>
      <c r="P53" s="12"/>
      <c r="Q53" s="23"/>
      <c r="R53" s="15"/>
      <c r="S53" s="182">
        <f>Table15[[#This Row],[Đơn giá
Unit Price]]*Table15[[#This Row],[Số lượng
Quantity]]</f>
        <v>0</v>
      </c>
      <c r="T53" s="142"/>
      <c r="U53" s="143"/>
      <c r="V53" s="37"/>
      <c r="W53" s="39"/>
      <c r="X53" s="9"/>
      <c r="Y53" s="89"/>
      <c r="Z53" s="27"/>
      <c r="AA53" s="27"/>
      <c r="AB53" s="27"/>
      <c r="AC53" s="27"/>
    </row>
    <row r="54" spans="1:29" ht="15.5" x14ac:dyDescent="0.35">
      <c r="A54" s="9"/>
      <c r="B54" s="12"/>
      <c r="C54" s="16"/>
      <c r="D54" s="13"/>
      <c r="E54" s="13"/>
      <c r="F54" s="19"/>
      <c r="G54" s="21"/>
      <c r="H54" s="27"/>
      <c r="I54" s="80"/>
      <c r="J54" s="11"/>
      <c r="K54" s="11"/>
      <c r="L54" s="11"/>
      <c r="M54" s="17"/>
      <c r="N54" s="14"/>
      <c r="O54" s="12"/>
      <c r="P54" s="12"/>
      <c r="Q54" s="23"/>
      <c r="R54" s="15"/>
      <c r="S54" s="182">
        <f>Table15[[#This Row],[Đơn giá
Unit Price]]*Table15[[#This Row],[Số lượng
Quantity]]</f>
        <v>0</v>
      </c>
      <c r="T54" s="142"/>
      <c r="U54" s="143"/>
      <c r="V54" s="37"/>
      <c r="W54" s="39"/>
      <c r="X54" s="9"/>
      <c r="Y54" s="89"/>
      <c r="Z54" s="27"/>
      <c r="AA54" s="27"/>
      <c r="AB54" s="27"/>
      <c r="AC54" s="27"/>
    </row>
    <row r="55" spans="1:29" ht="15.5" x14ac:dyDescent="0.35">
      <c r="A55" s="9"/>
      <c r="B55" s="12"/>
      <c r="C55" s="16"/>
      <c r="D55" s="13"/>
      <c r="E55" s="13"/>
      <c r="F55" s="19"/>
      <c r="G55" s="21"/>
      <c r="H55" s="27"/>
      <c r="I55" s="80"/>
      <c r="J55" s="11"/>
      <c r="K55" s="11"/>
      <c r="L55" s="11"/>
      <c r="M55" s="17"/>
      <c r="N55" s="14"/>
      <c r="O55" s="12"/>
      <c r="P55" s="12"/>
      <c r="Q55" s="23"/>
      <c r="R55" s="15"/>
      <c r="S55" s="182">
        <f>Table15[[#This Row],[Đơn giá
Unit Price]]*Table15[[#This Row],[Số lượng
Quantity]]</f>
        <v>0</v>
      </c>
      <c r="T55" s="142"/>
      <c r="U55" s="143"/>
      <c r="V55" s="37"/>
      <c r="W55" s="39"/>
      <c r="X55" s="9"/>
      <c r="Y55" s="89"/>
      <c r="Z55" s="27"/>
      <c r="AA55" s="27"/>
      <c r="AB55" s="27"/>
      <c r="AC55" s="27"/>
    </row>
    <row r="56" spans="1:29" ht="15.5" x14ac:dyDescent="0.35">
      <c r="A56" s="9"/>
      <c r="B56" s="12"/>
      <c r="C56" s="16"/>
      <c r="D56" s="13"/>
      <c r="E56" s="13"/>
      <c r="F56" s="19"/>
      <c r="G56" s="21"/>
      <c r="H56" s="27"/>
      <c r="I56" s="80"/>
      <c r="J56" s="11"/>
      <c r="K56" s="11"/>
      <c r="L56" s="11"/>
      <c r="M56" s="17"/>
      <c r="N56" s="14"/>
      <c r="O56" s="12"/>
      <c r="P56" s="12"/>
      <c r="Q56" s="23"/>
      <c r="R56" s="15"/>
      <c r="S56" s="182">
        <f>Table15[[#This Row],[Đơn giá
Unit Price]]*Table15[[#This Row],[Số lượng
Quantity]]</f>
        <v>0</v>
      </c>
      <c r="T56" s="142"/>
      <c r="U56" s="143"/>
      <c r="V56" s="37"/>
      <c r="W56" s="39"/>
      <c r="X56" s="9"/>
      <c r="Y56" s="89"/>
      <c r="Z56" s="27"/>
      <c r="AA56" s="27"/>
      <c r="AB56" s="27"/>
      <c r="AC56" s="27"/>
    </row>
    <row r="57" spans="1:29" ht="15.5" x14ac:dyDescent="0.35">
      <c r="A57" s="9"/>
      <c r="B57" s="12"/>
      <c r="C57" s="16"/>
      <c r="D57" s="13"/>
      <c r="E57" s="13"/>
      <c r="F57" s="19"/>
      <c r="G57" s="21"/>
      <c r="H57" s="27"/>
      <c r="I57" s="80"/>
      <c r="J57" s="11"/>
      <c r="K57" s="11"/>
      <c r="L57" s="11"/>
      <c r="M57" s="17"/>
      <c r="N57" s="14"/>
      <c r="O57" s="12"/>
      <c r="P57" s="12"/>
      <c r="Q57" s="23"/>
      <c r="R57" s="15"/>
      <c r="S57" s="182">
        <f>Table15[[#This Row],[Đơn giá
Unit Price]]*Table15[[#This Row],[Số lượng
Quantity]]</f>
        <v>0</v>
      </c>
      <c r="T57" s="142"/>
      <c r="U57" s="143"/>
      <c r="V57" s="37"/>
      <c r="W57" s="39"/>
      <c r="X57" s="9"/>
      <c r="Y57" s="89"/>
      <c r="Z57" s="27"/>
      <c r="AA57" s="27"/>
      <c r="AB57" s="27"/>
      <c r="AC57" s="27"/>
    </row>
    <row r="58" spans="1:29" ht="15.5" x14ac:dyDescent="0.35">
      <c r="A58" s="9"/>
      <c r="B58" s="12"/>
      <c r="C58" s="16"/>
      <c r="D58" s="13"/>
      <c r="E58" s="13"/>
      <c r="F58" s="19"/>
      <c r="G58" s="21"/>
      <c r="H58" s="27"/>
      <c r="I58" s="80"/>
      <c r="J58" s="11"/>
      <c r="K58" s="11"/>
      <c r="L58" s="11"/>
      <c r="M58" s="17"/>
      <c r="N58" s="14"/>
      <c r="O58" s="12"/>
      <c r="P58" s="12"/>
      <c r="Q58" s="23"/>
      <c r="R58" s="15"/>
      <c r="S58" s="182">
        <f>Table15[[#This Row],[Đơn giá
Unit Price]]*Table15[[#This Row],[Số lượng
Quantity]]</f>
        <v>0</v>
      </c>
      <c r="T58" s="142"/>
      <c r="U58" s="143"/>
      <c r="V58" s="37"/>
      <c r="W58" s="39"/>
      <c r="X58" s="9"/>
      <c r="Y58" s="89"/>
      <c r="Z58" s="27"/>
      <c r="AA58" s="27"/>
      <c r="AB58" s="27"/>
      <c r="AC58" s="27"/>
    </row>
    <row r="59" spans="1:29" ht="15.5" x14ac:dyDescent="0.35">
      <c r="A59" s="9"/>
      <c r="B59" s="12"/>
      <c r="C59" s="16"/>
      <c r="D59" s="13"/>
      <c r="E59" s="13"/>
      <c r="F59" s="19"/>
      <c r="G59" s="21"/>
      <c r="H59" s="27"/>
      <c r="I59" s="80"/>
      <c r="J59" s="11"/>
      <c r="K59" s="11"/>
      <c r="L59" s="11"/>
      <c r="M59" s="17"/>
      <c r="N59" s="14"/>
      <c r="O59" s="12"/>
      <c r="P59" s="12"/>
      <c r="Q59" s="23"/>
      <c r="R59" s="15"/>
      <c r="S59" s="182">
        <f>Table15[[#This Row],[Đơn giá
Unit Price]]*Table15[[#This Row],[Số lượng
Quantity]]</f>
        <v>0</v>
      </c>
      <c r="T59" s="142"/>
      <c r="U59" s="143"/>
      <c r="V59" s="37"/>
      <c r="W59" s="39"/>
      <c r="X59" s="9"/>
      <c r="Y59" s="89"/>
      <c r="Z59" s="27"/>
      <c r="AA59" s="27"/>
      <c r="AB59" s="27"/>
      <c r="AC59" s="27"/>
    </row>
    <row r="60" spans="1:29" ht="15.5" x14ac:dyDescent="0.35">
      <c r="A60" s="9"/>
      <c r="B60" s="12"/>
      <c r="C60" s="16"/>
      <c r="D60" s="13"/>
      <c r="E60" s="13"/>
      <c r="F60" s="19"/>
      <c r="G60" s="21"/>
      <c r="H60" s="27"/>
      <c r="I60" s="80"/>
      <c r="J60" s="11"/>
      <c r="K60" s="11"/>
      <c r="L60" s="11"/>
      <c r="M60" s="17"/>
      <c r="N60" s="14"/>
      <c r="O60" s="12"/>
      <c r="P60" s="12"/>
      <c r="Q60" s="23"/>
      <c r="R60" s="15"/>
      <c r="S60" s="182">
        <f>Table15[[#This Row],[Đơn giá
Unit Price]]*Table15[[#This Row],[Số lượng
Quantity]]</f>
        <v>0</v>
      </c>
      <c r="T60" s="142"/>
      <c r="U60" s="143"/>
      <c r="V60" s="37"/>
      <c r="W60" s="39"/>
      <c r="X60" s="9"/>
      <c r="Y60" s="89"/>
      <c r="Z60" s="27"/>
      <c r="AA60" s="27"/>
      <c r="AB60" s="27"/>
      <c r="AC60" s="27"/>
    </row>
    <row r="61" spans="1:29" ht="15.5" x14ac:dyDescent="0.35">
      <c r="A61" s="9"/>
      <c r="B61" s="12"/>
      <c r="C61" s="16"/>
      <c r="D61" s="13"/>
      <c r="E61" s="13"/>
      <c r="F61" s="19"/>
      <c r="G61" s="21"/>
      <c r="H61" s="27"/>
      <c r="I61" s="80"/>
      <c r="J61" s="11"/>
      <c r="K61" s="11"/>
      <c r="L61" s="11"/>
      <c r="M61" s="17"/>
      <c r="N61" s="14"/>
      <c r="O61" s="12"/>
      <c r="P61" s="12"/>
      <c r="Q61" s="23"/>
      <c r="R61" s="15"/>
      <c r="S61" s="182">
        <f>Table15[[#This Row],[Đơn giá
Unit Price]]*Table15[[#This Row],[Số lượng
Quantity]]</f>
        <v>0</v>
      </c>
      <c r="T61" s="142"/>
      <c r="U61" s="143"/>
      <c r="V61" s="37"/>
      <c r="W61" s="39"/>
      <c r="X61" s="9"/>
      <c r="Y61" s="89"/>
      <c r="Z61" s="27"/>
      <c r="AA61" s="27"/>
      <c r="AB61" s="27"/>
      <c r="AC61" s="27"/>
    </row>
    <row r="62" spans="1:29" ht="15.5" x14ac:dyDescent="0.35">
      <c r="A62" s="9"/>
      <c r="B62" s="12"/>
      <c r="C62" s="16"/>
      <c r="D62" s="13"/>
      <c r="E62" s="13"/>
      <c r="F62" s="19"/>
      <c r="G62" s="21"/>
      <c r="H62" s="27"/>
      <c r="I62" s="80"/>
      <c r="J62" s="11"/>
      <c r="K62" s="11"/>
      <c r="L62" s="11"/>
      <c r="M62" s="17"/>
      <c r="N62" s="14"/>
      <c r="O62" s="12"/>
      <c r="P62" s="12"/>
      <c r="Q62" s="23"/>
      <c r="R62" s="15"/>
      <c r="S62" s="182">
        <f>Table15[[#This Row],[Đơn giá
Unit Price]]*Table15[[#This Row],[Số lượng
Quantity]]</f>
        <v>0</v>
      </c>
      <c r="T62" s="142"/>
      <c r="U62" s="143"/>
      <c r="V62" s="37"/>
      <c r="W62" s="39"/>
      <c r="X62" s="9"/>
      <c r="Y62" s="89"/>
      <c r="Z62" s="27"/>
      <c r="AA62" s="27"/>
      <c r="AB62" s="27"/>
      <c r="AC62" s="27"/>
    </row>
    <row r="63" spans="1:29" ht="15.5" x14ac:dyDescent="0.35">
      <c r="A63" s="9"/>
      <c r="B63" s="12"/>
      <c r="C63" s="16"/>
      <c r="D63" s="13"/>
      <c r="E63" s="13"/>
      <c r="F63" s="19"/>
      <c r="G63" s="21"/>
      <c r="H63" s="27"/>
      <c r="I63" s="80"/>
      <c r="J63" s="11"/>
      <c r="K63" s="11"/>
      <c r="L63" s="11"/>
      <c r="M63" s="17"/>
      <c r="N63" s="14"/>
      <c r="O63" s="12"/>
      <c r="P63" s="12"/>
      <c r="Q63" s="23"/>
      <c r="R63" s="15"/>
      <c r="S63" s="182">
        <f>Table15[[#This Row],[Đơn giá
Unit Price]]*Table15[[#This Row],[Số lượng
Quantity]]</f>
        <v>0</v>
      </c>
      <c r="T63" s="142"/>
      <c r="U63" s="143"/>
      <c r="V63" s="37"/>
      <c r="W63" s="39"/>
      <c r="X63" s="9"/>
      <c r="Y63" s="89"/>
      <c r="Z63" s="27"/>
      <c r="AA63" s="27"/>
      <c r="AB63" s="27"/>
      <c r="AC63" s="27"/>
    </row>
    <row r="64" spans="1:29" ht="15.5" x14ac:dyDescent="0.35">
      <c r="A64" s="9"/>
      <c r="B64" s="12"/>
      <c r="C64" s="16"/>
      <c r="D64" s="13"/>
      <c r="E64" s="13"/>
      <c r="F64" s="19"/>
      <c r="G64" s="21"/>
      <c r="H64" s="27"/>
      <c r="I64" s="80"/>
      <c r="J64" s="11"/>
      <c r="K64" s="11"/>
      <c r="L64" s="11"/>
      <c r="M64" s="17"/>
      <c r="N64" s="14"/>
      <c r="O64" s="12"/>
      <c r="P64" s="12"/>
      <c r="Q64" s="23"/>
      <c r="R64" s="15"/>
      <c r="S64" s="182">
        <f>Table15[[#This Row],[Đơn giá
Unit Price]]*Table15[[#This Row],[Số lượng
Quantity]]</f>
        <v>0</v>
      </c>
      <c r="T64" s="142"/>
      <c r="U64" s="143"/>
      <c r="V64" s="37"/>
      <c r="W64" s="39"/>
      <c r="X64" s="9"/>
      <c r="Y64" s="89"/>
      <c r="Z64" s="27"/>
      <c r="AA64" s="27"/>
      <c r="AB64" s="27"/>
      <c r="AC64" s="27"/>
    </row>
    <row r="65" spans="1:29" ht="15.5" x14ac:dyDescent="0.35">
      <c r="A65" s="9"/>
      <c r="B65" s="12"/>
      <c r="C65" s="16"/>
      <c r="D65" s="13"/>
      <c r="E65" s="13"/>
      <c r="F65" s="19"/>
      <c r="G65" s="21"/>
      <c r="H65" s="27"/>
      <c r="I65" s="80"/>
      <c r="J65" s="11"/>
      <c r="K65" s="11"/>
      <c r="L65" s="11"/>
      <c r="M65" s="17"/>
      <c r="N65" s="14"/>
      <c r="O65" s="12"/>
      <c r="P65" s="12"/>
      <c r="Q65" s="23"/>
      <c r="R65" s="15"/>
      <c r="S65" s="182">
        <f>Table15[[#This Row],[Đơn giá
Unit Price]]*Table15[[#This Row],[Số lượng
Quantity]]</f>
        <v>0</v>
      </c>
      <c r="T65" s="142"/>
      <c r="U65" s="143"/>
      <c r="V65" s="37"/>
      <c r="W65" s="39"/>
      <c r="X65" s="9"/>
      <c r="Y65" s="89"/>
      <c r="Z65" s="27"/>
      <c r="AA65" s="27"/>
      <c r="AB65" s="27"/>
      <c r="AC65" s="27"/>
    </row>
    <row r="66" spans="1:29" ht="15.5" x14ac:dyDescent="0.35">
      <c r="A66" s="9"/>
      <c r="B66" s="12"/>
      <c r="C66" s="16"/>
      <c r="D66" s="13"/>
      <c r="E66" s="13"/>
      <c r="F66" s="19"/>
      <c r="G66" s="21"/>
      <c r="H66" s="27"/>
      <c r="I66" s="80"/>
      <c r="J66" s="11"/>
      <c r="K66" s="11"/>
      <c r="L66" s="11"/>
      <c r="M66" s="17"/>
      <c r="N66" s="14"/>
      <c r="O66" s="12"/>
      <c r="P66" s="12"/>
      <c r="Q66" s="23"/>
      <c r="R66" s="15"/>
      <c r="S66" s="182">
        <f>Table15[[#This Row],[Đơn giá
Unit Price]]*Table15[[#This Row],[Số lượng
Quantity]]</f>
        <v>0</v>
      </c>
      <c r="T66" s="142"/>
      <c r="U66" s="143"/>
      <c r="V66" s="37"/>
      <c r="W66" s="39"/>
      <c r="X66" s="9"/>
      <c r="Y66" s="89"/>
      <c r="Z66" s="27"/>
      <c r="AA66" s="27"/>
      <c r="AB66" s="27"/>
      <c r="AC66" s="27"/>
    </row>
    <row r="67" spans="1:29" ht="15.5" x14ac:dyDescent="0.35">
      <c r="A67" s="9"/>
      <c r="B67" s="12"/>
      <c r="C67" s="16"/>
      <c r="D67" s="13"/>
      <c r="E67" s="13"/>
      <c r="F67" s="19"/>
      <c r="G67" s="21"/>
      <c r="H67" s="27"/>
      <c r="I67" s="80"/>
      <c r="J67" s="11"/>
      <c r="K67" s="11"/>
      <c r="L67" s="11"/>
      <c r="M67" s="17"/>
      <c r="N67" s="14"/>
      <c r="O67" s="12"/>
      <c r="P67" s="12"/>
      <c r="Q67" s="23"/>
      <c r="R67" s="15"/>
      <c r="S67" s="182">
        <f>Table15[[#This Row],[Đơn giá
Unit Price]]*Table15[[#This Row],[Số lượng
Quantity]]</f>
        <v>0</v>
      </c>
      <c r="T67" s="142"/>
      <c r="U67" s="143"/>
      <c r="V67" s="37"/>
      <c r="W67" s="39"/>
      <c r="X67" s="9"/>
      <c r="Y67" s="89"/>
      <c r="Z67" s="27"/>
      <c r="AA67" s="27"/>
      <c r="AB67" s="27"/>
      <c r="AC67" s="27"/>
    </row>
    <row r="68" spans="1:29" ht="15.5" x14ac:dyDescent="0.35">
      <c r="A68" s="9"/>
      <c r="B68" s="12"/>
      <c r="C68" s="16"/>
      <c r="D68" s="13"/>
      <c r="E68" s="13"/>
      <c r="F68" s="19"/>
      <c r="G68" s="21"/>
      <c r="H68" s="27"/>
      <c r="I68" s="80"/>
      <c r="J68" s="11"/>
      <c r="K68" s="11"/>
      <c r="L68" s="11"/>
      <c r="M68" s="17"/>
      <c r="N68" s="14"/>
      <c r="O68" s="12"/>
      <c r="P68" s="12"/>
      <c r="Q68" s="23"/>
      <c r="R68" s="15"/>
      <c r="S68" s="182">
        <f>Table15[[#This Row],[Đơn giá
Unit Price]]*Table15[[#This Row],[Số lượng
Quantity]]</f>
        <v>0</v>
      </c>
      <c r="T68" s="142"/>
      <c r="U68" s="143"/>
      <c r="V68" s="37"/>
      <c r="W68" s="39"/>
      <c r="X68" s="9"/>
      <c r="Y68" s="89"/>
      <c r="Z68" s="27"/>
      <c r="AA68" s="27"/>
      <c r="AB68" s="27"/>
      <c r="AC68" s="27"/>
    </row>
    <row r="69" spans="1:29" ht="15.5" x14ac:dyDescent="0.35">
      <c r="A69" s="9"/>
      <c r="B69" s="12"/>
      <c r="C69" s="16"/>
      <c r="D69" s="13"/>
      <c r="E69" s="13"/>
      <c r="F69" s="19"/>
      <c r="G69" s="21"/>
      <c r="H69" s="27"/>
      <c r="I69" s="80"/>
      <c r="J69" s="11"/>
      <c r="K69" s="11"/>
      <c r="L69" s="11"/>
      <c r="M69" s="17"/>
      <c r="N69" s="14"/>
      <c r="O69" s="12"/>
      <c r="P69" s="12"/>
      <c r="Q69" s="23"/>
      <c r="R69" s="15"/>
      <c r="S69" s="182">
        <f>Table15[[#This Row],[Đơn giá
Unit Price]]*Table15[[#This Row],[Số lượng
Quantity]]</f>
        <v>0</v>
      </c>
      <c r="T69" s="142"/>
      <c r="U69" s="143"/>
      <c r="V69" s="37"/>
      <c r="W69" s="39"/>
      <c r="X69" s="9"/>
      <c r="Y69" s="89"/>
      <c r="Z69" s="27"/>
      <c r="AA69" s="27"/>
      <c r="AB69" s="27"/>
      <c r="AC69" s="27"/>
    </row>
    <row r="70" spans="1:29" ht="15.5" x14ac:dyDescent="0.35">
      <c r="A70" s="9"/>
      <c r="B70" s="12"/>
      <c r="C70" s="16"/>
      <c r="D70" s="13"/>
      <c r="E70" s="13"/>
      <c r="F70" s="19"/>
      <c r="G70" s="21"/>
      <c r="H70" s="27"/>
      <c r="I70" s="80"/>
      <c r="J70" s="11"/>
      <c r="K70" s="11"/>
      <c r="L70" s="11"/>
      <c r="M70" s="17"/>
      <c r="N70" s="14"/>
      <c r="O70" s="12"/>
      <c r="P70" s="12"/>
      <c r="Q70" s="23"/>
      <c r="R70" s="15"/>
      <c r="S70" s="182">
        <f>Table15[[#This Row],[Đơn giá
Unit Price]]*Table15[[#This Row],[Số lượng
Quantity]]</f>
        <v>0</v>
      </c>
      <c r="T70" s="142"/>
      <c r="U70" s="143"/>
      <c r="V70" s="37"/>
      <c r="W70" s="39"/>
      <c r="X70" s="9"/>
      <c r="Y70" s="89"/>
      <c r="Z70" s="27"/>
      <c r="AA70" s="27"/>
      <c r="AB70" s="27"/>
      <c r="AC70" s="27"/>
    </row>
    <row r="71" spans="1:29" ht="15.5" x14ac:dyDescent="0.35">
      <c r="A71" s="9"/>
      <c r="B71" s="12"/>
      <c r="C71" s="16"/>
      <c r="D71" s="13"/>
      <c r="E71" s="13"/>
      <c r="F71" s="19"/>
      <c r="G71" s="21"/>
      <c r="H71" s="27"/>
      <c r="I71" s="80"/>
      <c r="J71" s="11"/>
      <c r="K71" s="11"/>
      <c r="L71" s="11"/>
      <c r="M71" s="17"/>
      <c r="N71" s="14"/>
      <c r="O71" s="12"/>
      <c r="P71" s="12"/>
      <c r="Q71" s="23"/>
      <c r="R71" s="15"/>
      <c r="S71" s="182">
        <f>Table15[[#This Row],[Đơn giá
Unit Price]]*Table15[[#This Row],[Số lượng
Quantity]]</f>
        <v>0</v>
      </c>
      <c r="T71" s="142"/>
      <c r="U71" s="143"/>
      <c r="V71" s="37"/>
      <c r="W71" s="39"/>
      <c r="X71" s="9"/>
      <c r="Y71" s="89"/>
      <c r="Z71" s="27"/>
      <c r="AA71" s="27"/>
      <c r="AB71" s="27"/>
      <c r="AC71" s="27"/>
    </row>
    <row r="72" spans="1:29" ht="15.5" x14ac:dyDescent="0.35">
      <c r="A72" s="9"/>
      <c r="B72" s="12"/>
      <c r="C72" s="16"/>
      <c r="D72" s="13"/>
      <c r="E72" s="13"/>
      <c r="F72" s="19"/>
      <c r="G72" s="21"/>
      <c r="H72" s="27"/>
      <c r="I72" s="80"/>
      <c r="J72" s="11"/>
      <c r="K72" s="11"/>
      <c r="L72" s="11"/>
      <c r="M72" s="17"/>
      <c r="N72" s="14"/>
      <c r="O72" s="12"/>
      <c r="P72" s="12"/>
      <c r="Q72" s="23"/>
      <c r="R72" s="15"/>
      <c r="S72" s="182">
        <f>Table15[[#This Row],[Đơn giá
Unit Price]]*Table15[[#This Row],[Số lượng
Quantity]]</f>
        <v>0</v>
      </c>
      <c r="T72" s="142"/>
      <c r="U72" s="143"/>
      <c r="V72" s="37"/>
      <c r="W72" s="39"/>
      <c r="X72" s="9"/>
      <c r="Y72" s="89"/>
      <c r="Z72" s="27"/>
      <c r="AA72" s="27"/>
      <c r="AB72" s="27"/>
      <c r="AC72" s="27"/>
    </row>
    <row r="73" spans="1:29" ht="15.5" x14ac:dyDescent="0.35">
      <c r="A73" s="9"/>
      <c r="B73" s="12"/>
      <c r="C73" s="16"/>
      <c r="D73" s="13"/>
      <c r="E73" s="13"/>
      <c r="F73" s="19"/>
      <c r="G73" s="21"/>
      <c r="H73" s="27"/>
      <c r="I73" s="80"/>
      <c r="J73" s="11"/>
      <c r="K73" s="11"/>
      <c r="L73" s="11"/>
      <c r="M73" s="17"/>
      <c r="N73" s="14"/>
      <c r="O73" s="12"/>
      <c r="P73" s="12"/>
      <c r="Q73" s="23"/>
      <c r="R73" s="15"/>
      <c r="S73" s="182">
        <f>Table15[[#This Row],[Đơn giá
Unit Price]]*Table15[[#This Row],[Số lượng
Quantity]]</f>
        <v>0</v>
      </c>
      <c r="T73" s="142"/>
      <c r="U73" s="143"/>
      <c r="V73" s="37"/>
      <c r="W73" s="39"/>
      <c r="X73" s="9"/>
      <c r="Y73" s="89"/>
      <c r="Z73" s="27"/>
      <c r="AA73" s="27"/>
      <c r="AB73" s="27"/>
      <c r="AC73" s="27"/>
    </row>
    <row r="74" spans="1:29" ht="15.5" x14ac:dyDescent="0.35">
      <c r="A74" s="9"/>
      <c r="B74" s="12"/>
      <c r="C74" s="16"/>
      <c r="D74" s="13"/>
      <c r="E74" s="13"/>
      <c r="F74" s="19"/>
      <c r="G74" s="21"/>
      <c r="H74" s="27"/>
      <c r="I74" s="80"/>
      <c r="J74" s="11"/>
      <c r="K74" s="11"/>
      <c r="L74" s="11"/>
      <c r="M74" s="17"/>
      <c r="N74" s="14"/>
      <c r="O74" s="12"/>
      <c r="P74" s="12"/>
      <c r="Q74" s="23"/>
      <c r="R74" s="15"/>
      <c r="S74" s="182">
        <f>Table15[[#This Row],[Đơn giá
Unit Price]]*Table15[[#This Row],[Số lượng
Quantity]]</f>
        <v>0</v>
      </c>
      <c r="T74" s="142"/>
      <c r="U74" s="143"/>
      <c r="V74" s="37"/>
      <c r="W74" s="39"/>
      <c r="X74" s="9"/>
      <c r="Y74" s="89"/>
      <c r="Z74" s="27"/>
      <c r="AA74" s="27"/>
      <c r="AB74" s="27"/>
      <c r="AC74" s="27"/>
    </row>
    <row r="75" spans="1:29" ht="15.5" x14ac:dyDescent="0.35">
      <c r="A75" s="9"/>
      <c r="B75" s="12"/>
      <c r="C75" s="16"/>
      <c r="D75" s="13"/>
      <c r="E75" s="13"/>
      <c r="F75" s="19"/>
      <c r="G75" s="21"/>
      <c r="H75" s="27"/>
      <c r="I75" s="80"/>
      <c r="J75" s="11"/>
      <c r="K75" s="11"/>
      <c r="L75" s="11"/>
      <c r="M75" s="17"/>
      <c r="N75" s="14"/>
      <c r="O75" s="12"/>
      <c r="P75" s="12"/>
      <c r="Q75" s="23"/>
      <c r="R75" s="15"/>
      <c r="S75" s="182">
        <f>Table15[[#This Row],[Đơn giá
Unit Price]]*Table15[[#This Row],[Số lượng
Quantity]]</f>
        <v>0</v>
      </c>
      <c r="T75" s="142"/>
      <c r="U75" s="143"/>
      <c r="V75" s="37"/>
      <c r="W75" s="39"/>
      <c r="X75" s="9"/>
      <c r="Y75" s="89"/>
      <c r="Z75" s="27"/>
      <c r="AA75" s="27"/>
      <c r="AB75" s="27"/>
      <c r="AC75" s="27"/>
    </row>
    <row r="76" spans="1:29" ht="15.5" x14ac:dyDescent="0.35">
      <c r="A76" s="9"/>
      <c r="B76" s="12"/>
      <c r="C76" s="16"/>
      <c r="D76" s="13"/>
      <c r="E76" s="13"/>
      <c r="F76" s="19"/>
      <c r="G76" s="21"/>
      <c r="H76" s="27"/>
      <c r="I76" s="80"/>
      <c r="J76" s="11"/>
      <c r="K76" s="11"/>
      <c r="L76" s="11"/>
      <c r="M76" s="17"/>
      <c r="N76" s="14"/>
      <c r="O76" s="12"/>
      <c r="P76" s="12"/>
      <c r="Q76" s="23"/>
      <c r="R76" s="15"/>
      <c r="S76" s="182">
        <f>Table15[[#This Row],[Đơn giá
Unit Price]]*Table15[[#This Row],[Số lượng
Quantity]]</f>
        <v>0</v>
      </c>
      <c r="T76" s="142"/>
      <c r="U76" s="143"/>
      <c r="V76" s="37"/>
      <c r="W76" s="39"/>
      <c r="X76" s="9"/>
      <c r="Y76" s="89"/>
      <c r="Z76" s="27"/>
      <c r="AA76" s="27"/>
      <c r="AB76" s="27"/>
      <c r="AC76" s="27"/>
    </row>
    <row r="77" spans="1:29" ht="15.5" x14ac:dyDescent="0.35">
      <c r="A77" s="9"/>
      <c r="B77" s="12"/>
      <c r="C77" s="16"/>
      <c r="D77" s="13"/>
      <c r="E77" s="13"/>
      <c r="F77" s="19"/>
      <c r="G77" s="21"/>
      <c r="H77" s="27"/>
      <c r="I77" s="80"/>
      <c r="J77" s="11"/>
      <c r="K77" s="11"/>
      <c r="L77" s="11"/>
      <c r="M77" s="17"/>
      <c r="N77" s="14"/>
      <c r="O77" s="12"/>
      <c r="P77" s="12"/>
      <c r="Q77" s="23"/>
      <c r="R77" s="15"/>
      <c r="S77" s="182">
        <f>Table15[[#This Row],[Đơn giá
Unit Price]]*Table15[[#This Row],[Số lượng
Quantity]]</f>
        <v>0</v>
      </c>
      <c r="T77" s="142"/>
      <c r="U77" s="143"/>
      <c r="V77" s="37"/>
      <c r="W77" s="39"/>
      <c r="X77" s="9"/>
      <c r="Y77" s="89"/>
      <c r="Z77" s="27"/>
      <c r="AA77" s="27"/>
      <c r="AB77" s="27"/>
      <c r="AC77" s="27"/>
    </row>
    <row r="78" spans="1:29" ht="15.5" x14ac:dyDescent="0.35">
      <c r="A78" s="9"/>
      <c r="B78" s="12"/>
      <c r="C78" s="16"/>
      <c r="D78" s="13"/>
      <c r="E78" s="13"/>
      <c r="F78" s="19"/>
      <c r="G78" s="21"/>
      <c r="H78" s="27"/>
      <c r="I78" s="80"/>
      <c r="J78" s="11"/>
      <c r="K78" s="11"/>
      <c r="L78" s="11"/>
      <c r="M78" s="17"/>
      <c r="N78" s="14"/>
      <c r="O78" s="12"/>
      <c r="P78" s="12"/>
      <c r="Q78" s="23"/>
      <c r="R78" s="15"/>
      <c r="S78" s="182">
        <f>Table15[[#This Row],[Đơn giá
Unit Price]]*Table15[[#This Row],[Số lượng
Quantity]]</f>
        <v>0</v>
      </c>
      <c r="T78" s="142"/>
      <c r="U78" s="143"/>
      <c r="V78" s="37"/>
      <c r="W78" s="39"/>
      <c r="X78" s="9"/>
      <c r="Y78" s="89"/>
      <c r="Z78" s="27"/>
      <c r="AA78" s="27"/>
      <c r="AB78" s="27"/>
      <c r="AC78" s="27"/>
    </row>
    <row r="79" spans="1:29" ht="15.5" x14ac:dyDescent="0.35">
      <c r="A79" s="9"/>
      <c r="B79" s="12"/>
      <c r="C79" s="16"/>
      <c r="D79" s="13"/>
      <c r="E79" s="13"/>
      <c r="F79" s="19"/>
      <c r="G79" s="21"/>
      <c r="H79" s="27"/>
      <c r="I79" s="80"/>
      <c r="J79" s="11"/>
      <c r="K79" s="11"/>
      <c r="L79" s="11"/>
      <c r="M79" s="17"/>
      <c r="N79" s="14"/>
      <c r="O79" s="12"/>
      <c r="P79" s="12"/>
      <c r="Q79" s="23"/>
      <c r="R79" s="15"/>
      <c r="S79" s="182">
        <f>Table15[[#This Row],[Đơn giá
Unit Price]]*Table15[[#This Row],[Số lượng
Quantity]]</f>
        <v>0</v>
      </c>
      <c r="T79" s="142"/>
      <c r="U79" s="143"/>
      <c r="V79" s="37"/>
      <c r="W79" s="39"/>
      <c r="X79" s="9"/>
      <c r="Y79" s="89"/>
      <c r="Z79" s="27"/>
      <c r="AA79" s="27"/>
      <c r="AB79" s="27"/>
      <c r="AC79" s="27"/>
    </row>
    <row r="80" spans="1:29" ht="15.5" x14ac:dyDescent="0.35">
      <c r="A80" s="9"/>
      <c r="B80" s="12"/>
      <c r="C80" s="16"/>
      <c r="D80" s="13"/>
      <c r="E80" s="13"/>
      <c r="F80" s="19"/>
      <c r="G80" s="21"/>
      <c r="H80" s="27"/>
      <c r="I80" s="80"/>
      <c r="J80" s="11"/>
      <c r="K80" s="11"/>
      <c r="L80" s="11"/>
      <c r="M80" s="17"/>
      <c r="N80" s="14"/>
      <c r="O80" s="12"/>
      <c r="P80" s="12"/>
      <c r="Q80" s="23"/>
      <c r="R80" s="15"/>
      <c r="S80" s="182">
        <f>Table15[[#This Row],[Đơn giá
Unit Price]]*Table15[[#This Row],[Số lượng
Quantity]]</f>
        <v>0</v>
      </c>
      <c r="T80" s="142"/>
      <c r="U80" s="143"/>
      <c r="V80" s="37"/>
      <c r="W80" s="39"/>
      <c r="X80" s="9"/>
      <c r="Y80" s="89"/>
      <c r="Z80" s="27"/>
      <c r="AA80" s="27"/>
      <c r="AB80" s="27"/>
      <c r="AC80" s="27"/>
    </row>
    <row r="81" spans="1:29" ht="15.5" x14ac:dyDescent="0.35">
      <c r="A81" s="9"/>
      <c r="B81" s="12"/>
      <c r="C81" s="16"/>
      <c r="D81" s="13"/>
      <c r="E81" s="13"/>
      <c r="F81" s="19"/>
      <c r="G81" s="21"/>
      <c r="H81" s="27"/>
      <c r="I81" s="80"/>
      <c r="J81" s="11"/>
      <c r="K81" s="11"/>
      <c r="L81" s="11"/>
      <c r="M81" s="17"/>
      <c r="N81" s="14"/>
      <c r="O81" s="12"/>
      <c r="P81" s="12"/>
      <c r="Q81" s="23"/>
      <c r="R81" s="15"/>
      <c r="S81" s="182">
        <f>Table15[[#This Row],[Đơn giá
Unit Price]]*Table15[[#This Row],[Số lượng
Quantity]]</f>
        <v>0</v>
      </c>
      <c r="T81" s="142"/>
      <c r="U81" s="143"/>
      <c r="V81" s="37"/>
      <c r="W81" s="39"/>
      <c r="X81" s="9"/>
      <c r="Y81" s="89"/>
      <c r="Z81" s="27"/>
      <c r="AA81" s="27"/>
      <c r="AB81" s="27"/>
      <c r="AC81" s="27"/>
    </row>
    <row r="82" spans="1:29" ht="15.5" x14ac:dyDescent="0.35">
      <c r="A82" s="9"/>
      <c r="B82" s="12"/>
      <c r="C82" s="16"/>
      <c r="D82" s="13"/>
      <c r="E82" s="13"/>
      <c r="F82" s="19"/>
      <c r="G82" s="21"/>
      <c r="H82" s="27"/>
      <c r="I82" s="80"/>
      <c r="J82" s="11"/>
      <c r="K82" s="11"/>
      <c r="L82" s="11"/>
      <c r="M82" s="17"/>
      <c r="N82" s="14"/>
      <c r="O82" s="12"/>
      <c r="P82" s="12"/>
      <c r="Q82" s="23"/>
      <c r="R82" s="15"/>
      <c r="S82" s="182">
        <f>Table15[[#This Row],[Đơn giá
Unit Price]]*Table15[[#This Row],[Số lượng
Quantity]]</f>
        <v>0</v>
      </c>
      <c r="T82" s="142"/>
      <c r="U82" s="143"/>
      <c r="V82" s="37"/>
      <c r="W82" s="39"/>
      <c r="X82" s="9"/>
      <c r="Y82" s="89"/>
      <c r="Z82" s="27"/>
      <c r="AA82" s="27"/>
      <c r="AB82" s="27"/>
      <c r="AC82" s="27"/>
    </row>
    <row r="83" spans="1:29" ht="15.5" x14ac:dyDescent="0.35">
      <c r="A83" s="9"/>
      <c r="B83" s="12"/>
      <c r="C83" s="16"/>
      <c r="D83" s="13"/>
      <c r="E83" s="13"/>
      <c r="F83" s="19"/>
      <c r="G83" s="21"/>
      <c r="H83" s="27"/>
      <c r="I83" s="80"/>
      <c r="J83" s="11"/>
      <c r="K83" s="11"/>
      <c r="L83" s="11"/>
      <c r="M83" s="17"/>
      <c r="N83" s="14"/>
      <c r="O83" s="12"/>
      <c r="P83" s="12"/>
      <c r="Q83" s="23"/>
      <c r="R83" s="15"/>
      <c r="S83" s="182">
        <f>Table15[[#This Row],[Đơn giá
Unit Price]]*Table15[[#This Row],[Số lượng
Quantity]]</f>
        <v>0</v>
      </c>
      <c r="T83" s="142"/>
      <c r="U83" s="143"/>
      <c r="V83" s="37"/>
      <c r="W83" s="39"/>
      <c r="X83" s="9"/>
      <c r="Y83" s="89"/>
      <c r="Z83" s="27"/>
      <c r="AA83" s="27"/>
      <c r="AB83" s="27"/>
      <c r="AC83" s="27"/>
    </row>
    <row r="84" spans="1:29" ht="15.5" x14ac:dyDescent="0.35">
      <c r="A84" s="9"/>
      <c r="B84" s="12"/>
      <c r="C84" s="16"/>
      <c r="D84" s="13"/>
      <c r="E84" s="13"/>
      <c r="F84" s="19"/>
      <c r="G84" s="21"/>
      <c r="H84" s="27"/>
      <c r="I84" s="80"/>
      <c r="J84" s="11"/>
      <c r="K84" s="11"/>
      <c r="L84" s="11"/>
      <c r="M84" s="17"/>
      <c r="N84" s="14"/>
      <c r="O84" s="12"/>
      <c r="P84" s="12"/>
      <c r="Q84" s="23"/>
      <c r="R84" s="15"/>
      <c r="S84" s="182">
        <f>Table15[[#This Row],[Đơn giá
Unit Price]]*Table15[[#This Row],[Số lượng
Quantity]]</f>
        <v>0</v>
      </c>
      <c r="T84" s="142"/>
      <c r="U84" s="143"/>
      <c r="V84" s="37"/>
      <c r="W84" s="39"/>
      <c r="X84" s="9"/>
      <c r="Y84" s="89"/>
      <c r="Z84" s="27"/>
      <c r="AA84" s="27"/>
      <c r="AB84" s="27"/>
      <c r="AC84" s="27"/>
    </row>
    <row r="85" spans="1:29" ht="15.5" x14ac:dyDescent="0.35">
      <c r="A85" s="9"/>
      <c r="B85" s="12"/>
      <c r="C85" s="16"/>
      <c r="D85" s="13"/>
      <c r="E85" s="13"/>
      <c r="F85" s="19"/>
      <c r="G85" s="21"/>
      <c r="H85" s="27"/>
      <c r="I85" s="80"/>
      <c r="J85" s="11"/>
      <c r="K85" s="11"/>
      <c r="L85" s="11"/>
      <c r="M85" s="17"/>
      <c r="N85" s="14"/>
      <c r="O85" s="12"/>
      <c r="P85" s="12"/>
      <c r="Q85" s="23"/>
      <c r="R85" s="15"/>
      <c r="S85" s="182">
        <f>Table15[[#This Row],[Đơn giá
Unit Price]]*Table15[[#This Row],[Số lượng
Quantity]]</f>
        <v>0</v>
      </c>
      <c r="T85" s="142"/>
      <c r="U85" s="143"/>
      <c r="V85" s="37"/>
      <c r="W85" s="39"/>
      <c r="X85" s="9"/>
      <c r="Y85" s="89"/>
      <c r="Z85" s="27"/>
      <c r="AA85" s="27"/>
      <c r="AB85" s="27"/>
      <c r="AC85" s="27"/>
    </row>
    <row r="86" spans="1:29" ht="15.5" x14ac:dyDescent="0.35">
      <c r="A86" s="9"/>
      <c r="B86" s="12"/>
      <c r="C86" s="16"/>
      <c r="D86" s="13"/>
      <c r="E86" s="13"/>
      <c r="F86" s="19"/>
      <c r="G86" s="21"/>
      <c r="H86" s="27"/>
      <c r="I86" s="80"/>
      <c r="J86" s="11"/>
      <c r="K86" s="11"/>
      <c r="L86" s="11"/>
      <c r="M86" s="17"/>
      <c r="N86" s="14"/>
      <c r="O86" s="12"/>
      <c r="P86" s="12"/>
      <c r="Q86" s="23"/>
      <c r="R86" s="15"/>
      <c r="S86" s="182">
        <f>Table15[[#This Row],[Đơn giá
Unit Price]]*Table15[[#This Row],[Số lượng
Quantity]]</f>
        <v>0</v>
      </c>
      <c r="T86" s="142"/>
      <c r="U86" s="143"/>
      <c r="V86" s="37"/>
      <c r="W86" s="39"/>
      <c r="X86" s="9"/>
      <c r="Y86" s="89"/>
      <c r="Z86" s="27"/>
      <c r="AA86" s="27"/>
      <c r="AB86" s="27"/>
      <c r="AC86" s="27"/>
    </row>
    <row r="87" spans="1:29" ht="15.5" x14ac:dyDescent="0.35">
      <c r="A87" s="9"/>
      <c r="B87" s="12"/>
      <c r="C87" s="16"/>
      <c r="D87" s="13"/>
      <c r="E87" s="13"/>
      <c r="F87" s="19"/>
      <c r="G87" s="21"/>
      <c r="H87" s="27"/>
      <c r="I87" s="80"/>
      <c r="J87" s="11"/>
      <c r="K87" s="11"/>
      <c r="L87" s="11"/>
      <c r="M87" s="17"/>
      <c r="N87" s="14"/>
      <c r="O87" s="12"/>
      <c r="P87" s="12"/>
      <c r="Q87" s="23"/>
      <c r="R87" s="15"/>
      <c r="S87" s="182">
        <f>Table15[[#This Row],[Đơn giá
Unit Price]]*Table15[[#This Row],[Số lượng
Quantity]]</f>
        <v>0</v>
      </c>
      <c r="T87" s="142"/>
      <c r="U87" s="143"/>
      <c r="V87" s="37"/>
      <c r="W87" s="39"/>
      <c r="X87" s="9"/>
      <c r="Y87" s="89"/>
      <c r="Z87" s="27"/>
      <c r="AA87" s="27"/>
      <c r="AB87" s="27"/>
      <c r="AC87" s="27"/>
    </row>
    <row r="88" spans="1:29" ht="15.5" x14ac:dyDescent="0.35">
      <c r="A88" s="9"/>
      <c r="B88" s="12"/>
      <c r="C88" s="16"/>
      <c r="D88" s="13"/>
      <c r="E88" s="13"/>
      <c r="F88" s="19"/>
      <c r="G88" s="21"/>
      <c r="H88" s="27"/>
      <c r="I88" s="80"/>
      <c r="J88" s="11"/>
      <c r="K88" s="11"/>
      <c r="L88" s="11"/>
      <c r="M88" s="17"/>
      <c r="N88" s="14"/>
      <c r="O88" s="12"/>
      <c r="P88" s="12"/>
      <c r="Q88" s="23"/>
      <c r="R88" s="15"/>
      <c r="S88" s="182">
        <f>Table15[[#This Row],[Đơn giá
Unit Price]]*Table15[[#This Row],[Số lượng
Quantity]]</f>
        <v>0</v>
      </c>
      <c r="T88" s="142"/>
      <c r="U88" s="143"/>
      <c r="V88" s="37"/>
      <c r="W88" s="39"/>
      <c r="X88" s="9"/>
      <c r="Y88" s="89"/>
      <c r="Z88" s="27"/>
      <c r="AA88" s="27"/>
      <c r="AB88" s="27"/>
      <c r="AC88" s="27"/>
    </row>
    <row r="89" spans="1:29" ht="15.5" x14ac:dyDescent="0.35">
      <c r="A89" s="9"/>
      <c r="B89" s="12"/>
      <c r="C89" s="16"/>
      <c r="D89" s="13"/>
      <c r="E89" s="13"/>
      <c r="F89" s="19"/>
      <c r="G89" s="21"/>
      <c r="H89" s="27"/>
      <c r="I89" s="80"/>
      <c r="J89" s="11"/>
      <c r="K89" s="11"/>
      <c r="L89" s="11"/>
      <c r="M89" s="17"/>
      <c r="N89" s="14"/>
      <c r="O89" s="12"/>
      <c r="P89" s="12"/>
      <c r="Q89" s="23"/>
      <c r="R89" s="15"/>
      <c r="S89" s="182">
        <f>Table15[[#This Row],[Đơn giá
Unit Price]]*Table15[[#This Row],[Số lượng
Quantity]]</f>
        <v>0</v>
      </c>
      <c r="T89" s="142"/>
      <c r="U89" s="143"/>
      <c r="V89" s="37"/>
      <c r="W89" s="39"/>
      <c r="X89" s="9"/>
      <c r="Y89" s="89"/>
      <c r="Z89" s="27"/>
      <c r="AA89" s="27"/>
      <c r="AB89" s="27"/>
      <c r="AC89" s="27"/>
    </row>
    <row r="90" spans="1:29" ht="15.5" x14ac:dyDescent="0.35">
      <c r="A90" s="9"/>
      <c r="B90" s="12"/>
      <c r="C90" s="16"/>
      <c r="D90" s="13"/>
      <c r="E90" s="13"/>
      <c r="F90" s="19"/>
      <c r="G90" s="21"/>
      <c r="H90" s="27"/>
      <c r="I90" s="80"/>
      <c r="J90" s="11"/>
      <c r="K90" s="11"/>
      <c r="L90" s="11"/>
      <c r="M90" s="17"/>
      <c r="N90" s="14"/>
      <c r="O90" s="12"/>
      <c r="P90" s="12"/>
      <c r="Q90" s="23"/>
      <c r="R90" s="15"/>
      <c r="S90" s="182">
        <f>Table15[[#This Row],[Đơn giá
Unit Price]]*Table15[[#This Row],[Số lượng
Quantity]]</f>
        <v>0</v>
      </c>
      <c r="T90" s="142"/>
      <c r="U90" s="143"/>
      <c r="V90" s="37"/>
      <c r="W90" s="39"/>
      <c r="X90" s="9"/>
      <c r="Y90" s="89"/>
      <c r="Z90" s="27"/>
      <c r="AA90" s="27"/>
      <c r="AB90" s="27"/>
      <c r="AC90" s="27"/>
    </row>
    <row r="91" spans="1:29" ht="15.5" x14ac:dyDescent="0.35">
      <c r="A91" s="9"/>
      <c r="B91" s="12"/>
      <c r="C91" s="16"/>
      <c r="D91" s="13"/>
      <c r="E91" s="13"/>
      <c r="F91" s="19"/>
      <c r="G91" s="21"/>
      <c r="H91" s="27"/>
      <c r="I91" s="80"/>
      <c r="J91" s="11"/>
      <c r="K91" s="11"/>
      <c r="L91" s="11"/>
      <c r="M91" s="17"/>
      <c r="N91" s="14"/>
      <c r="O91" s="12"/>
      <c r="P91" s="12"/>
      <c r="Q91" s="23"/>
      <c r="R91" s="15"/>
      <c r="S91" s="182">
        <f>Table15[[#This Row],[Đơn giá
Unit Price]]*Table15[[#This Row],[Số lượng
Quantity]]</f>
        <v>0</v>
      </c>
      <c r="T91" s="142"/>
      <c r="U91" s="143"/>
      <c r="V91" s="37"/>
      <c r="W91" s="39"/>
      <c r="X91" s="9"/>
      <c r="Y91" s="89"/>
      <c r="Z91" s="27"/>
      <c r="AA91" s="27"/>
      <c r="AB91" s="27"/>
      <c r="AC91" s="27"/>
    </row>
    <row r="92" spans="1:29" ht="15.5" x14ac:dyDescent="0.35">
      <c r="A92" s="9"/>
      <c r="B92" s="12"/>
      <c r="C92" s="16"/>
      <c r="D92" s="13"/>
      <c r="E92" s="13"/>
      <c r="F92" s="19"/>
      <c r="G92" s="21"/>
      <c r="H92" s="27"/>
      <c r="I92" s="80"/>
      <c r="J92" s="11"/>
      <c r="K92" s="11"/>
      <c r="L92" s="11"/>
      <c r="M92" s="17"/>
      <c r="N92" s="14"/>
      <c r="O92" s="12"/>
      <c r="P92" s="12"/>
      <c r="Q92" s="23"/>
      <c r="R92" s="15"/>
      <c r="S92" s="182">
        <f>Table15[[#This Row],[Đơn giá
Unit Price]]*Table15[[#This Row],[Số lượng
Quantity]]</f>
        <v>0</v>
      </c>
      <c r="T92" s="142"/>
      <c r="U92" s="143"/>
      <c r="V92" s="37"/>
      <c r="W92" s="39"/>
      <c r="X92" s="9"/>
      <c r="Y92" s="89"/>
      <c r="Z92" s="27"/>
      <c r="AA92" s="27"/>
      <c r="AB92" s="27"/>
      <c r="AC92" s="27"/>
    </row>
    <row r="93" spans="1:29" ht="15.5" x14ac:dyDescent="0.35">
      <c r="A93" s="9"/>
      <c r="B93" s="12"/>
      <c r="C93" s="16"/>
      <c r="D93" s="13"/>
      <c r="E93" s="13"/>
      <c r="F93" s="19"/>
      <c r="G93" s="21"/>
      <c r="H93" s="27"/>
      <c r="I93" s="80"/>
      <c r="J93" s="11"/>
      <c r="K93" s="11"/>
      <c r="L93" s="11"/>
      <c r="M93" s="17"/>
      <c r="N93" s="14"/>
      <c r="O93" s="12"/>
      <c r="P93" s="12"/>
      <c r="Q93" s="23"/>
      <c r="R93" s="15"/>
      <c r="S93" s="182">
        <f>Table15[[#This Row],[Đơn giá
Unit Price]]*Table15[[#This Row],[Số lượng
Quantity]]</f>
        <v>0</v>
      </c>
      <c r="T93" s="142"/>
      <c r="U93" s="143"/>
      <c r="V93" s="37"/>
      <c r="W93" s="39"/>
      <c r="X93" s="9"/>
      <c r="Y93" s="89"/>
      <c r="Z93" s="27"/>
      <c r="AA93" s="27"/>
      <c r="AB93" s="27"/>
      <c r="AC93" s="27"/>
    </row>
    <row r="94" spans="1:29" ht="15.5" x14ac:dyDescent="0.35">
      <c r="A94" s="9"/>
      <c r="B94" s="12"/>
      <c r="C94" s="16"/>
      <c r="D94" s="13"/>
      <c r="E94" s="13"/>
      <c r="F94" s="19"/>
      <c r="G94" s="21"/>
      <c r="H94" s="27"/>
      <c r="I94" s="80"/>
      <c r="J94" s="11"/>
      <c r="K94" s="11"/>
      <c r="L94" s="11"/>
      <c r="M94" s="17"/>
      <c r="N94" s="14"/>
      <c r="O94" s="12"/>
      <c r="P94" s="12"/>
      <c r="Q94" s="23"/>
      <c r="R94" s="15"/>
      <c r="S94" s="182">
        <f>Table15[[#This Row],[Đơn giá
Unit Price]]*Table15[[#This Row],[Số lượng
Quantity]]</f>
        <v>0</v>
      </c>
      <c r="T94" s="142"/>
      <c r="U94" s="143"/>
      <c r="V94" s="37"/>
      <c r="W94" s="39"/>
      <c r="X94" s="9"/>
      <c r="Y94" s="89"/>
      <c r="Z94" s="27"/>
      <c r="AA94" s="27"/>
      <c r="AB94" s="27"/>
      <c r="AC94" s="27"/>
    </row>
    <row r="95" spans="1:29" ht="15.5" x14ac:dyDescent="0.35">
      <c r="A95" s="9"/>
      <c r="B95" s="12"/>
      <c r="C95" s="16"/>
      <c r="D95" s="13"/>
      <c r="E95" s="13"/>
      <c r="F95" s="19"/>
      <c r="G95" s="21"/>
      <c r="H95" s="27"/>
      <c r="I95" s="80"/>
      <c r="J95" s="11"/>
      <c r="K95" s="11"/>
      <c r="L95" s="11"/>
      <c r="M95" s="17"/>
      <c r="N95" s="14"/>
      <c r="O95" s="12"/>
      <c r="P95" s="12"/>
      <c r="Q95" s="23"/>
      <c r="R95" s="15"/>
      <c r="S95" s="182">
        <f>Table15[[#This Row],[Đơn giá
Unit Price]]*Table15[[#This Row],[Số lượng
Quantity]]</f>
        <v>0</v>
      </c>
      <c r="T95" s="142"/>
      <c r="U95" s="143"/>
      <c r="V95" s="37"/>
      <c r="W95" s="39"/>
      <c r="X95" s="9"/>
      <c r="Y95" s="89"/>
      <c r="Z95" s="27"/>
      <c r="AA95" s="27"/>
      <c r="AB95" s="27"/>
      <c r="AC95" s="27"/>
    </row>
    <row r="96" spans="1:29" ht="15.5" x14ac:dyDescent="0.35">
      <c r="A96" s="9"/>
      <c r="B96" s="12"/>
      <c r="C96" s="16"/>
      <c r="D96" s="13"/>
      <c r="E96" s="13"/>
      <c r="F96" s="19"/>
      <c r="G96" s="21"/>
      <c r="H96" s="27"/>
      <c r="I96" s="80"/>
      <c r="J96" s="11"/>
      <c r="K96" s="11"/>
      <c r="L96" s="11"/>
      <c r="M96" s="17"/>
      <c r="N96" s="14"/>
      <c r="O96" s="12"/>
      <c r="P96" s="12"/>
      <c r="Q96" s="23"/>
      <c r="R96" s="15"/>
      <c r="S96" s="182">
        <f>Table15[[#This Row],[Đơn giá
Unit Price]]*Table15[[#This Row],[Số lượng
Quantity]]</f>
        <v>0</v>
      </c>
      <c r="T96" s="142"/>
      <c r="U96" s="143"/>
      <c r="V96" s="37"/>
      <c r="W96" s="39"/>
      <c r="X96" s="9"/>
      <c r="Y96" s="89"/>
      <c r="Z96" s="27"/>
      <c r="AA96" s="27"/>
      <c r="AB96" s="27"/>
      <c r="AC96" s="27"/>
    </row>
    <row r="97" spans="1:29" ht="15.5" x14ac:dyDescent="0.35">
      <c r="A97" s="9"/>
      <c r="B97" s="12"/>
      <c r="C97" s="16"/>
      <c r="D97" s="13"/>
      <c r="E97" s="13"/>
      <c r="F97" s="19"/>
      <c r="G97" s="21"/>
      <c r="H97" s="27"/>
      <c r="I97" s="80"/>
      <c r="J97" s="11"/>
      <c r="K97" s="11"/>
      <c r="L97" s="11"/>
      <c r="M97" s="17"/>
      <c r="N97" s="14"/>
      <c r="O97" s="12"/>
      <c r="P97" s="12"/>
      <c r="Q97" s="23"/>
      <c r="R97" s="15"/>
      <c r="S97" s="182">
        <f>Table15[[#This Row],[Đơn giá
Unit Price]]*Table15[[#This Row],[Số lượng
Quantity]]</f>
        <v>0</v>
      </c>
      <c r="T97" s="142"/>
      <c r="U97" s="143"/>
      <c r="V97" s="37"/>
      <c r="W97" s="39"/>
      <c r="X97" s="9"/>
      <c r="Y97" s="89"/>
      <c r="Z97" s="27"/>
      <c r="AA97" s="27"/>
      <c r="AB97" s="27"/>
      <c r="AC97" s="27"/>
    </row>
    <row r="98" spans="1:29" ht="15.5" x14ac:dyDescent="0.35">
      <c r="A98" s="9"/>
      <c r="B98" s="12"/>
      <c r="C98" s="16"/>
      <c r="D98" s="13"/>
      <c r="E98" s="13"/>
      <c r="F98" s="19"/>
      <c r="G98" s="21"/>
      <c r="H98" s="27"/>
      <c r="I98" s="80"/>
      <c r="J98" s="11"/>
      <c r="K98" s="11"/>
      <c r="L98" s="11"/>
      <c r="M98" s="17"/>
      <c r="N98" s="14"/>
      <c r="O98" s="12"/>
      <c r="P98" s="12"/>
      <c r="Q98" s="23"/>
      <c r="R98" s="15"/>
      <c r="S98" s="182">
        <f>Table15[[#This Row],[Đơn giá
Unit Price]]*Table15[[#This Row],[Số lượng
Quantity]]</f>
        <v>0</v>
      </c>
      <c r="T98" s="142"/>
      <c r="U98" s="143"/>
      <c r="V98" s="37"/>
      <c r="W98" s="39"/>
      <c r="X98" s="9"/>
      <c r="Y98" s="89"/>
      <c r="Z98" s="27"/>
      <c r="AA98" s="27"/>
      <c r="AB98" s="27"/>
      <c r="AC98" s="27"/>
    </row>
  </sheetData>
  <conditionalFormatting sqref="V12:V13 V25 V36 V38:V213">
    <cfRule type="expression" dxfId="128" priority="373">
      <formula>AND(#REF!="",$V12&lt;$Z$4)</formula>
    </cfRule>
  </conditionalFormatting>
  <conditionalFormatting sqref="A1:A3 M12:X13 A12:J13 T17:X17 M17:R17 K11:L17 S14:S17 A17:J17 Q26 A24:X25 L99:X1048576 A36:J36 L36:R36 T36:X36 T38:X98 L38:R98 A38:J38 A41:J1048576 A39:G40 I39:J40">
    <cfRule type="expression" dxfId="127" priority="364">
      <formula>$V1&lt;&gt;""</formula>
    </cfRule>
  </conditionalFormatting>
  <conditionalFormatting sqref="V5">
    <cfRule type="expression" dxfId="126" priority="171">
      <formula>AND(#REF!="",$V5&lt;$Z$4)</formula>
    </cfRule>
  </conditionalFormatting>
  <conditionalFormatting sqref="L5:X5 A5:J5">
    <cfRule type="expression" dxfId="125" priority="170">
      <formula>$V5&lt;&gt;""</formula>
    </cfRule>
  </conditionalFormatting>
  <conditionalFormatting sqref="A5">
    <cfRule type="expression" dxfId="124" priority="172">
      <formula>$V1048533&lt;&gt;""</formula>
    </cfRule>
  </conditionalFormatting>
  <conditionalFormatting sqref="A5 C5:C11">
    <cfRule type="expression" dxfId="123" priority="169">
      <formula>$V1048532&lt;&gt;""</formula>
    </cfRule>
  </conditionalFormatting>
  <conditionalFormatting sqref="J5">
    <cfRule type="duplicateValues" dxfId="122" priority="173"/>
  </conditionalFormatting>
  <conditionalFormatting sqref="J5">
    <cfRule type="duplicateValues" dxfId="121" priority="174"/>
  </conditionalFormatting>
  <conditionalFormatting sqref="V10">
    <cfRule type="expression" dxfId="120" priority="166">
      <formula>AND(#REF!="",$V10&lt;$Z$4)</formula>
    </cfRule>
  </conditionalFormatting>
  <conditionalFormatting sqref="B10:J10 L10:X10 S11">
    <cfRule type="expression" dxfId="119" priority="165">
      <formula>$V10&lt;&gt;""</formula>
    </cfRule>
  </conditionalFormatting>
  <conditionalFormatting sqref="J10">
    <cfRule type="duplicateValues" dxfId="118" priority="167"/>
  </conditionalFormatting>
  <conditionalFormatting sqref="J10">
    <cfRule type="duplicateValues" dxfId="117" priority="168"/>
  </conditionalFormatting>
  <conditionalFormatting sqref="V6:V9">
    <cfRule type="expression" dxfId="116" priority="160">
      <formula>AND(#REF!="",$V6&lt;$Z$4)</formula>
    </cfRule>
  </conditionalFormatting>
  <conditionalFormatting sqref="L6:X9 A6:J8 C9:C11 B9:J9 A9:A11">
    <cfRule type="expression" dxfId="115" priority="159">
      <formula>$V6&lt;&gt;""</formula>
    </cfRule>
  </conditionalFormatting>
  <conditionalFormatting sqref="A6:A11">
    <cfRule type="expression" dxfId="114" priority="161">
      <formula>$V1048534&lt;&gt;""</formula>
    </cfRule>
  </conditionalFormatting>
  <conditionalFormatting sqref="A6:A11">
    <cfRule type="expression" dxfId="113" priority="158">
      <formula>$V1048533&lt;&gt;""</formula>
    </cfRule>
  </conditionalFormatting>
  <conditionalFormatting sqref="J6:J9">
    <cfRule type="duplicateValues" dxfId="112" priority="162"/>
  </conditionalFormatting>
  <conditionalFormatting sqref="J6:J9">
    <cfRule type="duplicateValues" dxfId="111" priority="163"/>
  </conditionalFormatting>
  <conditionalFormatting sqref="V11">
    <cfRule type="expression" dxfId="110" priority="154">
      <formula>AND(#REF!="",$V11&lt;$Z$4)</formula>
    </cfRule>
  </conditionalFormatting>
  <conditionalFormatting sqref="M11:R11 B11:J11 T11:X11">
    <cfRule type="expression" dxfId="109" priority="153">
      <formula>$V11&lt;&gt;""</formula>
    </cfRule>
  </conditionalFormatting>
  <conditionalFormatting sqref="J11">
    <cfRule type="duplicateValues" dxfId="108" priority="156"/>
  </conditionalFormatting>
  <conditionalFormatting sqref="J11">
    <cfRule type="duplicateValues" dxfId="107" priority="157"/>
  </conditionalFormatting>
  <conditionalFormatting sqref="J25 J12">
    <cfRule type="duplicateValues" dxfId="106" priority="150"/>
  </conditionalFormatting>
  <conditionalFormatting sqref="K6:K8">
    <cfRule type="expression" dxfId="105" priority="147">
      <formula>$V6&lt;&gt;""</formula>
    </cfRule>
  </conditionalFormatting>
  <conditionalFormatting sqref="J13">
    <cfRule type="duplicateValues" dxfId="104" priority="145"/>
  </conditionalFormatting>
  <conditionalFormatting sqref="J13">
    <cfRule type="duplicateValues" dxfId="103" priority="146"/>
  </conditionalFormatting>
  <conditionalFormatting sqref="V14">
    <cfRule type="expression" dxfId="102" priority="140">
      <formula>AND(#REF!="",$V14&lt;$Z$4)</formula>
    </cfRule>
  </conditionalFormatting>
  <conditionalFormatting sqref="M14:O14 Q14:R14 T14:X14 A14:J14 T15:U15">
    <cfRule type="expression" dxfId="101" priority="139">
      <formula>$V14&lt;&gt;""</formula>
    </cfRule>
  </conditionalFormatting>
  <conditionalFormatting sqref="P14">
    <cfRule type="expression" dxfId="100" priority="138">
      <formula>$V14&lt;&gt;""</formula>
    </cfRule>
  </conditionalFormatting>
  <conditionalFormatting sqref="J14">
    <cfRule type="duplicateValues" dxfId="99" priority="141"/>
  </conditionalFormatting>
  <conditionalFormatting sqref="J14">
    <cfRule type="duplicateValues" dxfId="98" priority="142"/>
  </conditionalFormatting>
  <conditionalFormatting sqref="V15">
    <cfRule type="expression" dxfId="97" priority="135">
      <formula>AND(#REF!="",$V15&lt;$Z$4)</formula>
    </cfRule>
  </conditionalFormatting>
  <conditionalFormatting sqref="A15:C15 G15:J15 V15:X15 M15:R15">
    <cfRule type="expression" dxfId="96" priority="134">
      <formula>$V15&lt;&gt;""</formula>
    </cfRule>
  </conditionalFormatting>
  <conditionalFormatting sqref="J15">
    <cfRule type="duplicateValues" dxfId="95" priority="136"/>
  </conditionalFormatting>
  <conditionalFormatting sqref="J15">
    <cfRule type="duplicateValues" dxfId="94" priority="137"/>
  </conditionalFormatting>
  <conditionalFormatting sqref="D15:F15">
    <cfRule type="expression" dxfId="93" priority="133">
      <formula>$V15&lt;&gt;""</formula>
    </cfRule>
  </conditionalFormatting>
  <conditionalFormatting sqref="A16:J16 T16:X16 M16:R16">
    <cfRule type="expression" dxfId="92" priority="128">
      <formula>$V16&lt;&gt;""</formula>
    </cfRule>
  </conditionalFormatting>
  <conditionalFormatting sqref="F16:G17">
    <cfRule type="expression" dxfId="91" priority="127">
      <formula>$V124&lt;&gt;""</formula>
    </cfRule>
  </conditionalFormatting>
  <conditionalFormatting sqref="F16:G17">
    <cfRule type="expression" dxfId="90" priority="129">
      <formula>$V107&lt;&gt;""</formula>
    </cfRule>
  </conditionalFormatting>
  <conditionalFormatting sqref="F16:G17">
    <cfRule type="expression" dxfId="89" priority="125">
      <formula>$V128&lt;&gt;""</formula>
    </cfRule>
  </conditionalFormatting>
  <conditionalFormatting sqref="F16:G17">
    <cfRule type="expression" dxfId="88" priority="126">
      <formula>$V111&lt;&gt;""</formula>
    </cfRule>
  </conditionalFormatting>
  <conditionalFormatting sqref="F16:G17">
    <cfRule type="expression" dxfId="87" priority="130">
      <formula>$V135&lt;&gt;""</formula>
    </cfRule>
  </conditionalFormatting>
  <conditionalFormatting sqref="F16:G17">
    <cfRule type="expression" dxfId="86" priority="131">
      <formula>$V106&lt;&gt;""</formula>
    </cfRule>
  </conditionalFormatting>
  <conditionalFormatting sqref="V16">
    <cfRule type="expression" dxfId="85" priority="122">
      <formula>AND(#REF!="",$V16&lt;$Z$4)</formula>
    </cfRule>
  </conditionalFormatting>
  <conditionalFormatting sqref="J16">
    <cfRule type="duplicateValues" dxfId="84" priority="123"/>
  </conditionalFormatting>
  <conditionalFormatting sqref="J16">
    <cfRule type="duplicateValues" dxfId="83" priority="124"/>
  </conditionalFormatting>
  <conditionalFormatting sqref="F16:G17">
    <cfRule type="expression" dxfId="82" priority="132">
      <formula>$V105&lt;&gt;""</formula>
    </cfRule>
  </conditionalFormatting>
  <conditionalFormatting sqref="V17 V24">
    <cfRule type="expression" dxfId="81" priority="119">
      <formula>AND(#REF!="",$V17&lt;$Z$4)</formula>
    </cfRule>
  </conditionalFormatting>
  <conditionalFormatting sqref="J17 J24">
    <cfRule type="duplicateValues" dxfId="80" priority="120"/>
  </conditionalFormatting>
  <conditionalFormatting sqref="K9:K10">
    <cfRule type="expression" dxfId="79" priority="117">
      <formula>$V9&lt;&gt;""</formula>
    </cfRule>
  </conditionalFormatting>
  <conditionalFormatting sqref="V26:V27">
    <cfRule type="expression" dxfId="78" priority="104">
      <formula>AND(#REF!="",$V26&lt;$Z$4)</formula>
    </cfRule>
  </conditionalFormatting>
  <conditionalFormatting sqref="A27:X27 A26:P26 R26:X26">
    <cfRule type="expression" dxfId="77" priority="103">
      <formula>$V26&lt;&gt;""</formula>
    </cfRule>
  </conditionalFormatting>
  <conditionalFormatting sqref="J26:J27">
    <cfRule type="duplicateValues" dxfId="76" priority="105"/>
  </conditionalFormatting>
  <conditionalFormatting sqref="J26:J27">
    <cfRule type="duplicateValues" dxfId="75" priority="106"/>
  </conditionalFormatting>
  <conditionalFormatting sqref="J36 J38:J1048576">
    <cfRule type="duplicateValues" dxfId="74" priority="3054"/>
  </conditionalFormatting>
  <conditionalFormatting sqref="J36 J38:J1048576">
    <cfRule type="duplicateValues" dxfId="73" priority="3057"/>
  </conditionalFormatting>
  <conditionalFormatting sqref="V28">
    <cfRule type="expression" dxfId="72" priority="82">
      <formula>AND(#REF!="",$V28&lt;$Z$4)</formula>
    </cfRule>
  </conditionalFormatting>
  <conditionalFormatting sqref="A28:X28">
    <cfRule type="expression" dxfId="71" priority="81">
      <formula>$V28&lt;&gt;""</formula>
    </cfRule>
  </conditionalFormatting>
  <conditionalFormatting sqref="J28">
    <cfRule type="duplicateValues" dxfId="70" priority="83"/>
  </conditionalFormatting>
  <conditionalFormatting sqref="J28">
    <cfRule type="duplicateValues" dxfId="69" priority="84"/>
  </conditionalFormatting>
  <conditionalFormatting sqref="F28">
    <cfRule type="expression" dxfId="68" priority="85">
      <formula>$V102&lt;&gt;""</formula>
    </cfRule>
  </conditionalFormatting>
  <conditionalFormatting sqref="F28:G28">
    <cfRule type="expression" dxfId="67" priority="86">
      <formula>#REF!&lt;&gt;""</formula>
    </cfRule>
  </conditionalFormatting>
  <conditionalFormatting sqref="F28:G28">
    <cfRule type="expression" dxfId="66" priority="87">
      <formula>#REF!&lt;&gt;""</formula>
    </cfRule>
  </conditionalFormatting>
  <conditionalFormatting sqref="F28:G28">
    <cfRule type="expression" dxfId="65" priority="88">
      <formula>$V112&lt;&gt;""</formula>
    </cfRule>
  </conditionalFormatting>
  <conditionalFormatting sqref="F28:G28">
    <cfRule type="expression" dxfId="64" priority="89">
      <formula>$V101&lt;&gt;""</formula>
    </cfRule>
  </conditionalFormatting>
  <conditionalFormatting sqref="S33 S38:S98 S36">
    <cfRule type="expression" dxfId="63" priority="74">
      <formula>$V33&lt;&gt;""</formula>
    </cfRule>
  </conditionalFormatting>
  <conditionalFormatting sqref="E33">
    <cfRule type="expression" dxfId="62" priority="76">
      <formula>$V28&lt;&gt;""</formula>
    </cfRule>
  </conditionalFormatting>
  <conditionalFormatting sqref="E33">
    <cfRule type="expression" dxfId="61" priority="77">
      <formula>$V30&lt;&gt;""</formula>
    </cfRule>
  </conditionalFormatting>
  <conditionalFormatting sqref="E33">
    <cfRule type="expression" dxfId="60" priority="79">
      <formula>$V44&lt;&gt;""</formula>
    </cfRule>
  </conditionalFormatting>
  <conditionalFormatting sqref="J4">
    <cfRule type="duplicateValues" dxfId="59" priority="71"/>
  </conditionalFormatting>
  <conditionalFormatting sqref="A33:R33 T33:Y33">
    <cfRule type="expression" dxfId="58" priority="64">
      <formula>IF($V33="",FALSE,TRUE)</formula>
    </cfRule>
    <cfRule type="expression" dxfId="57" priority="65">
      <formula>IF($T33="",FALSE,TRUE)</formula>
    </cfRule>
  </conditionalFormatting>
  <conditionalFormatting sqref="V37">
    <cfRule type="expression" dxfId="56" priority="58">
      <formula>AND(#REF!="",$V37&lt;$Z$4)</formula>
    </cfRule>
  </conditionalFormatting>
  <conditionalFormatting sqref="M37:X37 A37:J37">
    <cfRule type="expression" dxfId="55" priority="57">
      <formula>$V37&lt;&gt;""</formula>
    </cfRule>
  </conditionalFormatting>
  <conditionalFormatting sqref="F37:G37">
    <cfRule type="expression" dxfId="54" priority="52">
      <formula>$V145&lt;&gt;""</formula>
    </cfRule>
  </conditionalFormatting>
  <conditionalFormatting sqref="F37:G37">
    <cfRule type="expression" dxfId="53" priority="53">
      <formula>$V128&lt;&gt;""</formula>
    </cfRule>
  </conditionalFormatting>
  <conditionalFormatting sqref="F37:G37">
    <cfRule type="expression" dxfId="52" priority="50">
      <formula>$V149&lt;&gt;""</formula>
    </cfRule>
  </conditionalFormatting>
  <conditionalFormatting sqref="F37:G37">
    <cfRule type="expression" dxfId="51" priority="51">
      <formula>$V132&lt;&gt;""</formula>
    </cfRule>
  </conditionalFormatting>
  <conditionalFormatting sqref="F37:G37">
    <cfRule type="expression" dxfId="50" priority="54">
      <formula>$V156&lt;&gt;""</formula>
    </cfRule>
  </conditionalFormatting>
  <conditionalFormatting sqref="F37:G37">
    <cfRule type="expression" dxfId="49" priority="55">
      <formula>$V127&lt;&gt;""</formula>
    </cfRule>
  </conditionalFormatting>
  <conditionalFormatting sqref="F37:G37">
    <cfRule type="expression" dxfId="48" priority="56">
      <formula>$V126&lt;&gt;""</formula>
    </cfRule>
  </conditionalFormatting>
  <conditionalFormatting sqref="J37">
    <cfRule type="duplicateValues" dxfId="47" priority="59"/>
  </conditionalFormatting>
  <conditionalFormatting sqref="K37:L37">
    <cfRule type="expression" dxfId="46" priority="49">
      <formula>$V37&lt;&gt;""</formula>
    </cfRule>
  </conditionalFormatting>
  <conditionalFormatting sqref="Z37:AC37">
    <cfRule type="expression" dxfId="45" priority="34">
      <formula>$V37&lt;&gt;""</formula>
    </cfRule>
  </conditionalFormatting>
  <conditionalFormatting sqref="Z12:AC13 Z17:AC17 Z36:AC36 Z38:AC38 Z41:AC1048576 Z24:AC25">
    <cfRule type="expression" dxfId="44" priority="47">
      <formula>$V12&lt;&gt;""</formula>
    </cfRule>
  </conditionalFormatting>
  <conditionalFormatting sqref="Z5:AC5">
    <cfRule type="expression" dxfId="43" priority="46">
      <formula>$V5&lt;&gt;""</formula>
    </cfRule>
  </conditionalFormatting>
  <conditionalFormatting sqref="Z10:AC10">
    <cfRule type="expression" dxfId="42" priority="45">
      <formula>$V10&lt;&gt;""</formula>
    </cfRule>
  </conditionalFormatting>
  <conditionalFormatting sqref="Z6:AC9">
    <cfRule type="expression" dxfId="41" priority="44">
      <formula>$V6&lt;&gt;""</formula>
    </cfRule>
  </conditionalFormatting>
  <conditionalFormatting sqref="Z11:AC11">
    <cfRule type="expression" dxfId="40" priority="43">
      <formula>$V11&lt;&gt;""</formula>
    </cfRule>
  </conditionalFormatting>
  <conditionalFormatting sqref="Z14:AC14">
    <cfRule type="expression" dxfId="39" priority="42">
      <formula>$V14&lt;&gt;""</formula>
    </cfRule>
  </conditionalFormatting>
  <conditionalFormatting sqref="Z15:AC15">
    <cfRule type="expression" dxfId="38" priority="41">
      <formula>$V15&lt;&gt;""</formula>
    </cfRule>
  </conditionalFormatting>
  <conditionalFormatting sqref="Z16:AC16">
    <cfRule type="expression" dxfId="37" priority="40">
      <formula>$V16&lt;&gt;""</formula>
    </cfRule>
  </conditionalFormatting>
  <conditionalFormatting sqref="Z26:AC27">
    <cfRule type="expression" dxfId="36" priority="39">
      <formula>$V26&lt;&gt;""</formula>
    </cfRule>
  </conditionalFormatting>
  <conditionalFormatting sqref="Z28:AC28">
    <cfRule type="expression" dxfId="35" priority="38">
      <formula>$V28&lt;&gt;""</formula>
    </cfRule>
  </conditionalFormatting>
  <conditionalFormatting sqref="Z33:AC33">
    <cfRule type="expression" dxfId="34" priority="35">
      <formula>IF($V33="",FALSE,TRUE)</formula>
    </cfRule>
    <cfRule type="expression" dxfId="33" priority="36">
      <formula>IF($T33="",FALSE,TRUE)</formula>
    </cfRule>
  </conditionalFormatting>
  <conditionalFormatting sqref="A18:X23">
    <cfRule type="expression" dxfId="32" priority="33">
      <formula>$V18&lt;&gt;""</formula>
    </cfRule>
  </conditionalFormatting>
  <conditionalFormatting sqref="F18:G23">
    <cfRule type="expression" dxfId="31" priority="28">
      <formula>$V126&lt;&gt;""</formula>
    </cfRule>
  </conditionalFormatting>
  <conditionalFormatting sqref="F18:G23">
    <cfRule type="expression" dxfId="30" priority="29">
      <formula>$V109&lt;&gt;""</formula>
    </cfRule>
  </conditionalFormatting>
  <conditionalFormatting sqref="F18:G23">
    <cfRule type="expression" dxfId="29" priority="26">
      <formula>$V130&lt;&gt;""</formula>
    </cfRule>
  </conditionalFormatting>
  <conditionalFormatting sqref="F18:G23">
    <cfRule type="expression" dxfId="28" priority="27">
      <formula>$V113&lt;&gt;""</formula>
    </cfRule>
  </conditionalFormatting>
  <conditionalFormatting sqref="F18:G23">
    <cfRule type="expression" dxfId="27" priority="30">
      <formula>$V137&lt;&gt;""</formula>
    </cfRule>
  </conditionalFormatting>
  <conditionalFormatting sqref="F18:G23">
    <cfRule type="expression" dxfId="26" priority="31">
      <formula>$V108&lt;&gt;""</formula>
    </cfRule>
  </conditionalFormatting>
  <conditionalFormatting sqref="F18:G23">
    <cfRule type="expression" dxfId="25" priority="32">
      <formula>$V107&lt;&gt;""</formula>
    </cfRule>
  </conditionalFormatting>
  <conditionalFormatting sqref="V18:V23">
    <cfRule type="expression" dxfId="24" priority="24">
      <formula>AND(#REF!="",$V18&lt;$Z$4)</formula>
    </cfRule>
  </conditionalFormatting>
  <conditionalFormatting sqref="J18:J23">
    <cfRule type="duplicateValues" dxfId="23" priority="25"/>
  </conditionalFormatting>
  <conditionalFormatting sqref="Z18:AC23">
    <cfRule type="expression" dxfId="22" priority="23">
      <formula>$V18&lt;&gt;""</formula>
    </cfRule>
  </conditionalFormatting>
  <conditionalFormatting sqref="A34:X35">
    <cfRule type="expression" dxfId="21" priority="22">
      <formula>$V34&lt;&gt;""</formula>
    </cfRule>
  </conditionalFormatting>
  <conditionalFormatting sqref="F34:G35">
    <cfRule type="expression" dxfId="20" priority="17">
      <formula>$V142&lt;&gt;""</formula>
    </cfRule>
  </conditionalFormatting>
  <conditionalFormatting sqref="F34:G35">
    <cfRule type="expression" dxfId="19" priority="18">
      <formula>$V125&lt;&gt;""</formula>
    </cfRule>
  </conditionalFormatting>
  <conditionalFormatting sqref="F34:G35">
    <cfRule type="expression" dxfId="18" priority="15">
      <formula>$V146&lt;&gt;""</formula>
    </cfRule>
  </conditionalFormatting>
  <conditionalFormatting sqref="F34:G35">
    <cfRule type="expression" dxfId="17" priority="16">
      <formula>$V129&lt;&gt;""</formula>
    </cfRule>
  </conditionalFormatting>
  <conditionalFormatting sqref="F34:G35">
    <cfRule type="expression" dxfId="16" priority="19">
      <formula>$V153&lt;&gt;""</formula>
    </cfRule>
  </conditionalFormatting>
  <conditionalFormatting sqref="F34:G35">
    <cfRule type="expression" dxfId="15" priority="20">
      <formula>$V124&lt;&gt;""</formula>
    </cfRule>
  </conditionalFormatting>
  <conditionalFormatting sqref="F34:G35">
    <cfRule type="expression" dxfId="14" priority="21">
      <formula>$V123&lt;&gt;""</formula>
    </cfRule>
  </conditionalFormatting>
  <conditionalFormatting sqref="V34:V35">
    <cfRule type="expression" dxfId="13" priority="13">
      <formula>AND(#REF!="",$V34&lt;$Z$4)</formula>
    </cfRule>
  </conditionalFormatting>
  <conditionalFormatting sqref="J34:J35">
    <cfRule type="duplicateValues" dxfId="12" priority="14"/>
  </conditionalFormatting>
  <conditionalFormatting sqref="Z34:AC35">
    <cfRule type="expression" dxfId="11" priority="12">
      <formula>$V34&lt;&gt;""</formula>
    </cfRule>
  </conditionalFormatting>
  <conditionalFormatting sqref="A29:X32">
    <cfRule type="expression" dxfId="10" priority="11">
      <formula>$V29&lt;&gt;""</formula>
    </cfRule>
  </conditionalFormatting>
  <conditionalFormatting sqref="F29:G32">
    <cfRule type="expression" dxfId="9" priority="6">
      <formula>$V137&lt;&gt;""</formula>
    </cfRule>
  </conditionalFormatting>
  <conditionalFormatting sqref="F29:G32">
    <cfRule type="expression" dxfId="8" priority="7">
      <formula>$V120&lt;&gt;""</formula>
    </cfRule>
  </conditionalFormatting>
  <conditionalFormatting sqref="F29:G32">
    <cfRule type="expression" dxfId="7" priority="4">
      <formula>$V141&lt;&gt;""</formula>
    </cfRule>
  </conditionalFormatting>
  <conditionalFormatting sqref="F29:G32">
    <cfRule type="expression" dxfId="6" priority="5">
      <formula>$V124&lt;&gt;""</formula>
    </cfRule>
  </conditionalFormatting>
  <conditionalFormatting sqref="F29:G32">
    <cfRule type="expression" dxfId="5" priority="8">
      <formula>$V148&lt;&gt;""</formula>
    </cfRule>
  </conditionalFormatting>
  <conditionalFormatting sqref="F29:G32">
    <cfRule type="expression" dxfId="4" priority="9">
      <formula>$V119&lt;&gt;""</formula>
    </cfRule>
  </conditionalFormatting>
  <conditionalFormatting sqref="F29:G32">
    <cfRule type="expression" dxfId="3" priority="10">
      <formula>$V118&lt;&gt;""</formula>
    </cfRule>
  </conditionalFormatting>
  <conditionalFormatting sqref="V29:V32">
    <cfRule type="expression" dxfId="2" priority="2">
      <formula>AND(#REF!="",$V29&lt;$Z$4)</formula>
    </cfRule>
  </conditionalFormatting>
  <conditionalFormatting sqref="J29:J32">
    <cfRule type="duplicateValues" dxfId="1" priority="3"/>
  </conditionalFormatting>
  <conditionalFormatting sqref="Z29:AC32">
    <cfRule type="expression" dxfId="0" priority="1">
      <formula>$V29&lt;&gt;""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31AD95D-4055-4EC4-A342-487FBD369A88}">
          <x14:formula1>
            <xm:f>'\\smcmfg.com.vn\smcmfg\Production (生産)\Extrusion (押出)\8. YCBG\[1. Quotation Request(Mfg dept-Pur dept)..xlsm]Selection'!#REF!</xm:f>
          </x14:formula1>
          <xm:sqref>N5:N11 N25 N29:N35</xm:sqref>
        </x14:dataValidation>
        <x14:dataValidation type="list" allowBlank="1" showInputMessage="1" showErrorMessage="1" xr:uid="{F01E4575-120D-4B12-9982-1B5125D7E77E}">
          <x14:formula1>
            <xm:f>'\\smcmfg.com.vn\smcmfg\Production (生産)\Extrusion (押出)\8. YCBG\[1. Quotation Request(Mfg dept-Pur dept)..xlsm]Selection'!#REF!</xm:f>
          </x14:formula1>
          <xm:sqref>N14 N16 N18:N23 N28 N33 N37</xm:sqref>
        </x14:dataValidation>
        <x14:dataValidation type="list" allowBlank="1" showInputMessage="1" showErrorMessage="1" xr:uid="{8E0E7872-272E-47DC-B632-8F3FE6A5D15C}">
          <x14:formula1>
            <xm:f>Data!$A:$A</xm:f>
          </x14:formula1>
          <xm:sqref>P5:Q11 P37:Q37 P28:Q33 P18:Q23 P16:Q16 P14 Q12:Q13</xm:sqref>
        </x14:dataValidation>
        <x14:dataValidation type="list" allowBlank="1" showInputMessage="1" showErrorMessage="1" xr:uid="{FCC0A9E3-2E13-4EE3-8D58-CC9346248022}">
          <x14:formula1>
            <xm:f>Data!$C:$C</xm:f>
          </x14:formula1>
          <xm:sqref>X5:X98</xm:sqref>
        </x14:dataValidation>
        <x14:dataValidation type="list" allowBlank="1" showInputMessage="1" showErrorMessage="1" xr:uid="{C4B2E180-AA50-45EA-870F-929902F3CBA6}">
          <x14:formula1>
            <xm:f>Data!$B:$B</xm:f>
          </x14:formula1>
          <xm:sqref>W5:W98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6BDAD-4466-4932-AB15-16FE6537EC76}">
  <sheetPr codeName="Sheet4"/>
  <dimension ref="A1:G48"/>
  <sheetViews>
    <sheetView topLeftCell="C22" workbookViewId="0">
      <selection activeCell="J29" sqref="J29:Q32"/>
    </sheetView>
  </sheetViews>
  <sheetFormatPr defaultRowHeight="14.5" x14ac:dyDescent="0.35"/>
  <cols>
    <col min="1" max="1" width="5.81640625" bestFit="1" customWidth="1"/>
    <col min="2" max="2" width="23.54296875" bestFit="1" customWidth="1"/>
    <col min="3" max="3" width="13.54296875" bestFit="1" customWidth="1"/>
    <col min="5" max="5" width="34" bestFit="1" customWidth="1"/>
    <col min="6" max="6" width="6.453125" customWidth="1"/>
    <col min="17" max="17" width="11.26953125" customWidth="1"/>
  </cols>
  <sheetData>
    <row r="1" spans="1:7" x14ac:dyDescent="0.35">
      <c r="A1" t="s">
        <v>1935</v>
      </c>
      <c r="B1" t="s">
        <v>1936</v>
      </c>
      <c r="C1" t="s">
        <v>11</v>
      </c>
      <c r="D1" t="s">
        <v>1937</v>
      </c>
      <c r="E1" t="s">
        <v>1938</v>
      </c>
      <c r="F1" s="194">
        <v>3</v>
      </c>
      <c r="G1" s="195" t="s">
        <v>2082</v>
      </c>
    </row>
    <row r="2" spans="1:7" x14ac:dyDescent="0.35">
      <c r="A2" s="185" t="s">
        <v>276</v>
      </c>
      <c r="B2" s="185" t="s">
        <v>2813</v>
      </c>
      <c r="C2" s="185" t="s">
        <v>16</v>
      </c>
      <c r="D2" s="185" t="s">
        <v>390</v>
      </c>
      <c r="E2" t="s">
        <v>1939</v>
      </c>
      <c r="F2" s="194">
        <v>4</v>
      </c>
      <c r="G2" s="122" t="s">
        <v>2083</v>
      </c>
    </row>
    <row r="3" spans="1:7" x14ac:dyDescent="0.35">
      <c r="A3" s="185" t="s">
        <v>1092</v>
      </c>
      <c r="B3" s="185" t="s">
        <v>21</v>
      </c>
      <c r="C3" s="185" t="s">
        <v>53</v>
      </c>
      <c r="D3" s="185" t="s">
        <v>108</v>
      </c>
      <c r="E3" t="s">
        <v>1940</v>
      </c>
      <c r="F3" s="194">
        <v>7</v>
      </c>
      <c r="G3" s="122" t="s">
        <v>2084</v>
      </c>
    </row>
    <row r="4" spans="1:7" x14ac:dyDescent="0.35">
      <c r="A4" s="185" t="s">
        <v>46</v>
      </c>
      <c r="B4" s="185" t="s">
        <v>51</v>
      </c>
      <c r="C4" s="185" t="s">
        <v>54</v>
      </c>
      <c r="D4" s="185" t="s">
        <v>2024</v>
      </c>
      <c r="E4" t="s">
        <v>1941</v>
      </c>
      <c r="F4" s="194"/>
      <c r="G4" s="122"/>
    </row>
    <row r="5" spans="1:7" x14ac:dyDescent="0.35">
      <c r="A5" s="185" t="s">
        <v>1015</v>
      </c>
      <c r="B5" s="185" t="s">
        <v>52</v>
      </c>
      <c r="C5" s="185" t="s">
        <v>55</v>
      </c>
      <c r="D5" s="185"/>
      <c r="E5" t="s">
        <v>1282</v>
      </c>
      <c r="F5" s="194"/>
      <c r="G5" s="122" t="s">
        <v>2085</v>
      </c>
    </row>
    <row r="6" spans="1:7" x14ac:dyDescent="0.35">
      <c r="A6" s="185" t="s">
        <v>48</v>
      </c>
      <c r="B6" s="185" t="s">
        <v>2577</v>
      </c>
      <c r="C6" s="185" t="s">
        <v>1931</v>
      </c>
      <c r="D6" s="185"/>
      <c r="E6" t="s">
        <v>795</v>
      </c>
      <c r="F6" s="194"/>
      <c r="G6" s="122" t="s">
        <v>2086</v>
      </c>
    </row>
    <row r="7" spans="1:7" x14ac:dyDescent="0.35">
      <c r="A7" s="185" t="s">
        <v>106</v>
      </c>
      <c r="B7" s="185" t="s">
        <v>2814</v>
      </c>
      <c r="C7" s="185" t="s">
        <v>1932</v>
      </c>
      <c r="D7" s="185"/>
      <c r="E7" t="s">
        <v>1942</v>
      </c>
      <c r="F7" s="194"/>
      <c r="G7" s="122" t="s">
        <v>2087</v>
      </c>
    </row>
    <row r="8" spans="1:7" x14ac:dyDescent="0.35">
      <c r="A8" s="185" t="s">
        <v>799</v>
      </c>
      <c r="B8" s="185" t="s">
        <v>1537</v>
      </c>
      <c r="C8" s="185" t="s">
        <v>1933</v>
      </c>
      <c r="D8" s="185"/>
      <c r="E8" t="s">
        <v>826</v>
      </c>
      <c r="F8" s="194"/>
      <c r="G8" s="122"/>
    </row>
    <row r="9" spans="1:7" x14ac:dyDescent="0.35">
      <c r="A9" s="185" t="s">
        <v>232</v>
      </c>
      <c r="B9" s="185" t="s">
        <v>1565</v>
      </c>
      <c r="C9" s="185" t="s">
        <v>1934</v>
      </c>
      <c r="D9" s="185"/>
      <c r="E9" t="s">
        <v>123</v>
      </c>
      <c r="F9" s="194"/>
      <c r="G9" s="122" t="s">
        <v>2088</v>
      </c>
    </row>
    <row r="10" spans="1:7" x14ac:dyDescent="0.35">
      <c r="A10" s="185" t="s">
        <v>309</v>
      </c>
      <c r="B10" s="185" t="s">
        <v>1662</v>
      </c>
      <c r="C10" s="185" t="s">
        <v>56</v>
      </c>
      <c r="D10" s="185"/>
      <c r="E10" t="s">
        <v>1943</v>
      </c>
      <c r="F10" s="194"/>
      <c r="G10" s="122" t="s">
        <v>2089</v>
      </c>
    </row>
    <row r="11" spans="1:7" x14ac:dyDescent="0.35">
      <c r="A11" s="185" t="s">
        <v>1929</v>
      </c>
      <c r="B11" s="185" t="s">
        <v>2062</v>
      </c>
      <c r="C11" s="185" t="s">
        <v>611</v>
      </c>
      <c r="D11" s="185"/>
      <c r="E11" t="s">
        <v>1944</v>
      </c>
      <c r="F11" s="194"/>
      <c r="G11" s="122" t="s">
        <v>2090</v>
      </c>
    </row>
    <row r="12" spans="1:7" x14ac:dyDescent="0.35">
      <c r="A12" s="185" t="s">
        <v>1124</v>
      </c>
      <c r="B12" s="185" t="s">
        <v>2160</v>
      </c>
      <c r="C12" s="185" t="s">
        <v>610</v>
      </c>
      <c r="D12" s="185"/>
      <c r="E12" t="s">
        <v>1809</v>
      </c>
      <c r="F12" s="194"/>
      <c r="G12" s="122" t="s">
        <v>2091</v>
      </c>
    </row>
    <row r="13" spans="1:7" x14ac:dyDescent="0.35">
      <c r="A13" s="185" t="s">
        <v>1930</v>
      </c>
      <c r="B13" s="185" t="s">
        <v>2651</v>
      </c>
      <c r="C13" s="185" t="s">
        <v>3228</v>
      </c>
      <c r="D13" s="185"/>
      <c r="E13" t="s">
        <v>1945</v>
      </c>
      <c r="F13" s="194"/>
      <c r="G13" s="122"/>
    </row>
    <row r="14" spans="1:7" x14ac:dyDescent="0.35">
      <c r="A14" s="185" t="s">
        <v>107</v>
      </c>
      <c r="B14" s="185" t="s">
        <v>2830</v>
      </c>
      <c r="C14" s="185"/>
      <c r="D14" s="185"/>
      <c r="E14" t="s">
        <v>1946</v>
      </c>
      <c r="F14" s="194"/>
      <c r="G14" s="122" t="s">
        <v>2092</v>
      </c>
    </row>
    <row r="15" spans="1:7" x14ac:dyDescent="0.35">
      <c r="E15" t="s">
        <v>1947</v>
      </c>
      <c r="F15" s="194"/>
      <c r="G15" s="196" t="s">
        <v>2093</v>
      </c>
    </row>
    <row r="16" spans="1:7" x14ac:dyDescent="0.35">
      <c r="E16" t="s">
        <v>1948</v>
      </c>
    </row>
    <row r="17" spans="5:5" x14ac:dyDescent="0.35">
      <c r="E17" t="s">
        <v>1949</v>
      </c>
    </row>
    <row r="18" spans="5:5" x14ac:dyDescent="0.35">
      <c r="E18" t="s">
        <v>1950</v>
      </c>
    </row>
    <row r="19" spans="5:5" x14ac:dyDescent="0.35">
      <c r="E19" t="s">
        <v>1951</v>
      </c>
    </row>
    <row r="20" spans="5:5" x14ac:dyDescent="0.35">
      <c r="E20" t="s">
        <v>1952</v>
      </c>
    </row>
    <row r="21" spans="5:5" x14ac:dyDescent="0.35">
      <c r="E21" t="s">
        <v>797</v>
      </c>
    </row>
    <row r="22" spans="5:5" x14ac:dyDescent="0.35">
      <c r="E22" t="s">
        <v>1953</v>
      </c>
    </row>
    <row r="23" spans="5:5" x14ac:dyDescent="0.35">
      <c r="E23" t="s">
        <v>1954</v>
      </c>
    </row>
    <row r="24" spans="5:5" x14ac:dyDescent="0.35">
      <c r="E24" t="s">
        <v>1955</v>
      </c>
    </row>
    <row r="25" spans="5:5" x14ac:dyDescent="0.35">
      <c r="E25" t="s">
        <v>1118</v>
      </c>
    </row>
    <row r="26" spans="5:5" x14ac:dyDescent="0.35">
      <c r="E26" t="s">
        <v>1061</v>
      </c>
    </row>
    <row r="27" spans="5:5" x14ac:dyDescent="0.35">
      <c r="E27" t="s">
        <v>1956</v>
      </c>
    </row>
    <row r="28" spans="5:5" x14ac:dyDescent="0.35">
      <c r="E28" t="s">
        <v>1957</v>
      </c>
    </row>
    <row r="29" spans="5:5" x14ac:dyDescent="0.35">
      <c r="E29" t="s">
        <v>796</v>
      </c>
    </row>
    <row r="30" spans="5:5" x14ac:dyDescent="0.35">
      <c r="E30" t="s">
        <v>1958</v>
      </c>
    </row>
    <row r="31" spans="5:5" x14ac:dyDescent="0.35">
      <c r="E31" t="s">
        <v>1959</v>
      </c>
    </row>
    <row r="32" spans="5:5" x14ac:dyDescent="0.35">
      <c r="E32" t="s">
        <v>1960</v>
      </c>
    </row>
    <row r="33" spans="5:5" x14ac:dyDescent="0.35">
      <c r="E33" t="s">
        <v>1961</v>
      </c>
    </row>
    <row r="34" spans="5:5" x14ac:dyDescent="0.35">
      <c r="E34" t="s">
        <v>1962</v>
      </c>
    </row>
    <row r="35" spans="5:5" x14ac:dyDescent="0.35">
      <c r="E35" t="s">
        <v>1963</v>
      </c>
    </row>
    <row r="36" spans="5:5" x14ac:dyDescent="0.35">
      <c r="E36" t="s">
        <v>1964</v>
      </c>
    </row>
    <row r="37" spans="5:5" x14ac:dyDescent="0.35">
      <c r="E37" t="s">
        <v>1965</v>
      </c>
    </row>
    <row r="38" spans="5:5" x14ac:dyDescent="0.35">
      <c r="E38" t="s">
        <v>1966</v>
      </c>
    </row>
    <row r="39" spans="5:5" x14ac:dyDescent="0.35">
      <c r="E39" t="s">
        <v>1967</v>
      </c>
    </row>
    <row r="40" spans="5:5" x14ac:dyDescent="0.35">
      <c r="E40" t="s">
        <v>1968</v>
      </c>
    </row>
    <row r="41" spans="5:5" x14ac:dyDescent="0.35">
      <c r="E41" t="s">
        <v>1969</v>
      </c>
    </row>
    <row r="42" spans="5:5" x14ac:dyDescent="0.35">
      <c r="E42" t="s">
        <v>1970</v>
      </c>
    </row>
    <row r="43" spans="5:5" x14ac:dyDescent="0.35">
      <c r="E43" t="s">
        <v>1971</v>
      </c>
    </row>
    <row r="44" spans="5:5" x14ac:dyDescent="0.35">
      <c r="E44" t="s">
        <v>1972</v>
      </c>
    </row>
    <row r="45" spans="5:5" x14ac:dyDescent="0.35">
      <c r="E45" t="s">
        <v>1973</v>
      </c>
    </row>
    <row r="46" spans="5:5" x14ac:dyDescent="0.35">
      <c r="E46" t="s">
        <v>1974</v>
      </c>
    </row>
    <row r="47" spans="5:5" x14ac:dyDescent="0.35">
      <c r="E47" t="s">
        <v>1975</v>
      </c>
    </row>
    <row r="48" spans="5:5" x14ac:dyDescent="0.35">
      <c r="E48" t="s">
        <v>1975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Extrusion</vt:lpstr>
      <vt:lpstr>Dầu DO</vt:lpstr>
      <vt:lpstr>HÀNG NỘI CHẾ</vt:lpstr>
      <vt:lpstr>LƯỠI CƯA</vt:lpstr>
      <vt:lpstr>NONSAP</vt:lpstr>
      <vt:lpstr>Billet Casting</vt:lpstr>
      <vt:lpstr>Data</vt:lpstr>
      <vt:lpstr>Extrusion!Print_Area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SMC-HIEN-NGUYEN</dc:creator>
  <cp:lastModifiedBy>SMC-TEN</cp:lastModifiedBy>
  <cp:lastPrinted>2023-03-30T01:53:44Z</cp:lastPrinted>
  <dcterms:created xsi:type="dcterms:W3CDTF">2020-06-17T09:29:59Z</dcterms:created>
  <dcterms:modified xsi:type="dcterms:W3CDTF">2023-05-08T08:57:17Z</dcterms:modified>
</cp:coreProperties>
</file>